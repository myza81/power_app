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LAPTOP BARU\Dekstop\Kerja\Kerja Satu Ibadah\2025\GWASP\[1] Defence Scheme\UFLS\"/>
    </mc:Choice>
  </mc:AlternateContent>
  <xr:revisionPtr revIDLastSave="0" documentId="13_ncr:1_{5B58BB10-8773-4F74-B7BF-6820EA8AA4F0}" xr6:coauthVersionLast="47" xr6:coauthVersionMax="47" xr10:uidLastSave="{00000000-0000-0000-0000-000000000000}"/>
  <bookViews>
    <workbookView xWindow="-120" yWindow="-120" windowWidth="29040" windowHeight="17520" firstSheet="3" activeTab="5" xr2:uid="{58CC1EC8-AF12-405E-AB46-36AA2C32D04F}"/>
  </bookViews>
  <sheets>
    <sheet name="UFLS (Cat1&amp;Cat2)" sheetId="3" state="hidden" r:id="rId1"/>
    <sheet name="UFLS (Cat3 Deactivate)" sheetId="2" state="hidden" r:id="rId2"/>
    <sheet name="ActiveAll_UFLS&amp;UVLS" sheetId="1" state="hidden" r:id="rId3"/>
    <sheet name="UFLS_review" sheetId="4" r:id="rId4"/>
    <sheet name="TNB Load" sheetId="5" r:id="rId5"/>
    <sheet name="UFLS 2024" sheetId="8" r:id="rId6"/>
    <sheet name="Working tab (ref)" sheetId="7" state="hidden" r:id="rId7"/>
  </sheets>
  <definedNames>
    <definedName name="_xlnm._FilterDatabase" localSheetId="2" hidden="1">'ActiveAll_UFLS&amp;UVLS'!$A$2:$Q$211</definedName>
    <definedName name="_xlnm._FilterDatabase" localSheetId="4" hidden="1">'TNB Load'!$A$1:$K$1239</definedName>
    <definedName name="_xlnm._FilterDatabase" localSheetId="0" hidden="1">'UFLS (Cat1&amp;Cat2)'!$A$2:$N$199</definedName>
    <definedName name="_xlnm._FilterDatabase" localSheetId="1" hidden="1">'UFLS (Cat3 Deactivate)'!$A$2:$G$7</definedName>
    <definedName name="_xlnm._FilterDatabase" localSheetId="5" hidden="1">'UFLS 2024'!$B$3:$G$508</definedName>
    <definedName name="_xlnm._FilterDatabase" localSheetId="3" hidden="1">UFLS_review!$A$2:$S$211</definedName>
    <definedName name="_xlnm._FilterDatabase" localSheetId="6" hidden="1">'Working tab (ref)'!$H$2:$O$507</definedName>
    <definedName name="_xlnm.Print_Titles" localSheetId="0">'UFLS (Cat1&amp;Cat2)'!$1:$2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3" i="7"/>
  <c r="C1239" i="5" l="1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H436" i="7" l="1"/>
  <c r="H429" i="7"/>
  <c r="H428" i="7"/>
  <c r="M428" i="7"/>
  <c r="M429" i="7"/>
  <c r="AB1261" i="7" l="1"/>
  <c r="AD1261" i="7" s="1"/>
  <c r="AB1262" i="7"/>
  <c r="AD1262" i="7" s="1"/>
  <c r="AB1263" i="7"/>
  <c r="AD1263" i="7" s="1"/>
  <c r="AB1264" i="7"/>
  <c r="AD1264" i="7" s="1"/>
  <c r="AB1265" i="7"/>
  <c r="AD1265" i="7" s="1"/>
  <c r="AB1266" i="7"/>
  <c r="AD1266" i="7" s="1"/>
  <c r="AB1260" i="7"/>
  <c r="AD1260" i="7" s="1"/>
  <c r="U1261" i="7"/>
  <c r="W1261" i="7" s="1"/>
  <c r="U1262" i="7"/>
  <c r="W1262" i="7" s="1"/>
  <c r="U1263" i="7"/>
  <c r="W1263" i="7" s="1"/>
  <c r="U1264" i="7"/>
  <c r="W1264" i="7" s="1"/>
  <c r="U1265" i="7"/>
  <c r="W1265" i="7" s="1"/>
  <c r="U1266" i="7"/>
  <c r="W1266" i="7" s="1"/>
  <c r="U1260" i="7"/>
  <c r="W1260" i="7" s="1"/>
  <c r="AB1267" i="7"/>
  <c r="AD1267" i="7" s="1"/>
  <c r="U1267" i="7"/>
  <c r="W1267" i="7" s="1"/>
  <c r="AB1259" i="7"/>
  <c r="AD1259" i="7" s="1"/>
  <c r="U1259" i="7"/>
  <c r="W1259" i="7" s="1"/>
  <c r="AB1258" i="7"/>
  <c r="AD1258" i="7" s="1"/>
  <c r="U1258" i="7"/>
  <c r="W1258" i="7" s="1"/>
  <c r="AB860" i="7"/>
  <c r="AD860" i="7" s="1"/>
  <c r="U860" i="7"/>
  <c r="AB1257" i="7"/>
  <c r="AD1257" i="7" s="1"/>
  <c r="U1257" i="7"/>
  <c r="W1257" i="7" s="1"/>
  <c r="AB1255" i="7"/>
  <c r="AD1255" i="7" s="1"/>
  <c r="AB1256" i="7"/>
  <c r="AD1256" i="7" s="1"/>
  <c r="U1255" i="7"/>
  <c r="W1255" i="7" s="1"/>
  <c r="U1256" i="7"/>
  <c r="W1256" i="7" s="1"/>
  <c r="AB1252" i="7"/>
  <c r="AD1252" i="7" s="1"/>
  <c r="AB1253" i="7"/>
  <c r="AD1253" i="7" s="1"/>
  <c r="AB1254" i="7"/>
  <c r="AD1254" i="7" s="1"/>
  <c r="U1252" i="7"/>
  <c r="W1252" i="7" s="1"/>
  <c r="U1253" i="7"/>
  <c r="W1253" i="7" s="1"/>
  <c r="U1254" i="7"/>
  <c r="W1254" i="7" s="1"/>
  <c r="K321" i="7"/>
  <c r="H4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63" i="7"/>
  <c r="H64" i="7"/>
  <c r="H65" i="7"/>
  <c r="H66" i="7"/>
  <c r="H67" i="7"/>
  <c r="H68" i="7"/>
  <c r="H69" i="7"/>
  <c r="H73" i="7"/>
  <c r="H74" i="7"/>
  <c r="H75" i="7"/>
  <c r="H76" i="7"/>
  <c r="H77" i="7"/>
  <c r="H78" i="7"/>
  <c r="H79" i="7"/>
  <c r="H80" i="7"/>
  <c r="H81" i="7"/>
  <c r="H82" i="7"/>
  <c r="H87" i="7"/>
  <c r="H88" i="7"/>
  <c r="H89" i="7"/>
  <c r="H90" i="7"/>
  <c r="H91" i="7"/>
  <c r="H92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7" i="7"/>
  <c r="H118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8" i="7"/>
  <c r="H159" i="7"/>
  <c r="H160" i="7"/>
  <c r="H161" i="7"/>
  <c r="H162" i="7"/>
  <c r="H163" i="7"/>
  <c r="H164" i="7"/>
  <c r="H165" i="7"/>
  <c r="H166" i="7"/>
  <c r="H172" i="7"/>
  <c r="H173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5" i="7"/>
  <c r="H206" i="7"/>
  <c r="H207" i="7"/>
  <c r="H208" i="7"/>
  <c r="H211" i="7"/>
  <c r="H212" i="7"/>
  <c r="H215" i="7"/>
  <c r="H216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7" i="7"/>
  <c r="H328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9" i="7"/>
  <c r="H350" i="7"/>
  <c r="H351" i="7"/>
  <c r="H352" i="7"/>
  <c r="H376" i="7"/>
  <c r="H380" i="7"/>
  <c r="H381" i="7"/>
  <c r="H382" i="7"/>
  <c r="H383" i="7"/>
  <c r="H384" i="7"/>
  <c r="H385" i="7"/>
  <c r="H386" i="7"/>
  <c r="H387" i="7"/>
  <c r="H391" i="7"/>
  <c r="H392" i="7"/>
  <c r="H397" i="7"/>
  <c r="H398" i="7"/>
  <c r="H399" i="7"/>
  <c r="H400" i="7"/>
  <c r="H401" i="7"/>
  <c r="H402" i="7"/>
  <c r="H403" i="7"/>
  <c r="H412" i="7"/>
  <c r="H413" i="7"/>
  <c r="H414" i="7"/>
  <c r="H415" i="7"/>
  <c r="H416" i="7"/>
  <c r="H417" i="7"/>
  <c r="H418" i="7"/>
  <c r="H419" i="7"/>
  <c r="H422" i="7"/>
  <c r="H423" i="7"/>
  <c r="H424" i="7"/>
  <c r="H425" i="7"/>
  <c r="H426" i="7"/>
  <c r="H427" i="7"/>
  <c r="H430" i="7"/>
  <c r="H431" i="7"/>
  <c r="H432" i="7"/>
  <c r="H433" i="7"/>
  <c r="H434" i="7"/>
  <c r="H435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3" i="7"/>
  <c r="AB1251" i="7"/>
  <c r="AD1251" i="7" s="1"/>
  <c r="U1251" i="7"/>
  <c r="W1251" i="7" s="1"/>
  <c r="U1249" i="7"/>
  <c r="W1249" i="7" s="1"/>
  <c r="U1250" i="7"/>
  <c r="W1250" i="7" s="1"/>
  <c r="H11" i="7" l="1"/>
  <c r="H83" i="7"/>
  <c r="H116" i="7"/>
  <c r="H169" i="7"/>
  <c r="H185" i="7"/>
  <c r="H217" i="7"/>
  <c r="H249" i="7"/>
  <c r="H298" i="7"/>
  <c r="H354" i="7"/>
  <c r="H370" i="7"/>
  <c r="H390" i="7"/>
  <c r="H406" i="7"/>
  <c r="H458" i="7"/>
  <c r="H474" i="7"/>
  <c r="H494" i="7"/>
  <c r="H320" i="7"/>
  <c r="H84" i="7"/>
  <c r="H170" i="7"/>
  <c r="H186" i="7"/>
  <c r="H218" i="7"/>
  <c r="H250" i="7"/>
  <c r="H299" i="7"/>
  <c r="H355" i="7"/>
  <c r="H371" i="7"/>
  <c r="H407" i="7"/>
  <c r="H321" i="7"/>
  <c r="H85" i="7"/>
  <c r="H171" i="7"/>
  <c r="H187" i="7"/>
  <c r="H203" i="7"/>
  <c r="H251" i="7"/>
  <c r="H300" i="7"/>
  <c r="H356" i="7"/>
  <c r="H372" i="7"/>
  <c r="H408" i="7"/>
  <c r="H70" i="7"/>
  <c r="H86" i="7"/>
  <c r="H119" i="7"/>
  <c r="H188" i="7"/>
  <c r="H204" i="7"/>
  <c r="H252" i="7"/>
  <c r="H357" i="7"/>
  <c r="H373" i="7"/>
  <c r="H393" i="7"/>
  <c r="H409" i="7"/>
  <c r="H71" i="7"/>
  <c r="H120" i="7"/>
  <c r="H253" i="7"/>
  <c r="H358" i="7"/>
  <c r="H374" i="7"/>
  <c r="H394" i="7"/>
  <c r="H462" i="7"/>
  <c r="H498" i="7"/>
  <c r="H396" i="7"/>
  <c r="H5" i="7"/>
  <c r="H72" i="7"/>
  <c r="H121" i="7"/>
  <c r="H138" i="7"/>
  <c r="H174" i="7"/>
  <c r="H254" i="7"/>
  <c r="H359" i="7"/>
  <c r="H375" i="7"/>
  <c r="H395" i="7"/>
  <c r="H6" i="7"/>
  <c r="H122" i="7"/>
  <c r="H140" i="7"/>
  <c r="H175" i="7"/>
  <c r="H255" i="7"/>
  <c r="H322" i="7"/>
  <c r="H360" i="7"/>
  <c r="H7" i="7"/>
  <c r="H176" i="7"/>
  <c r="H256" i="7"/>
  <c r="H289" i="7"/>
  <c r="H323" i="7"/>
  <c r="H361" i="7"/>
  <c r="H465" i="7"/>
  <c r="H501" i="7"/>
  <c r="H8" i="7"/>
  <c r="H57" i="7"/>
  <c r="H177" i="7"/>
  <c r="H209" i="7"/>
  <c r="H257" i="7"/>
  <c r="H290" i="7"/>
  <c r="H324" i="7"/>
  <c r="H362" i="7"/>
  <c r="H466" i="7"/>
  <c r="H502" i="7"/>
  <c r="H96" i="7"/>
  <c r="H181" i="7"/>
  <c r="H455" i="7"/>
  <c r="H507" i="7"/>
  <c r="H472" i="7"/>
  <c r="H493" i="7"/>
  <c r="H495" i="7"/>
  <c r="H463" i="7"/>
  <c r="H464" i="7"/>
  <c r="H58" i="7"/>
  <c r="H178" i="7"/>
  <c r="H210" i="7"/>
  <c r="H258" i="7"/>
  <c r="H291" i="7"/>
  <c r="H325" i="7"/>
  <c r="H363" i="7"/>
  <c r="H467" i="7"/>
  <c r="H503" i="7"/>
  <c r="H260" i="7"/>
  <c r="H365" i="7"/>
  <c r="H453" i="7"/>
  <c r="H505" i="7"/>
  <c r="H213" i="7"/>
  <c r="H261" i="7"/>
  <c r="H454" i="7"/>
  <c r="H506" i="7"/>
  <c r="H97" i="7"/>
  <c r="H214" i="7"/>
  <c r="H295" i="7"/>
  <c r="H367" i="7"/>
  <c r="H404" i="7"/>
  <c r="H492" i="7"/>
  <c r="H473" i="7"/>
  <c r="H459" i="7"/>
  <c r="H496" i="7"/>
  <c r="H497" i="7"/>
  <c r="H60" i="7"/>
  <c r="H94" i="7"/>
  <c r="H179" i="7"/>
  <c r="H259" i="7"/>
  <c r="H292" i="7"/>
  <c r="H326" i="7"/>
  <c r="H364" i="7"/>
  <c r="H452" i="7"/>
  <c r="H468" i="7"/>
  <c r="H504" i="7"/>
  <c r="H12" i="7"/>
  <c r="H62" i="7"/>
  <c r="H95" i="7"/>
  <c r="H180" i="7"/>
  <c r="H293" i="7"/>
  <c r="H469" i="7"/>
  <c r="H294" i="7"/>
  <c r="H366" i="7"/>
  <c r="H470" i="7"/>
  <c r="H182" i="7"/>
  <c r="H471" i="7"/>
  <c r="H456" i="7"/>
  <c r="H457" i="7"/>
  <c r="H475" i="7"/>
  <c r="H460" i="7"/>
  <c r="H461" i="7"/>
  <c r="H499" i="7"/>
  <c r="H500" i="7"/>
  <c r="H98" i="7"/>
  <c r="H114" i="7"/>
  <c r="H167" i="7"/>
  <c r="H183" i="7"/>
  <c r="H231" i="7"/>
  <c r="H296" i="7"/>
  <c r="H368" i="7"/>
  <c r="H115" i="7"/>
  <c r="H168" i="7"/>
  <c r="H184" i="7"/>
  <c r="H232" i="7"/>
  <c r="H248" i="7"/>
  <c r="H297" i="7"/>
  <c r="H353" i="7"/>
  <c r="H369" i="7"/>
  <c r="H389" i="7"/>
  <c r="H405" i="7"/>
  <c r="H93" i="7"/>
  <c r="H61" i="7"/>
  <c r="H139" i="7"/>
  <c r="H123" i="7"/>
  <c r="H59" i="7"/>
  <c r="H157" i="7"/>
  <c r="H141" i="7"/>
  <c r="H331" i="7"/>
  <c r="H346" i="7"/>
  <c r="H377" i="7"/>
  <c r="H348" i="7"/>
  <c r="H347" i="7"/>
  <c r="H378" i="7"/>
  <c r="H489" i="7"/>
  <c r="H488" i="7"/>
  <c r="H421" i="7"/>
  <c r="H491" i="7"/>
  <c r="H411" i="7"/>
  <c r="H379" i="7"/>
  <c r="H410" i="7"/>
  <c r="H262" i="7"/>
  <c r="H388" i="7"/>
  <c r="H490" i="7"/>
  <c r="H330" i="7"/>
  <c r="H329" i="7"/>
  <c r="H420" i="7"/>
  <c r="H142" i="7"/>
  <c r="U1247" i="7"/>
  <c r="W1247" i="7" s="1"/>
  <c r="U1248" i="7"/>
  <c r="W1248" i="7" s="1"/>
  <c r="U1242" i="7" l="1"/>
  <c r="W1242" i="7" s="1"/>
  <c r="U1243" i="7"/>
  <c r="W1243" i="7" s="1"/>
  <c r="U1244" i="7"/>
  <c r="W1244" i="7" s="1"/>
  <c r="U1245" i="7"/>
  <c r="W1245" i="7" s="1"/>
  <c r="U1246" i="7"/>
  <c r="W1246" i="7" s="1"/>
  <c r="M128" i="7"/>
  <c r="M129" i="7"/>
  <c r="U1240" i="7"/>
  <c r="W1240" i="7" s="1"/>
  <c r="U1241" i="7"/>
  <c r="W1241" i="7" s="1"/>
  <c r="U4" i="7" l="1"/>
  <c r="W4" i="7" s="1"/>
  <c r="U5" i="7"/>
  <c r="W5" i="7" s="1"/>
  <c r="U6" i="7"/>
  <c r="W6" i="7" s="1"/>
  <c r="U7" i="7"/>
  <c r="W7" i="7" s="1"/>
  <c r="U8" i="7"/>
  <c r="W8" i="7" s="1"/>
  <c r="U9" i="7"/>
  <c r="W9" i="7" s="1"/>
  <c r="U10" i="7"/>
  <c r="W10" i="7" s="1"/>
  <c r="U11" i="7"/>
  <c r="W11" i="7" s="1"/>
  <c r="U12" i="7"/>
  <c r="W12" i="7" s="1"/>
  <c r="U13" i="7"/>
  <c r="W13" i="7" s="1"/>
  <c r="U14" i="7"/>
  <c r="W14" i="7" s="1"/>
  <c r="U15" i="7"/>
  <c r="W15" i="7" s="1"/>
  <c r="U16" i="7"/>
  <c r="W16" i="7" s="1"/>
  <c r="U17" i="7"/>
  <c r="W17" i="7" s="1"/>
  <c r="U18" i="7"/>
  <c r="W18" i="7" s="1"/>
  <c r="U19" i="7"/>
  <c r="W19" i="7" s="1"/>
  <c r="U20" i="7"/>
  <c r="W20" i="7" s="1"/>
  <c r="U21" i="7"/>
  <c r="W21" i="7" s="1"/>
  <c r="U22" i="7"/>
  <c r="W22" i="7" s="1"/>
  <c r="U23" i="7"/>
  <c r="W23" i="7" s="1"/>
  <c r="U24" i="7"/>
  <c r="W24" i="7" s="1"/>
  <c r="U25" i="7"/>
  <c r="W25" i="7" s="1"/>
  <c r="U26" i="7"/>
  <c r="W26" i="7" s="1"/>
  <c r="U27" i="7"/>
  <c r="W27" i="7" s="1"/>
  <c r="U28" i="7"/>
  <c r="W28" i="7" s="1"/>
  <c r="U29" i="7"/>
  <c r="W29" i="7" s="1"/>
  <c r="U30" i="7"/>
  <c r="W30" i="7" s="1"/>
  <c r="U31" i="7"/>
  <c r="W31" i="7" s="1"/>
  <c r="U32" i="7"/>
  <c r="W32" i="7" s="1"/>
  <c r="U33" i="7"/>
  <c r="W33" i="7" s="1"/>
  <c r="U34" i="7"/>
  <c r="W34" i="7" s="1"/>
  <c r="U35" i="7"/>
  <c r="W35" i="7" s="1"/>
  <c r="U36" i="7"/>
  <c r="W36" i="7" s="1"/>
  <c r="U37" i="7"/>
  <c r="W37" i="7" s="1"/>
  <c r="U38" i="7"/>
  <c r="W38" i="7" s="1"/>
  <c r="U39" i="7"/>
  <c r="W39" i="7" s="1"/>
  <c r="U40" i="7"/>
  <c r="W40" i="7" s="1"/>
  <c r="U41" i="7"/>
  <c r="W41" i="7" s="1"/>
  <c r="U42" i="7"/>
  <c r="W42" i="7" s="1"/>
  <c r="U43" i="7"/>
  <c r="W43" i="7" s="1"/>
  <c r="U44" i="7"/>
  <c r="W44" i="7" s="1"/>
  <c r="U45" i="7"/>
  <c r="W45" i="7" s="1"/>
  <c r="U46" i="7"/>
  <c r="W46" i="7" s="1"/>
  <c r="U47" i="7"/>
  <c r="W47" i="7" s="1"/>
  <c r="U48" i="7"/>
  <c r="W48" i="7" s="1"/>
  <c r="U49" i="7"/>
  <c r="W49" i="7" s="1"/>
  <c r="U50" i="7"/>
  <c r="W50" i="7" s="1"/>
  <c r="U51" i="7"/>
  <c r="W51" i="7" s="1"/>
  <c r="U52" i="7"/>
  <c r="W52" i="7" s="1"/>
  <c r="U53" i="7"/>
  <c r="W53" i="7" s="1"/>
  <c r="U54" i="7"/>
  <c r="W54" i="7" s="1"/>
  <c r="U55" i="7"/>
  <c r="W55" i="7" s="1"/>
  <c r="U56" i="7"/>
  <c r="W56" i="7" s="1"/>
  <c r="U57" i="7"/>
  <c r="W57" i="7" s="1"/>
  <c r="U58" i="7"/>
  <c r="W58" i="7" s="1"/>
  <c r="U59" i="7"/>
  <c r="W59" i="7" s="1"/>
  <c r="U60" i="7"/>
  <c r="W60" i="7" s="1"/>
  <c r="U61" i="7"/>
  <c r="W61" i="7" s="1"/>
  <c r="U62" i="7"/>
  <c r="W62" i="7" s="1"/>
  <c r="U63" i="7"/>
  <c r="W63" i="7" s="1"/>
  <c r="U64" i="7"/>
  <c r="W64" i="7" s="1"/>
  <c r="U65" i="7"/>
  <c r="W65" i="7" s="1"/>
  <c r="U66" i="7"/>
  <c r="W66" i="7" s="1"/>
  <c r="U67" i="7"/>
  <c r="W67" i="7" s="1"/>
  <c r="U68" i="7"/>
  <c r="W68" i="7" s="1"/>
  <c r="U69" i="7"/>
  <c r="W69" i="7" s="1"/>
  <c r="U70" i="7"/>
  <c r="W70" i="7" s="1"/>
  <c r="U71" i="7"/>
  <c r="W71" i="7" s="1"/>
  <c r="U72" i="7"/>
  <c r="W72" i="7" s="1"/>
  <c r="U73" i="7"/>
  <c r="W73" i="7" s="1"/>
  <c r="U74" i="7"/>
  <c r="W74" i="7" s="1"/>
  <c r="U75" i="7"/>
  <c r="W75" i="7" s="1"/>
  <c r="U76" i="7"/>
  <c r="W76" i="7" s="1"/>
  <c r="U77" i="7"/>
  <c r="W77" i="7" s="1"/>
  <c r="U78" i="7"/>
  <c r="W78" i="7" s="1"/>
  <c r="U79" i="7"/>
  <c r="W79" i="7" s="1"/>
  <c r="U80" i="7"/>
  <c r="W80" i="7" s="1"/>
  <c r="U81" i="7"/>
  <c r="W81" i="7" s="1"/>
  <c r="U82" i="7"/>
  <c r="W82" i="7" s="1"/>
  <c r="U83" i="7"/>
  <c r="W83" i="7" s="1"/>
  <c r="U84" i="7"/>
  <c r="W84" i="7" s="1"/>
  <c r="U85" i="7"/>
  <c r="W85" i="7" s="1"/>
  <c r="U86" i="7"/>
  <c r="W86" i="7" s="1"/>
  <c r="U87" i="7"/>
  <c r="W87" i="7" s="1"/>
  <c r="U88" i="7"/>
  <c r="W88" i="7" s="1"/>
  <c r="U89" i="7"/>
  <c r="W89" i="7" s="1"/>
  <c r="U90" i="7"/>
  <c r="W90" i="7" s="1"/>
  <c r="U91" i="7"/>
  <c r="W91" i="7" s="1"/>
  <c r="U92" i="7"/>
  <c r="W92" i="7" s="1"/>
  <c r="U93" i="7"/>
  <c r="W93" i="7" s="1"/>
  <c r="U94" i="7"/>
  <c r="W94" i="7" s="1"/>
  <c r="U95" i="7"/>
  <c r="W95" i="7" s="1"/>
  <c r="U96" i="7"/>
  <c r="W96" i="7" s="1"/>
  <c r="U97" i="7"/>
  <c r="W97" i="7" s="1"/>
  <c r="U98" i="7"/>
  <c r="W98" i="7" s="1"/>
  <c r="U99" i="7"/>
  <c r="W99" i="7" s="1"/>
  <c r="U100" i="7"/>
  <c r="W100" i="7" s="1"/>
  <c r="U101" i="7"/>
  <c r="W101" i="7" s="1"/>
  <c r="U102" i="7"/>
  <c r="W102" i="7" s="1"/>
  <c r="U103" i="7"/>
  <c r="W103" i="7" s="1"/>
  <c r="U104" i="7"/>
  <c r="W104" i="7" s="1"/>
  <c r="U105" i="7"/>
  <c r="W105" i="7" s="1"/>
  <c r="U106" i="7"/>
  <c r="W106" i="7" s="1"/>
  <c r="U107" i="7"/>
  <c r="W107" i="7" s="1"/>
  <c r="U108" i="7"/>
  <c r="W108" i="7" s="1"/>
  <c r="U109" i="7"/>
  <c r="W109" i="7" s="1"/>
  <c r="U110" i="7"/>
  <c r="W110" i="7" s="1"/>
  <c r="U111" i="7"/>
  <c r="W111" i="7" s="1"/>
  <c r="U112" i="7"/>
  <c r="W112" i="7" s="1"/>
  <c r="U113" i="7"/>
  <c r="W113" i="7" s="1"/>
  <c r="U114" i="7"/>
  <c r="W114" i="7" s="1"/>
  <c r="U115" i="7"/>
  <c r="W115" i="7" s="1"/>
  <c r="U116" i="7"/>
  <c r="W116" i="7" s="1"/>
  <c r="U117" i="7"/>
  <c r="W117" i="7" s="1"/>
  <c r="U118" i="7"/>
  <c r="W118" i="7" s="1"/>
  <c r="U119" i="7"/>
  <c r="W119" i="7" s="1"/>
  <c r="U120" i="7"/>
  <c r="W120" i="7" s="1"/>
  <c r="U121" i="7"/>
  <c r="W121" i="7" s="1"/>
  <c r="U122" i="7"/>
  <c r="W122" i="7" s="1"/>
  <c r="U123" i="7"/>
  <c r="W123" i="7" s="1"/>
  <c r="U124" i="7"/>
  <c r="W124" i="7" s="1"/>
  <c r="U125" i="7"/>
  <c r="W125" i="7" s="1"/>
  <c r="U126" i="7"/>
  <c r="W126" i="7" s="1"/>
  <c r="U127" i="7"/>
  <c r="W127" i="7" s="1"/>
  <c r="U128" i="7"/>
  <c r="W128" i="7" s="1"/>
  <c r="U129" i="7"/>
  <c r="W129" i="7" s="1"/>
  <c r="U130" i="7"/>
  <c r="W130" i="7" s="1"/>
  <c r="U131" i="7"/>
  <c r="W131" i="7" s="1"/>
  <c r="U132" i="7"/>
  <c r="W132" i="7" s="1"/>
  <c r="U133" i="7"/>
  <c r="W133" i="7" s="1"/>
  <c r="U134" i="7"/>
  <c r="W134" i="7" s="1"/>
  <c r="U135" i="7"/>
  <c r="W135" i="7" s="1"/>
  <c r="U136" i="7"/>
  <c r="W136" i="7" s="1"/>
  <c r="U137" i="7"/>
  <c r="W137" i="7" s="1"/>
  <c r="U138" i="7"/>
  <c r="W138" i="7" s="1"/>
  <c r="U139" i="7"/>
  <c r="W139" i="7" s="1"/>
  <c r="U140" i="7"/>
  <c r="W140" i="7" s="1"/>
  <c r="U141" i="7"/>
  <c r="W141" i="7" s="1"/>
  <c r="U142" i="7"/>
  <c r="W142" i="7" s="1"/>
  <c r="U143" i="7"/>
  <c r="W143" i="7" s="1"/>
  <c r="U144" i="7"/>
  <c r="W144" i="7" s="1"/>
  <c r="U145" i="7"/>
  <c r="W145" i="7" s="1"/>
  <c r="U146" i="7"/>
  <c r="W146" i="7" s="1"/>
  <c r="U147" i="7"/>
  <c r="W147" i="7" s="1"/>
  <c r="U148" i="7"/>
  <c r="W148" i="7" s="1"/>
  <c r="U149" i="7"/>
  <c r="W149" i="7" s="1"/>
  <c r="U150" i="7"/>
  <c r="W150" i="7" s="1"/>
  <c r="U151" i="7"/>
  <c r="W151" i="7" s="1"/>
  <c r="U152" i="7"/>
  <c r="W152" i="7" s="1"/>
  <c r="U153" i="7"/>
  <c r="W153" i="7" s="1"/>
  <c r="U154" i="7"/>
  <c r="W154" i="7" s="1"/>
  <c r="U155" i="7"/>
  <c r="W155" i="7" s="1"/>
  <c r="U156" i="7"/>
  <c r="W156" i="7" s="1"/>
  <c r="U157" i="7"/>
  <c r="W157" i="7" s="1"/>
  <c r="U158" i="7"/>
  <c r="W158" i="7" s="1"/>
  <c r="U159" i="7"/>
  <c r="W159" i="7" s="1"/>
  <c r="U160" i="7"/>
  <c r="W160" i="7" s="1"/>
  <c r="U161" i="7"/>
  <c r="W161" i="7" s="1"/>
  <c r="U162" i="7"/>
  <c r="W162" i="7" s="1"/>
  <c r="U163" i="7"/>
  <c r="W163" i="7" s="1"/>
  <c r="U164" i="7"/>
  <c r="W164" i="7" s="1"/>
  <c r="U165" i="7"/>
  <c r="W165" i="7" s="1"/>
  <c r="U166" i="7"/>
  <c r="W166" i="7" s="1"/>
  <c r="U167" i="7"/>
  <c r="W167" i="7" s="1"/>
  <c r="U168" i="7"/>
  <c r="W168" i="7" s="1"/>
  <c r="U169" i="7"/>
  <c r="W169" i="7" s="1"/>
  <c r="U170" i="7"/>
  <c r="W170" i="7" s="1"/>
  <c r="U171" i="7"/>
  <c r="W171" i="7" s="1"/>
  <c r="U172" i="7"/>
  <c r="W172" i="7" s="1"/>
  <c r="U173" i="7"/>
  <c r="W173" i="7" s="1"/>
  <c r="U174" i="7"/>
  <c r="W174" i="7" s="1"/>
  <c r="U175" i="7"/>
  <c r="W175" i="7" s="1"/>
  <c r="U176" i="7"/>
  <c r="W176" i="7" s="1"/>
  <c r="U177" i="7"/>
  <c r="W177" i="7" s="1"/>
  <c r="U178" i="7"/>
  <c r="W178" i="7" s="1"/>
  <c r="U179" i="7"/>
  <c r="W179" i="7" s="1"/>
  <c r="U180" i="7"/>
  <c r="W180" i="7" s="1"/>
  <c r="U181" i="7"/>
  <c r="W181" i="7" s="1"/>
  <c r="U182" i="7"/>
  <c r="W182" i="7" s="1"/>
  <c r="U183" i="7"/>
  <c r="W183" i="7" s="1"/>
  <c r="U184" i="7"/>
  <c r="W184" i="7" s="1"/>
  <c r="U185" i="7"/>
  <c r="W185" i="7" s="1"/>
  <c r="U186" i="7"/>
  <c r="W186" i="7" s="1"/>
  <c r="U187" i="7"/>
  <c r="W187" i="7" s="1"/>
  <c r="U188" i="7"/>
  <c r="W188" i="7" s="1"/>
  <c r="U189" i="7"/>
  <c r="W189" i="7" s="1"/>
  <c r="U190" i="7"/>
  <c r="W190" i="7" s="1"/>
  <c r="U191" i="7"/>
  <c r="W191" i="7" s="1"/>
  <c r="U192" i="7"/>
  <c r="W192" i="7" s="1"/>
  <c r="U193" i="7"/>
  <c r="W193" i="7" s="1"/>
  <c r="U194" i="7"/>
  <c r="W194" i="7" s="1"/>
  <c r="U195" i="7"/>
  <c r="W195" i="7" s="1"/>
  <c r="U196" i="7"/>
  <c r="W196" i="7" s="1"/>
  <c r="U197" i="7"/>
  <c r="W197" i="7" s="1"/>
  <c r="U198" i="7"/>
  <c r="W198" i="7" s="1"/>
  <c r="U199" i="7"/>
  <c r="W199" i="7" s="1"/>
  <c r="U200" i="7"/>
  <c r="W200" i="7" s="1"/>
  <c r="U201" i="7"/>
  <c r="W201" i="7" s="1"/>
  <c r="U202" i="7"/>
  <c r="W202" i="7" s="1"/>
  <c r="U203" i="7"/>
  <c r="W203" i="7" s="1"/>
  <c r="U204" i="7"/>
  <c r="W204" i="7" s="1"/>
  <c r="U205" i="7"/>
  <c r="W205" i="7" s="1"/>
  <c r="U206" i="7"/>
  <c r="W206" i="7" s="1"/>
  <c r="U207" i="7"/>
  <c r="W207" i="7" s="1"/>
  <c r="U208" i="7"/>
  <c r="W208" i="7" s="1"/>
  <c r="U209" i="7"/>
  <c r="W209" i="7" s="1"/>
  <c r="U210" i="7"/>
  <c r="W210" i="7" s="1"/>
  <c r="U211" i="7"/>
  <c r="W211" i="7" s="1"/>
  <c r="U212" i="7"/>
  <c r="W212" i="7" s="1"/>
  <c r="U213" i="7"/>
  <c r="W213" i="7" s="1"/>
  <c r="U214" i="7"/>
  <c r="W214" i="7" s="1"/>
  <c r="U215" i="7"/>
  <c r="W215" i="7" s="1"/>
  <c r="U216" i="7"/>
  <c r="W216" i="7" s="1"/>
  <c r="U217" i="7"/>
  <c r="W217" i="7" s="1"/>
  <c r="U218" i="7"/>
  <c r="W218" i="7" s="1"/>
  <c r="U219" i="7"/>
  <c r="W219" i="7" s="1"/>
  <c r="U220" i="7"/>
  <c r="W220" i="7" s="1"/>
  <c r="U221" i="7"/>
  <c r="W221" i="7" s="1"/>
  <c r="U222" i="7"/>
  <c r="W222" i="7" s="1"/>
  <c r="U223" i="7"/>
  <c r="W223" i="7" s="1"/>
  <c r="U224" i="7"/>
  <c r="W224" i="7" s="1"/>
  <c r="U225" i="7"/>
  <c r="W225" i="7" s="1"/>
  <c r="U226" i="7"/>
  <c r="W226" i="7" s="1"/>
  <c r="U227" i="7"/>
  <c r="W227" i="7" s="1"/>
  <c r="U228" i="7"/>
  <c r="W228" i="7" s="1"/>
  <c r="U229" i="7"/>
  <c r="W229" i="7" s="1"/>
  <c r="U230" i="7"/>
  <c r="W230" i="7" s="1"/>
  <c r="U231" i="7"/>
  <c r="W231" i="7" s="1"/>
  <c r="U232" i="7"/>
  <c r="W232" i="7" s="1"/>
  <c r="U233" i="7"/>
  <c r="W233" i="7" s="1"/>
  <c r="U234" i="7"/>
  <c r="W234" i="7" s="1"/>
  <c r="U235" i="7"/>
  <c r="W235" i="7" s="1"/>
  <c r="U236" i="7"/>
  <c r="W236" i="7" s="1"/>
  <c r="U237" i="7"/>
  <c r="W237" i="7" s="1"/>
  <c r="U238" i="7"/>
  <c r="W238" i="7" s="1"/>
  <c r="U239" i="7"/>
  <c r="W239" i="7" s="1"/>
  <c r="U240" i="7"/>
  <c r="W240" i="7" s="1"/>
  <c r="U241" i="7"/>
  <c r="W241" i="7" s="1"/>
  <c r="U242" i="7"/>
  <c r="W242" i="7" s="1"/>
  <c r="U243" i="7"/>
  <c r="W243" i="7" s="1"/>
  <c r="U244" i="7"/>
  <c r="W244" i="7" s="1"/>
  <c r="U245" i="7"/>
  <c r="W245" i="7" s="1"/>
  <c r="U246" i="7"/>
  <c r="W246" i="7" s="1"/>
  <c r="U247" i="7"/>
  <c r="W247" i="7" s="1"/>
  <c r="U248" i="7"/>
  <c r="W248" i="7" s="1"/>
  <c r="U249" i="7"/>
  <c r="W249" i="7" s="1"/>
  <c r="U250" i="7"/>
  <c r="W250" i="7" s="1"/>
  <c r="U251" i="7"/>
  <c r="W251" i="7" s="1"/>
  <c r="U252" i="7"/>
  <c r="W252" i="7" s="1"/>
  <c r="U253" i="7"/>
  <c r="W253" i="7" s="1"/>
  <c r="U254" i="7"/>
  <c r="W254" i="7" s="1"/>
  <c r="U255" i="7"/>
  <c r="W255" i="7" s="1"/>
  <c r="U256" i="7"/>
  <c r="W256" i="7" s="1"/>
  <c r="U257" i="7"/>
  <c r="W257" i="7" s="1"/>
  <c r="U258" i="7"/>
  <c r="W258" i="7" s="1"/>
  <c r="U259" i="7"/>
  <c r="W259" i="7" s="1"/>
  <c r="U260" i="7"/>
  <c r="W260" i="7" s="1"/>
  <c r="U261" i="7"/>
  <c r="W261" i="7" s="1"/>
  <c r="U262" i="7"/>
  <c r="W262" i="7" s="1"/>
  <c r="U263" i="7"/>
  <c r="W263" i="7" s="1"/>
  <c r="U264" i="7"/>
  <c r="W264" i="7" s="1"/>
  <c r="U265" i="7"/>
  <c r="W265" i="7" s="1"/>
  <c r="U266" i="7"/>
  <c r="W266" i="7" s="1"/>
  <c r="U267" i="7"/>
  <c r="W267" i="7" s="1"/>
  <c r="U268" i="7"/>
  <c r="W268" i="7" s="1"/>
  <c r="U269" i="7"/>
  <c r="W269" i="7" s="1"/>
  <c r="U270" i="7"/>
  <c r="W270" i="7" s="1"/>
  <c r="U271" i="7"/>
  <c r="W271" i="7" s="1"/>
  <c r="U272" i="7"/>
  <c r="W272" i="7" s="1"/>
  <c r="U273" i="7"/>
  <c r="W273" i="7" s="1"/>
  <c r="U274" i="7"/>
  <c r="W274" i="7" s="1"/>
  <c r="U275" i="7"/>
  <c r="W275" i="7" s="1"/>
  <c r="U276" i="7"/>
  <c r="W276" i="7" s="1"/>
  <c r="U277" i="7"/>
  <c r="W277" i="7" s="1"/>
  <c r="U278" i="7"/>
  <c r="W278" i="7" s="1"/>
  <c r="U279" i="7"/>
  <c r="W279" i="7" s="1"/>
  <c r="U280" i="7"/>
  <c r="W280" i="7" s="1"/>
  <c r="U281" i="7"/>
  <c r="W281" i="7" s="1"/>
  <c r="U282" i="7"/>
  <c r="W282" i="7" s="1"/>
  <c r="U283" i="7"/>
  <c r="W283" i="7" s="1"/>
  <c r="U284" i="7"/>
  <c r="W284" i="7" s="1"/>
  <c r="U285" i="7"/>
  <c r="W285" i="7" s="1"/>
  <c r="U286" i="7"/>
  <c r="W286" i="7" s="1"/>
  <c r="U287" i="7"/>
  <c r="W287" i="7" s="1"/>
  <c r="U288" i="7"/>
  <c r="W288" i="7" s="1"/>
  <c r="U289" i="7"/>
  <c r="W289" i="7" s="1"/>
  <c r="U290" i="7"/>
  <c r="W290" i="7" s="1"/>
  <c r="U291" i="7"/>
  <c r="W291" i="7" s="1"/>
  <c r="U292" i="7"/>
  <c r="W292" i="7" s="1"/>
  <c r="U293" i="7"/>
  <c r="W293" i="7" s="1"/>
  <c r="U294" i="7"/>
  <c r="W294" i="7" s="1"/>
  <c r="U295" i="7"/>
  <c r="W295" i="7" s="1"/>
  <c r="U296" i="7"/>
  <c r="W296" i="7" s="1"/>
  <c r="U297" i="7"/>
  <c r="W297" i="7" s="1"/>
  <c r="U298" i="7"/>
  <c r="W298" i="7" s="1"/>
  <c r="U299" i="7"/>
  <c r="W299" i="7" s="1"/>
  <c r="U300" i="7"/>
  <c r="W300" i="7" s="1"/>
  <c r="U301" i="7"/>
  <c r="W301" i="7" s="1"/>
  <c r="U302" i="7"/>
  <c r="W302" i="7" s="1"/>
  <c r="U303" i="7"/>
  <c r="W303" i="7" s="1"/>
  <c r="U304" i="7"/>
  <c r="W304" i="7" s="1"/>
  <c r="U305" i="7"/>
  <c r="W305" i="7" s="1"/>
  <c r="U306" i="7"/>
  <c r="W306" i="7" s="1"/>
  <c r="U307" i="7"/>
  <c r="W307" i="7" s="1"/>
  <c r="U308" i="7"/>
  <c r="W308" i="7" s="1"/>
  <c r="U309" i="7"/>
  <c r="W309" i="7" s="1"/>
  <c r="U310" i="7"/>
  <c r="W310" i="7" s="1"/>
  <c r="U311" i="7"/>
  <c r="W311" i="7" s="1"/>
  <c r="U312" i="7"/>
  <c r="W312" i="7" s="1"/>
  <c r="U313" i="7"/>
  <c r="W313" i="7" s="1"/>
  <c r="U314" i="7"/>
  <c r="W314" i="7" s="1"/>
  <c r="U315" i="7"/>
  <c r="W315" i="7" s="1"/>
  <c r="U316" i="7"/>
  <c r="W316" i="7" s="1"/>
  <c r="U317" i="7"/>
  <c r="W317" i="7" s="1"/>
  <c r="U318" i="7"/>
  <c r="W318" i="7" s="1"/>
  <c r="U319" i="7"/>
  <c r="W319" i="7" s="1"/>
  <c r="U320" i="7"/>
  <c r="W320" i="7" s="1"/>
  <c r="U321" i="7"/>
  <c r="W321" i="7" s="1"/>
  <c r="U322" i="7"/>
  <c r="W322" i="7" s="1"/>
  <c r="U323" i="7"/>
  <c r="W323" i="7" s="1"/>
  <c r="U324" i="7"/>
  <c r="W324" i="7" s="1"/>
  <c r="U325" i="7"/>
  <c r="W325" i="7" s="1"/>
  <c r="U326" i="7"/>
  <c r="W326" i="7" s="1"/>
  <c r="U327" i="7"/>
  <c r="W327" i="7" s="1"/>
  <c r="U328" i="7"/>
  <c r="W328" i="7" s="1"/>
  <c r="U329" i="7"/>
  <c r="W329" i="7" s="1"/>
  <c r="U330" i="7"/>
  <c r="W330" i="7" s="1"/>
  <c r="U331" i="7"/>
  <c r="W331" i="7" s="1"/>
  <c r="U332" i="7"/>
  <c r="W332" i="7" s="1"/>
  <c r="U333" i="7"/>
  <c r="W333" i="7" s="1"/>
  <c r="U334" i="7"/>
  <c r="W334" i="7" s="1"/>
  <c r="U335" i="7"/>
  <c r="W335" i="7" s="1"/>
  <c r="U336" i="7"/>
  <c r="W336" i="7" s="1"/>
  <c r="U337" i="7"/>
  <c r="W337" i="7" s="1"/>
  <c r="U338" i="7"/>
  <c r="W338" i="7" s="1"/>
  <c r="U339" i="7"/>
  <c r="W339" i="7" s="1"/>
  <c r="U340" i="7"/>
  <c r="W340" i="7" s="1"/>
  <c r="U341" i="7"/>
  <c r="W341" i="7" s="1"/>
  <c r="U342" i="7"/>
  <c r="W342" i="7" s="1"/>
  <c r="U343" i="7"/>
  <c r="W343" i="7" s="1"/>
  <c r="U344" i="7"/>
  <c r="W344" i="7" s="1"/>
  <c r="U345" i="7"/>
  <c r="W345" i="7" s="1"/>
  <c r="U346" i="7"/>
  <c r="W346" i="7" s="1"/>
  <c r="U347" i="7"/>
  <c r="W347" i="7" s="1"/>
  <c r="U348" i="7"/>
  <c r="W348" i="7" s="1"/>
  <c r="U349" i="7"/>
  <c r="W349" i="7" s="1"/>
  <c r="U350" i="7"/>
  <c r="W350" i="7" s="1"/>
  <c r="U351" i="7"/>
  <c r="W351" i="7" s="1"/>
  <c r="U352" i="7"/>
  <c r="W352" i="7" s="1"/>
  <c r="U353" i="7"/>
  <c r="W353" i="7" s="1"/>
  <c r="U354" i="7"/>
  <c r="W354" i="7" s="1"/>
  <c r="U355" i="7"/>
  <c r="W355" i="7" s="1"/>
  <c r="U356" i="7"/>
  <c r="W356" i="7" s="1"/>
  <c r="U357" i="7"/>
  <c r="W357" i="7" s="1"/>
  <c r="U358" i="7"/>
  <c r="W358" i="7" s="1"/>
  <c r="U359" i="7"/>
  <c r="W359" i="7" s="1"/>
  <c r="U360" i="7"/>
  <c r="W360" i="7" s="1"/>
  <c r="U361" i="7"/>
  <c r="W361" i="7" s="1"/>
  <c r="U362" i="7"/>
  <c r="W362" i="7" s="1"/>
  <c r="U363" i="7"/>
  <c r="W363" i="7" s="1"/>
  <c r="U364" i="7"/>
  <c r="W364" i="7" s="1"/>
  <c r="U365" i="7"/>
  <c r="W365" i="7" s="1"/>
  <c r="U366" i="7"/>
  <c r="W366" i="7" s="1"/>
  <c r="U367" i="7"/>
  <c r="W367" i="7" s="1"/>
  <c r="U368" i="7"/>
  <c r="W368" i="7" s="1"/>
  <c r="U369" i="7"/>
  <c r="W369" i="7" s="1"/>
  <c r="U370" i="7"/>
  <c r="W370" i="7" s="1"/>
  <c r="U371" i="7"/>
  <c r="W371" i="7" s="1"/>
  <c r="U372" i="7"/>
  <c r="W372" i="7" s="1"/>
  <c r="U373" i="7"/>
  <c r="W373" i="7" s="1"/>
  <c r="U374" i="7"/>
  <c r="W374" i="7" s="1"/>
  <c r="U375" i="7"/>
  <c r="W375" i="7" s="1"/>
  <c r="U376" i="7"/>
  <c r="W376" i="7" s="1"/>
  <c r="U377" i="7"/>
  <c r="W377" i="7" s="1"/>
  <c r="U378" i="7"/>
  <c r="W378" i="7" s="1"/>
  <c r="U379" i="7"/>
  <c r="W379" i="7" s="1"/>
  <c r="U380" i="7"/>
  <c r="W380" i="7" s="1"/>
  <c r="U381" i="7"/>
  <c r="W381" i="7" s="1"/>
  <c r="U382" i="7"/>
  <c r="W382" i="7" s="1"/>
  <c r="U383" i="7"/>
  <c r="W383" i="7" s="1"/>
  <c r="U384" i="7"/>
  <c r="W384" i="7" s="1"/>
  <c r="U385" i="7"/>
  <c r="W385" i="7" s="1"/>
  <c r="U386" i="7"/>
  <c r="W386" i="7" s="1"/>
  <c r="U387" i="7"/>
  <c r="W387" i="7" s="1"/>
  <c r="U388" i="7"/>
  <c r="W388" i="7" s="1"/>
  <c r="U389" i="7"/>
  <c r="W389" i="7" s="1"/>
  <c r="U390" i="7"/>
  <c r="W390" i="7" s="1"/>
  <c r="U391" i="7"/>
  <c r="W391" i="7" s="1"/>
  <c r="U392" i="7"/>
  <c r="W392" i="7" s="1"/>
  <c r="U393" i="7"/>
  <c r="W393" i="7" s="1"/>
  <c r="U394" i="7"/>
  <c r="W394" i="7" s="1"/>
  <c r="U395" i="7"/>
  <c r="W395" i="7" s="1"/>
  <c r="U396" i="7"/>
  <c r="W396" i="7" s="1"/>
  <c r="U397" i="7"/>
  <c r="W397" i="7" s="1"/>
  <c r="U398" i="7"/>
  <c r="W398" i="7" s="1"/>
  <c r="U399" i="7"/>
  <c r="W399" i="7" s="1"/>
  <c r="U400" i="7"/>
  <c r="W400" i="7" s="1"/>
  <c r="U401" i="7"/>
  <c r="W401" i="7" s="1"/>
  <c r="U402" i="7"/>
  <c r="W402" i="7" s="1"/>
  <c r="U403" i="7"/>
  <c r="W403" i="7" s="1"/>
  <c r="U404" i="7"/>
  <c r="W404" i="7" s="1"/>
  <c r="U405" i="7"/>
  <c r="W405" i="7" s="1"/>
  <c r="U406" i="7"/>
  <c r="W406" i="7" s="1"/>
  <c r="U407" i="7"/>
  <c r="W407" i="7" s="1"/>
  <c r="U408" i="7"/>
  <c r="W408" i="7" s="1"/>
  <c r="U409" i="7"/>
  <c r="W409" i="7" s="1"/>
  <c r="U410" i="7"/>
  <c r="W410" i="7" s="1"/>
  <c r="U411" i="7"/>
  <c r="W411" i="7" s="1"/>
  <c r="U412" i="7"/>
  <c r="W412" i="7" s="1"/>
  <c r="U413" i="7"/>
  <c r="W413" i="7" s="1"/>
  <c r="U414" i="7"/>
  <c r="W414" i="7" s="1"/>
  <c r="U415" i="7"/>
  <c r="W415" i="7" s="1"/>
  <c r="U416" i="7"/>
  <c r="W416" i="7" s="1"/>
  <c r="U417" i="7"/>
  <c r="W417" i="7" s="1"/>
  <c r="U418" i="7"/>
  <c r="W418" i="7" s="1"/>
  <c r="U419" i="7"/>
  <c r="W419" i="7" s="1"/>
  <c r="U420" i="7"/>
  <c r="W420" i="7" s="1"/>
  <c r="U421" i="7"/>
  <c r="W421" i="7" s="1"/>
  <c r="U422" i="7"/>
  <c r="W422" i="7" s="1"/>
  <c r="U423" i="7"/>
  <c r="W423" i="7" s="1"/>
  <c r="U424" i="7"/>
  <c r="W424" i="7" s="1"/>
  <c r="U425" i="7"/>
  <c r="W425" i="7" s="1"/>
  <c r="U426" i="7"/>
  <c r="W426" i="7" s="1"/>
  <c r="U427" i="7"/>
  <c r="W427" i="7" s="1"/>
  <c r="U428" i="7"/>
  <c r="W428" i="7" s="1"/>
  <c r="U429" i="7"/>
  <c r="W429" i="7" s="1"/>
  <c r="U430" i="7"/>
  <c r="W430" i="7" s="1"/>
  <c r="U431" i="7"/>
  <c r="W431" i="7" s="1"/>
  <c r="U432" i="7"/>
  <c r="W432" i="7" s="1"/>
  <c r="U433" i="7"/>
  <c r="W433" i="7" s="1"/>
  <c r="U434" i="7"/>
  <c r="W434" i="7" s="1"/>
  <c r="U435" i="7"/>
  <c r="W435" i="7" s="1"/>
  <c r="U436" i="7"/>
  <c r="W436" i="7" s="1"/>
  <c r="U437" i="7"/>
  <c r="W437" i="7" s="1"/>
  <c r="U438" i="7"/>
  <c r="W438" i="7" s="1"/>
  <c r="U439" i="7"/>
  <c r="W439" i="7" s="1"/>
  <c r="U440" i="7"/>
  <c r="W440" i="7" s="1"/>
  <c r="U441" i="7"/>
  <c r="W441" i="7" s="1"/>
  <c r="U442" i="7"/>
  <c r="W442" i="7" s="1"/>
  <c r="U443" i="7"/>
  <c r="W443" i="7" s="1"/>
  <c r="U444" i="7"/>
  <c r="W444" i="7" s="1"/>
  <c r="U445" i="7"/>
  <c r="W445" i="7" s="1"/>
  <c r="U446" i="7"/>
  <c r="W446" i="7" s="1"/>
  <c r="U447" i="7"/>
  <c r="W447" i="7" s="1"/>
  <c r="U448" i="7"/>
  <c r="W448" i="7" s="1"/>
  <c r="U449" i="7"/>
  <c r="W449" i="7" s="1"/>
  <c r="U450" i="7"/>
  <c r="W450" i="7" s="1"/>
  <c r="U451" i="7"/>
  <c r="W451" i="7" s="1"/>
  <c r="U452" i="7"/>
  <c r="W452" i="7" s="1"/>
  <c r="U453" i="7"/>
  <c r="W453" i="7" s="1"/>
  <c r="U454" i="7"/>
  <c r="W454" i="7" s="1"/>
  <c r="U455" i="7"/>
  <c r="W455" i="7" s="1"/>
  <c r="U456" i="7"/>
  <c r="W456" i="7" s="1"/>
  <c r="U457" i="7"/>
  <c r="W457" i="7" s="1"/>
  <c r="U458" i="7"/>
  <c r="W458" i="7" s="1"/>
  <c r="U459" i="7"/>
  <c r="W459" i="7" s="1"/>
  <c r="U460" i="7"/>
  <c r="W460" i="7" s="1"/>
  <c r="U461" i="7"/>
  <c r="W461" i="7" s="1"/>
  <c r="U462" i="7"/>
  <c r="W462" i="7" s="1"/>
  <c r="U463" i="7"/>
  <c r="W463" i="7" s="1"/>
  <c r="U464" i="7"/>
  <c r="W464" i="7" s="1"/>
  <c r="U465" i="7"/>
  <c r="W465" i="7" s="1"/>
  <c r="U466" i="7"/>
  <c r="W466" i="7" s="1"/>
  <c r="U467" i="7"/>
  <c r="W467" i="7" s="1"/>
  <c r="U468" i="7"/>
  <c r="W468" i="7" s="1"/>
  <c r="U469" i="7"/>
  <c r="W469" i="7" s="1"/>
  <c r="U470" i="7"/>
  <c r="W470" i="7" s="1"/>
  <c r="U471" i="7"/>
  <c r="W471" i="7" s="1"/>
  <c r="U472" i="7"/>
  <c r="W472" i="7" s="1"/>
  <c r="U473" i="7"/>
  <c r="W473" i="7" s="1"/>
  <c r="U474" i="7"/>
  <c r="W474" i="7" s="1"/>
  <c r="U475" i="7"/>
  <c r="W475" i="7" s="1"/>
  <c r="U476" i="7"/>
  <c r="W476" i="7" s="1"/>
  <c r="U477" i="7"/>
  <c r="W477" i="7" s="1"/>
  <c r="U478" i="7"/>
  <c r="W478" i="7" s="1"/>
  <c r="U479" i="7"/>
  <c r="W479" i="7" s="1"/>
  <c r="U480" i="7"/>
  <c r="W480" i="7" s="1"/>
  <c r="U481" i="7"/>
  <c r="W481" i="7" s="1"/>
  <c r="U482" i="7"/>
  <c r="W482" i="7" s="1"/>
  <c r="U483" i="7"/>
  <c r="W483" i="7" s="1"/>
  <c r="U484" i="7"/>
  <c r="W484" i="7" s="1"/>
  <c r="U485" i="7"/>
  <c r="W485" i="7" s="1"/>
  <c r="U486" i="7"/>
  <c r="W486" i="7" s="1"/>
  <c r="U487" i="7"/>
  <c r="W487" i="7" s="1"/>
  <c r="U488" i="7"/>
  <c r="W488" i="7" s="1"/>
  <c r="U489" i="7"/>
  <c r="W489" i="7" s="1"/>
  <c r="U490" i="7"/>
  <c r="W490" i="7" s="1"/>
  <c r="U491" i="7"/>
  <c r="W491" i="7" s="1"/>
  <c r="U492" i="7"/>
  <c r="W492" i="7" s="1"/>
  <c r="U493" i="7"/>
  <c r="W493" i="7" s="1"/>
  <c r="U494" i="7"/>
  <c r="W494" i="7" s="1"/>
  <c r="U495" i="7"/>
  <c r="W495" i="7" s="1"/>
  <c r="U496" i="7"/>
  <c r="W496" i="7" s="1"/>
  <c r="U497" i="7"/>
  <c r="W497" i="7" s="1"/>
  <c r="U498" i="7"/>
  <c r="W498" i="7" s="1"/>
  <c r="U499" i="7"/>
  <c r="W499" i="7" s="1"/>
  <c r="U500" i="7"/>
  <c r="W500" i="7" s="1"/>
  <c r="U501" i="7"/>
  <c r="W501" i="7" s="1"/>
  <c r="U502" i="7"/>
  <c r="W502" i="7" s="1"/>
  <c r="U503" i="7"/>
  <c r="W503" i="7" s="1"/>
  <c r="U504" i="7"/>
  <c r="W504" i="7" s="1"/>
  <c r="U505" i="7"/>
  <c r="W505" i="7" s="1"/>
  <c r="U506" i="7"/>
  <c r="W506" i="7" s="1"/>
  <c r="U507" i="7"/>
  <c r="W507" i="7" s="1"/>
  <c r="U508" i="7"/>
  <c r="W508" i="7" s="1"/>
  <c r="U509" i="7"/>
  <c r="W509" i="7" s="1"/>
  <c r="U510" i="7"/>
  <c r="W510" i="7" s="1"/>
  <c r="U511" i="7"/>
  <c r="W511" i="7" s="1"/>
  <c r="U512" i="7"/>
  <c r="W512" i="7" s="1"/>
  <c r="U513" i="7"/>
  <c r="W513" i="7" s="1"/>
  <c r="U514" i="7"/>
  <c r="W514" i="7" s="1"/>
  <c r="U515" i="7"/>
  <c r="W515" i="7" s="1"/>
  <c r="U516" i="7"/>
  <c r="W516" i="7" s="1"/>
  <c r="U517" i="7"/>
  <c r="W517" i="7" s="1"/>
  <c r="U518" i="7"/>
  <c r="W518" i="7" s="1"/>
  <c r="U519" i="7"/>
  <c r="W519" i="7" s="1"/>
  <c r="U520" i="7"/>
  <c r="W520" i="7" s="1"/>
  <c r="U521" i="7"/>
  <c r="W521" i="7" s="1"/>
  <c r="U522" i="7"/>
  <c r="W522" i="7" s="1"/>
  <c r="U523" i="7"/>
  <c r="W523" i="7" s="1"/>
  <c r="U524" i="7"/>
  <c r="W524" i="7" s="1"/>
  <c r="U525" i="7"/>
  <c r="W525" i="7" s="1"/>
  <c r="U526" i="7"/>
  <c r="W526" i="7" s="1"/>
  <c r="U527" i="7"/>
  <c r="W527" i="7" s="1"/>
  <c r="U528" i="7"/>
  <c r="W528" i="7" s="1"/>
  <c r="U529" i="7"/>
  <c r="W529" i="7" s="1"/>
  <c r="U530" i="7"/>
  <c r="W530" i="7" s="1"/>
  <c r="U531" i="7"/>
  <c r="W531" i="7" s="1"/>
  <c r="U532" i="7"/>
  <c r="W532" i="7" s="1"/>
  <c r="U533" i="7"/>
  <c r="W533" i="7" s="1"/>
  <c r="U534" i="7"/>
  <c r="W534" i="7" s="1"/>
  <c r="U535" i="7"/>
  <c r="W535" i="7" s="1"/>
  <c r="U536" i="7"/>
  <c r="W536" i="7" s="1"/>
  <c r="U537" i="7"/>
  <c r="W537" i="7" s="1"/>
  <c r="U538" i="7"/>
  <c r="W538" i="7" s="1"/>
  <c r="U539" i="7"/>
  <c r="W539" i="7" s="1"/>
  <c r="U540" i="7"/>
  <c r="W540" i="7" s="1"/>
  <c r="U541" i="7"/>
  <c r="W541" i="7" s="1"/>
  <c r="U542" i="7"/>
  <c r="W542" i="7" s="1"/>
  <c r="U543" i="7"/>
  <c r="W543" i="7" s="1"/>
  <c r="U544" i="7"/>
  <c r="W544" i="7" s="1"/>
  <c r="U545" i="7"/>
  <c r="W545" i="7" s="1"/>
  <c r="U546" i="7"/>
  <c r="W546" i="7" s="1"/>
  <c r="U547" i="7"/>
  <c r="W547" i="7" s="1"/>
  <c r="U548" i="7"/>
  <c r="W548" i="7" s="1"/>
  <c r="U549" i="7"/>
  <c r="W549" i="7" s="1"/>
  <c r="U550" i="7"/>
  <c r="W550" i="7" s="1"/>
  <c r="U551" i="7"/>
  <c r="W551" i="7" s="1"/>
  <c r="U552" i="7"/>
  <c r="W552" i="7" s="1"/>
  <c r="U553" i="7"/>
  <c r="W553" i="7" s="1"/>
  <c r="U554" i="7"/>
  <c r="W554" i="7" s="1"/>
  <c r="U555" i="7"/>
  <c r="W555" i="7" s="1"/>
  <c r="U556" i="7"/>
  <c r="W556" i="7" s="1"/>
  <c r="U557" i="7"/>
  <c r="W557" i="7" s="1"/>
  <c r="U558" i="7"/>
  <c r="W558" i="7" s="1"/>
  <c r="U559" i="7"/>
  <c r="W559" i="7" s="1"/>
  <c r="U560" i="7"/>
  <c r="W560" i="7" s="1"/>
  <c r="U561" i="7"/>
  <c r="W561" i="7" s="1"/>
  <c r="U562" i="7"/>
  <c r="W562" i="7" s="1"/>
  <c r="U563" i="7"/>
  <c r="W563" i="7" s="1"/>
  <c r="U564" i="7"/>
  <c r="W564" i="7" s="1"/>
  <c r="U565" i="7"/>
  <c r="W565" i="7" s="1"/>
  <c r="U566" i="7"/>
  <c r="W566" i="7" s="1"/>
  <c r="U567" i="7"/>
  <c r="W567" i="7" s="1"/>
  <c r="U568" i="7"/>
  <c r="W568" i="7" s="1"/>
  <c r="U569" i="7"/>
  <c r="W569" i="7" s="1"/>
  <c r="U570" i="7"/>
  <c r="W570" i="7" s="1"/>
  <c r="U571" i="7"/>
  <c r="W571" i="7" s="1"/>
  <c r="U572" i="7"/>
  <c r="W572" i="7" s="1"/>
  <c r="U573" i="7"/>
  <c r="W573" i="7" s="1"/>
  <c r="U574" i="7"/>
  <c r="W574" i="7" s="1"/>
  <c r="U575" i="7"/>
  <c r="W575" i="7" s="1"/>
  <c r="U576" i="7"/>
  <c r="W576" i="7" s="1"/>
  <c r="U577" i="7"/>
  <c r="W577" i="7" s="1"/>
  <c r="U578" i="7"/>
  <c r="W578" i="7" s="1"/>
  <c r="U579" i="7"/>
  <c r="W579" i="7" s="1"/>
  <c r="U580" i="7"/>
  <c r="W580" i="7" s="1"/>
  <c r="U581" i="7"/>
  <c r="W581" i="7" s="1"/>
  <c r="U582" i="7"/>
  <c r="W582" i="7" s="1"/>
  <c r="U583" i="7"/>
  <c r="W583" i="7" s="1"/>
  <c r="U584" i="7"/>
  <c r="W584" i="7" s="1"/>
  <c r="U585" i="7"/>
  <c r="W585" i="7" s="1"/>
  <c r="U586" i="7"/>
  <c r="W586" i="7" s="1"/>
  <c r="U587" i="7"/>
  <c r="W587" i="7" s="1"/>
  <c r="U588" i="7"/>
  <c r="W588" i="7" s="1"/>
  <c r="U589" i="7"/>
  <c r="W589" i="7" s="1"/>
  <c r="U590" i="7"/>
  <c r="W590" i="7" s="1"/>
  <c r="U591" i="7"/>
  <c r="W591" i="7" s="1"/>
  <c r="U592" i="7"/>
  <c r="W592" i="7" s="1"/>
  <c r="U593" i="7"/>
  <c r="W593" i="7" s="1"/>
  <c r="U594" i="7"/>
  <c r="W594" i="7" s="1"/>
  <c r="U595" i="7"/>
  <c r="W595" i="7" s="1"/>
  <c r="U596" i="7"/>
  <c r="W596" i="7" s="1"/>
  <c r="U597" i="7"/>
  <c r="W597" i="7" s="1"/>
  <c r="U598" i="7"/>
  <c r="W598" i="7" s="1"/>
  <c r="U599" i="7"/>
  <c r="W599" i="7" s="1"/>
  <c r="U600" i="7"/>
  <c r="W600" i="7" s="1"/>
  <c r="U601" i="7"/>
  <c r="W601" i="7" s="1"/>
  <c r="U602" i="7"/>
  <c r="W602" i="7" s="1"/>
  <c r="U603" i="7"/>
  <c r="W603" i="7" s="1"/>
  <c r="U604" i="7"/>
  <c r="W604" i="7" s="1"/>
  <c r="U605" i="7"/>
  <c r="W605" i="7" s="1"/>
  <c r="U606" i="7"/>
  <c r="W606" i="7" s="1"/>
  <c r="U607" i="7"/>
  <c r="W607" i="7" s="1"/>
  <c r="U608" i="7"/>
  <c r="W608" i="7" s="1"/>
  <c r="U609" i="7"/>
  <c r="W609" i="7" s="1"/>
  <c r="U610" i="7"/>
  <c r="W610" i="7" s="1"/>
  <c r="U611" i="7"/>
  <c r="W611" i="7" s="1"/>
  <c r="U612" i="7"/>
  <c r="W612" i="7" s="1"/>
  <c r="U613" i="7"/>
  <c r="W613" i="7" s="1"/>
  <c r="U614" i="7"/>
  <c r="W614" i="7" s="1"/>
  <c r="U615" i="7"/>
  <c r="W615" i="7" s="1"/>
  <c r="U616" i="7"/>
  <c r="W616" i="7" s="1"/>
  <c r="U617" i="7"/>
  <c r="W617" i="7" s="1"/>
  <c r="U618" i="7"/>
  <c r="W618" i="7" s="1"/>
  <c r="U619" i="7"/>
  <c r="W619" i="7" s="1"/>
  <c r="U620" i="7"/>
  <c r="W620" i="7" s="1"/>
  <c r="U621" i="7"/>
  <c r="W621" i="7" s="1"/>
  <c r="U622" i="7"/>
  <c r="W622" i="7" s="1"/>
  <c r="U623" i="7"/>
  <c r="W623" i="7" s="1"/>
  <c r="U624" i="7"/>
  <c r="W624" i="7" s="1"/>
  <c r="U625" i="7"/>
  <c r="W625" i="7" s="1"/>
  <c r="U626" i="7"/>
  <c r="W626" i="7" s="1"/>
  <c r="U627" i="7"/>
  <c r="W627" i="7" s="1"/>
  <c r="U628" i="7"/>
  <c r="W628" i="7" s="1"/>
  <c r="U629" i="7"/>
  <c r="W629" i="7" s="1"/>
  <c r="U630" i="7"/>
  <c r="W630" i="7" s="1"/>
  <c r="U631" i="7"/>
  <c r="W631" i="7" s="1"/>
  <c r="U632" i="7"/>
  <c r="W632" i="7" s="1"/>
  <c r="U633" i="7"/>
  <c r="W633" i="7" s="1"/>
  <c r="U634" i="7"/>
  <c r="W634" i="7" s="1"/>
  <c r="U635" i="7"/>
  <c r="W635" i="7" s="1"/>
  <c r="U636" i="7"/>
  <c r="W636" i="7" s="1"/>
  <c r="U637" i="7"/>
  <c r="W637" i="7" s="1"/>
  <c r="U638" i="7"/>
  <c r="W638" i="7" s="1"/>
  <c r="U639" i="7"/>
  <c r="W639" i="7" s="1"/>
  <c r="U640" i="7"/>
  <c r="W640" i="7" s="1"/>
  <c r="U641" i="7"/>
  <c r="W641" i="7" s="1"/>
  <c r="U642" i="7"/>
  <c r="W642" i="7" s="1"/>
  <c r="U643" i="7"/>
  <c r="W643" i="7" s="1"/>
  <c r="U644" i="7"/>
  <c r="W644" i="7" s="1"/>
  <c r="U645" i="7"/>
  <c r="W645" i="7" s="1"/>
  <c r="U646" i="7"/>
  <c r="W646" i="7" s="1"/>
  <c r="U647" i="7"/>
  <c r="W647" i="7" s="1"/>
  <c r="U648" i="7"/>
  <c r="W648" i="7" s="1"/>
  <c r="U649" i="7"/>
  <c r="W649" i="7" s="1"/>
  <c r="U650" i="7"/>
  <c r="W650" i="7" s="1"/>
  <c r="U651" i="7"/>
  <c r="W651" i="7" s="1"/>
  <c r="U652" i="7"/>
  <c r="W652" i="7" s="1"/>
  <c r="U653" i="7"/>
  <c r="W653" i="7" s="1"/>
  <c r="U654" i="7"/>
  <c r="W654" i="7" s="1"/>
  <c r="U655" i="7"/>
  <c r="W655" i="7" s="1"/>
  <c r="U656" i="7"/>
  <c r="W656" i="7" s="1"/>
  <c r="U657" i="7"/>
  <c r="W657" i="7" s="1"/>
  <c r="U658" i="7"/>
  <c r="W658" i="7" s="1"/>
  <c r="U659" i="7"/>
  <c r="W659" i="7" s="1"/>
  <c r="U660" i="7"/>
  <c r="W660" i="7" s="1"/>
  <c r="U661" i="7"/>
  <c r="W661" i="7" s="1"/>
  <c r="U662" i="7"/>
  <c r="W662" i="7" s="1"/>
  <c r="U663" i="7"/>
  <c r="W663" i="7" s="1"/>
  <c r="U664" i="7"/>
  <c r="W664" i="7" s="1"/>
  <c r="U665" i="7"/>
  <c r="W665" i="7" s="1"/>
  <c r="U666" i="7"/>
  <c r="W666" i="7" s="1"/>
  <c r="U667" i="7"/>
  <c r="W667" i="7" s="1"/>
  <c r="U668" i="7"/>
  <c r="W668" i="7" s="1"/>
  <c r="U669" i="7"/>
  <c r="W669" i="7" s="1"/>
  <c r="U670" i="7"/>
  <c r="W670" i="7" s="1"/>
  <c r="U671" i="7"/>
  <c r="W671" i="7" s="1"/>
  <c r="U672" i="7"/>
  <c r="W672" i="7" s="1"/>
  <c r="U673" i="7"/>
  <c r="W673" i="7" s="1"/>
  <c r="U674" i="7"/>
  <c r="W674" i="7" s="1"/>
  <c r="U675" i="7"/>
  <c r="W675" i="7" s="1"/>
  <c r="U676" i="7"/>
  <c r="W676" i="7" s="1"/>
  <c r="U677" i="7"/>
  <c r="W677" i="7" s="1"/>
  <c r="U678" i="7"/>
  <c r="W678" i="7" s="1"/>
  <c r="U679" i="7"/>
  <c r="W679" i="7" s="1"/>
  <c r="U680" i="7"/>
  <c r="W680" i="7" s="1"/>
  <c r="U681" i="7"/>
  <c r="W681" i="7" s="1"/>
  <c r="U682" i="7"/>
  <c r="W682" i="7" s="1"/>
  <c r="U683" i="7"/>
  <c r="W683" i="7" s="1"/>
  <c r="U684" i="7"/>
  <c r="W684" i="7" s="1"/>
  <c r="U685" i="7"/>
  <c r="W685" i="7" s="1"/>
  <c r="U686" i="7"/>
  <c r="W686" i="7" s="1"/>
  <c r="U687" i="7"/>
  <c r="W687" i="7" s="1"/>
  <c r="U688" i="7"/>
  <c r="W688" i="7" s="1"/>
  <c r="U689" i="7"/>
  <c r="W689" i="7" s="1"/>
  <c r="U690" i="7"/>
  <c r="W690" i="7" s="1"/>
  <c r="U691" i="7"/>
  <c r="W691" i="7" s="1"/>
  <c r="U692" i="7"/>
  <c r="W692" i="7" s="1"/>
  <c r="U693" i="7"/>
  <c r="W693" i="7" s="1"/>
  <c r="U694" i="7"/>
  <c r="W694" i="7" s="1"/>
  <c r="U695" i="7"/>
  <c r="W695" i="7" s="1"/>
  <c r="U696" i="7"/>
  <c r="W696" i="7" s="1"/>
  <c r="U697" i="7"/>
  <c r="W697" i="7" s="1"/>
  <c r="U698" i="7"/>
  <c r="W698" i="7" s="1"/>
  <c r="U699" i="7"/>
  <c r="W699" i="7" s="1"/>
  <c r="U700" i="7"/>
  <c r="W700" i="7" s="1"/>
  <c r="U701" i="7"/>
  <c r="W701" i="7" s="1"/>
  <c r="U702" i="7"/>
  <c r="W702" i="7" s="1"/>
  <c r="U703" i="7"/>
  <c r="W703" i="7" s="1"/>
  <c r="U704" i="7"/>
  <c r="W704" i="7" s="1"/>
  <c r="U705" i="7"/>
  <c r="W705" i="7" s="1"/>
  <c r="U706" i="7"/>
  <c r="W706" i="7" s="1"/>
  <c r="U707" i="7"/>
  <c r="W707" i="7" s="1"/>
  <c r="U708" i="7"/>
  <c r="W708" i="7" s="1"/>
  <c r="U709" i="7"/>
  <c r="W709" i="7" s="1"/>
  <c r="U710" i="7"/>
  <c r="W710" i="7" s="1"/>
  <c r="U711" i="7"/>
  <c r="W711" i="7" s="1"/>
  <c r="U712" i="7"/>
  <c r="W712" i="7" s="1"/>
  <c r="U713" i="7"/>
  <c r="W713" i="7" s="1"/>
  <c r="U714" i="7"/>
  <c r="W714" i="7" s="1"/>
  <c r="U715" i="7"/>
  <c r="W715" i="7" s="1"/>
  <c r="U716" i="7"/>
  <c r="W716" i="7" s="1"/>
  <c r="U717" i="7"/>
  <c r="W717" i="7" s="1"/>
  <c r="U718" i="7"/>
  <c r="W718" i="7" s="1"/>
  <c r="U719" i="7"/>
  <c r="W719" i="7" s="1"/>
  <c r="U720" i="7"/>
  <c r="W720" i="7" s="1"/>
  <c r="U721" i="7"/>
  <c r="W721" i="7" s="1"/>
  <c r="U722" i="7"/>
  <c r="W722" i="7" s="1"/>
  <c r="U723" i="7"/>
  <c r="W723" i="7" s="1"/>
  <c r="U724" i="7"/>
  <c r="W724" i="7" s="1"/>
  <c r="U725" i="7"/>
  <c r="W725" i="7" s="1"/>
  <c r="U726" i="7"/>
  <c r="W726" i="7" s="1"/>
  <c r="U727" i="7"/>
  <c r="W727" i="7" s="1"/>
  <c r="U728" i="7"/>
  <c r="W728" i="7" s="1"/>
  <c r="U729" i="7"/>
  <c r="W729" i="7" s="1"/>
  <c r="U730" i="7"/>
  <c r="W730" i="7" s="1"/>
  <c r="U731" i="7"/>
  <c r="W731" i="7" s="1"/>
  <c r="U732" i="7"/>
  <c r="W732" i="7" s="1"/>
  <c r="U733" i="7"/>
  <c r="W733" i="7" s="1"/>
  <c r="U734" i="7"/>
  <c r="W734" i="7" s="1"/>
  <c r="U735" i="7"/>
  <c r="W735" i="7" s="1"/>
  <c r="U736" i="7"/>
  <c r="W736" i="7" s="1"/>
  <c r="U737" i="7"/>
  <c r="W737" i="7" s="1"/>
  <c r="U738" i="7"/>
  <c r="W738" i="7" s="1"/>
  <c r="U739" i="7"/>
  <c r="W739" i="7" s="1"/>
  <c r="U740" i="7"/>
  <c r="W740" i="7" s="1"/>
  <c r="U741" i="7"/>
  <c r="W741" i="7" s="1"/>
  <c r="U742" i="7"/>
  <c r="W742" i="7" s="1"/>
  <c r="U743" i="7"/>
  <c r="W743" i="7" s="1"/>
  <c r="U744" i="7"/>
  <c r="W744" i="7" s="1"/>
  <c r="U745" i="7"/>
  <c r="W745" i="7" s="1"/>
  <c r="U746" i="7"/>
  <c r="W746" i="7" s="1"/>
  <c r="U747" i="7"/>
  <c r="W747" i="7" s="1"/>
  <c r="U748" i="7"/>
  <c r="W748" i="7" s="1"/>
  <c r="U749" i="7"/>
  <c r="W749" i="7" s="1"/>
  <c r="U750" i="7"/>
  <c r="W750" i="7" s="1"/>
  <c r="U751" i="7"/>
  <c r="W751" i="7" s="1"/>
  <c r="U752" i="7"/>
  <c r="W752" i="7" s="1"/>
  <c r="U753" i="7"/>
  <c r="W753" i="7" s="1"/>
  <c r="U754" i="7"/>
  <c r="W754" i="7" s="1"/>
  <c r="U755" i="7"/>
  <c r="W755" i="7" s="1"/>
  <c r="U756" i="7"/>
  <c r="W756" i="7" s="1"/>
  <c r="U757" i="7"/>
  <c r="W757" i="7" s="1"/>
  <c r="U758" i="7"/>
  <c r="W758" i="7" s="1"/>
  <c r="U759" i="7"/>
  <c r="W759" i="7" s="1"/>
  <c r="U760" i="7"/>
  <c r="W760" i="7" s="1"/>
  <c r="U761" i="7"/>
  <c r="W761" i="7" s="1"/>
  <c r="U762" i="7"/>
  <c r="W762" i="7" s="1"/>
  <c r="U763" i="7"/>
  <c r="W763" i="7" s="1"/>
  <c r="U764" i="7"/>
  <c r="W764" i="7" s="1"/>
  <c r="U765" i="7"/>
  <c r="W765" i="7" s="1"/>
  <c r="U766" i="7"/>
  <c r="W766" i="7" s="1"/>
  <c r="U767" i="7"/>
  <c r="W767" i="7" s="1"/>
  <c r="U768" i="7"/>
  <c r="W768" i="7" s="1"/>
  <c r="U769" i="7"/>
  <c r="W769" i="7" s="1"/>
  <c r="U770" i="7"/>
  <c r="W770" i="7" s="1"/>
  <c r="U771" i="7"/>
  <c r="W771" i="7" s="1"/>
  <c r="U772" i="7"/>
  <c r="W772" i="7" s="1"/>
  <c r="U773" i="7"/>
  <c r="W773" i="7" s="1"/>
  <c r="U774" i="7"/>
  <c r="W774" i="7" s="1"/>
  <c r="U775" i="7"/>
  <c r="W775" i="7" s="1"/>
  <c r="U776" i="7"/>
  <c r="W776" i="7" s="1"/>
  <c r="U777" i="7"/>
  <c r="W777" i="7" s="1"/>
  <c r="U778" i="7"/>
  <c r="W778" i="7" s="1"/>
  <c r="U779" i="7"/>
  <c r="W779" i="7" s="1"/>
  <c r="U780" i="7"/>
  <c r="W780" i="7" s="1"/>
  <c r="U781" i="7"/>
  <c r="W781" i="7" s="1"/>
  <c r="U782" i="7"/>
  <c r="W782" i="7" s="1"/>
  <c r="U783" i="7"/>
  <c r="W783" i="7" s="1"/>
  <c r="U784" i="7"/>
  <c r="W784" i="7" s="1"/>
  <c r="U785" i="7"/>
  <c r="W785" i="7" s="1"/>
  <c r="U786" i="7"/>
  <c r="W786" i="7" s="1"/>
  <c r="U787" i="7"/>
  <c r="W787" i="7" s="1"/>
  <c r="U788" i="7"/>
  <c r="W788" i="7" s="1"/>
  <c r="U789" i="7"/>
  <c r="W789" i="7" s="1"/>
  <c r="U790" i="7"/>
  <c r="W790" i="7" s="1"/>
  <c r="U791" i="7"/>
  <c r="W791" i="7" s="1"/>
  <c r="U792" i="7"/>
  <c r="W792" i="7" s="1"/>
  <c r="U793" i="7"/>
  <c r="W793" i="7" s="1"/>
  <c r="U794" i="7"/>
  <c r="W794" i="7" s="1"/>
  <c r="U795" i="7"/>
  <c r="W795" i="7" s="1"/>
  <c r="U796" i="7"/>
  <c r="W796" i="7" s="1"/>
  <c r="U797" i="7"/>
  <c r="W797" i="7" s="1"/>
  <c r="U798" i="7"/>
  <c r="W798" i="7" s="1"/>
  <c r="U799" i="7"/>
  <c r="W799" i="7" s="1"/>
  <c r="U800" i="7"/>
  <c r="W800" i="7" s="1"/>
  <c r="U801" i="7"/>
  <c r="W801" i="7" s="1"/>
  <c r="U802" i="7"/>
  <c r="W802" i="7" s="1"/>
  <c r="U803" i="7"/>
  <c r="W803" i="7" s="1"/>
  <c r="U804" i="7"/>
  <c r="W804" i="7" s="1"/>
  <c r="U805" i="7"/>
  <c r="W805" i="7" s="1"/>
  <c r="U806" i="7"/>
  <c r="W806" i="7" s="1"/>
  <c r="U807" i="7"/>
  <c r="W807" i="7" s="1"/>
  <c r="U808" i="7"/>
  <c r="W808" i="7" s="1"/>
  <c r="U809" i="7"/>
  <c r="W809" i="7" s="1"/>
  <c r="U810" i="7"/>
  <c r="W810" i="7" s="1"/>
  <c r="U811" i="7"/>
  <c r="W811" i="7" s="1"/>
  <c r="U812" i="7"/>
  <c r="W812" i="7" s="1"/>
  <c r="U813" i="7"/>
  <c r="W813" i="7" s="1"/>
  <c r="U814" i="7"/>
  <c r="W814" i="7" s="1"/>
  <c r="U815" i="7"/>
  <c r="W815" i="7" s="1"/>
  <c r="U816" i="7"/>
  <c r="W816" i="7" s="1"/>
  <c r="U817" i="7"/>
  <c r="W817" i="7" s="1"/>
  <c r="U818" i="7"/>
  <c r="W818" i="7" s="1"/>
  <c r="U819" i="7"/>
  <c r="W819" i="7" s="1"/>
  <c r="U820" i="7"/>
  <c r="W820" i="7" s="1"/>
  <c r="U821" i="7"/>
  <c r="W821" i="7" s="1"/>
  <c r="U822" i="7"/>
  <c r="W822" i="7" s="1"/>
  <c r="U823" i="7"/>
  <c r="W823" i="7" s="1"/>
  <c r="U824" i="7"/>
  <c r="W824" i="7" s="1"/>
  <c r="U825" i="7"/>
  <c r="W825" i="7" s="1"/>
  <c r="U826" i="7"/>
  <c r="W826" i="7" s="1"/>
  <c r="U827" i="7"/>
  <c r="W827" i="7" s="1"/>
  <c r="U828" i="7"/>
  <c r="W828" i="7" s="1"/>
  <c r="U829" i="7"/>
  <c r="W829" i="7" s="1"/>
  <c r="U830" i="7"/>
  <c r="W830" i="7" s="1"/>
  <c r="U831" i="7"/>
  <c r="W831" i="7" s="1"/>
  <c r="U832" i="7"/>
  <c r="W832" i="7" s="1"/>
  <c r="U833" i="7"/>
  <c r="W833" i="7" s="1"/>
  <c r="U834" i="7"/>
  <c r="W834" i="7" s="1"/>
  <c r="U835" i="7"/>
  <c r="W835" i="7" s="1"/>
  <c r="U836" i="7"/>
  <c r="W836" i="7" s="1"/>
  <c r="U837" i="7"/>
  <c r="W837" i="7" s="1"/>
  <c r="U838" i="7"/>
  <c r="W838" i="7" s="1"/>
  <c r="U839" i="7"/>
  <c r="W839" i="7" s="1"/>
  <c r="U840" i="7"/>
  <c r="W840" i="7" s="1"/>
  <c r="U841" i="7"/>
  <c r="W841" i="7" s="1"/>
  <c r="U842" i="7"/>
  <c r="W842" i="7" s="1"/>
  <c r="U843" i="7"/>
  <c r="W843" i="7" s="1"/>
  <c r="U844" i="7"/>
  <c r="W844" i="7" s="1"/>
  <c r="U845" i="7"/>
  <c r="W845" i="7" s="1"/>
  <c r="U846" i="7"/>
  <c r="W846" i="7" s="1"/>
  <c r="U847" i="7"/>
  <c r="W847" i="7" s="1"/>
  <c r="U848" i="7"/>
  <c r="W848" i="7" s="1"/>
  <c r="U849" i="7"/>
  <c r="W849" i="7" s="1"/>
  <c r="U850" i="7"/>
  <c r="W850" i="7" s="1"/>
  <c r="U851" i="7"/>
  <c r="W851" i="7" s="1"/>
  <c r="U852" i="7"/>
  <c r="W852" i="7" s="1"/>
  <c r="U853" i="7"/>
  <c r="W853" i="7" s="1"/>
  <c r="U854" i="7"/>
  <c r="W854" i="7" s="1"/>
  <c r="U855" i="7"/>
  <c r="W855" i="7" s="1"/>
  <c r="U856" i="7"/>
  <c r="W856" i="7" s="1"/>
  <c r="U857" i="7"/>
  <c r="W857" i="7" s="1"/>
  <c r="U858" i="7"/>
  <c r="W858" i="7" s="1"/>
  <c r="U859" i="7"/>
  <c r="W859" i="7" s="1"/>
  <c r="W860" i="7"/>
  <c r="U861" i="7"/>
  <c r="W861" i="7" s="1"/>
  <c r="U862" i="7"/>
  <c r="W862" i="7" s="1"/>
  <c r="U863" i="7"/>
  <c r="W863" i="7" s="1"/>
  <c r="U864" i="7"/>
  <c r="W864" i="7" s="1"/>
  <c r="U865" i="7"/>
  <c r="W865" i="7" s="1"/>
  <c r="U866" i="7"/>
  <c r="W866" i="7" s="1"/>
  <c r="U867" i="7"/>
  <c r="W867" i="7" s="1"/>
  <c r="U868" i="7"/>
  <c r="W868" i="7" s="1"/>
  <c r="U869" i="7"/>
  <c r="W869" i="7" s="1"/>
  <c r="U870" i="7"/>
  <c r="W870" i="7" s="1"/>
  <c r="U871" i="7"/>
  <c r="W871" i="7" s="1"/>
  <c r="U872" i="7"/>
  <c r="W872" i="7" s="1"/>
  <c r="U873" i="7"/>
  <c r="W873" i="7" s="1"/>
  <c r="U874" i="7"/>
  <c r="W874" i="7" s="1"/>
  <c r="U875" i="7"/>
  <c r="W875" i="7" s="1"/>
  <c r="U876" i="7"/>
  <c r="W876" i="7" s="1"/>
  <c r="U877" i="7"/>
  <c r="W877" i="7" s="1"/>
  <c r="U878" i="7"/>
  <c r="W878" i="7" s="1"/>
  <c r="U879" i="7"/>
  <c r="W879" i="7" s="1"/>
  <c r="U880" i="7"/>
  <c r="W880" i="7" s="1"/>
  <c r="U881" i="7"/>
  <c r="W881" i="7" s="1"/>
  <c r="U882" i="7"/>
  <c r="W882" i="7" s="1"/>
  <c r="U883" i="7"/>
  <c r="W883" i="7" s="1"/>
  <c r="U884" i="7"/>
  <c r="W884" i="7" s="1"/>
  <c r="U885" i="7"/>
  <c r="W885" i="7" s="1"/>
  <c r="U886" i="7"/>
  <c r="W886" i="7" s="1"/>
  <c r="U887" i="7"/>
  <c r="W887" i="7" s="1"/>
  <c r="U888" i="7"/>
  <c r="W888" i="7" s="1"/>
  <c r="U889" i="7"/>
  <c r="W889" i="7" s="1"/>
  <c r="U890" i="7"/>
  <c r="W890" i="7" s="1"/>
  <c r="U891" i="7"/>
  <c r="W891" i="7" s="1"/>
  <c r="U892" i="7"/>
  <c r="W892" i="7" s="1"/>
  <c r="U893" i="7"/>
  <c r="W893" i="7" s="1"/>
  <c r="U894" i="7"/>
  <c r="W894" i="7" s="1"/>
  <c r="U895" i="7"/>
  <c r="W895" i="7" s="1"/>
  <c r="U896" i="7"/>
  <c r="W896" i="7" s="1"/>
  <c r="U897" i="7"/>
  <c r="W897" i="7" s="1"/>
  <c r="U898" i="7"/>
  <c r="W898" i="7" s="1"/>
  <c r="U899" i="7"/>
  <c r="W899" i="7" s="1"/>
  <c r="U900" i="7"/>
  <c r="W900" i="7" s="1"/>
  <c r="U901" i="7"/>
  <c r="W901" i="7" s="1"/>
  <c r="U902" i="7"/>
  <c r="W902" i="7" s="1"/>
  <c r="U903" i="7"/>
  <c r="W903" i="7" s="1"/>
  <c r="U904" i="7"/>
  <c r="W904" i="7" s="1"/>
  <c r="U905" i="7"/>
  <c r="W905" i="7" s="1"/>
  <c r="U906" i="7"/>
  <c r="W906" i="7" s="1"/>
  <c r="U907" i="7"/>
  <c r="W907" i="7" s="1"/>
  <c r="U908" i="7"/>
  <c r="W908" i="7" s="1"/>
  <c r="U909" i="7"/>
  <c r="W909" i="7" s="1"/>
  <c r="U910" i="7"/>
  <c r="W910" i="7" s="1"/>
  <c r="U911" i="7"/>
  <c r="W911" i="7" s="1"/>
  <c r="U912" i="7"/>
  <c r="W912" i="7" s="1"/>
  <c r="U913" i="7"/>
  <c r="W913" i="7" s="1"/>
  <c r="U914" i="7"/>
  <c r="W914" i="7" s="1"/>
  <c r="U915" i="7"/>
  <c r="W915" i="7" s="1"/>
  <c r="U916" i="7"/>
  <c r="W916" i="7" s="1"/>
  <c r="U917" i="7"/>
  <c r="W917" i="7" s="1"/>
  <c r="U918" i="7"/>
  <c r="W918" i="7" s="1"/>
  <c r="U919" i="7"/>
  <c r="W919" i="7" s="1"/>
  <c r="U920" i="7"/>
  <c r="W920" i="7" s="1"/>
  <c r="U921" i="7"/>
  <c r="W921" i="7" s="1"/>
  <c r="U922" i="7"/>
  <c r="W922" i="7" s="1"/>
  <c r="U923" i="7"/>
  <c r="W923" i="7" s="1"/>
  <c r="U924" i="7"/>
  <c r="W924" i="7" s="1"/>
  <c r="U925" i="7"/>
  <c r="W925" i="7" s="1"/>
  <c r="U926" i="7"/>
  <c r="W926" i="7" s="1"/>
  <c r="U927" i="7"/>
  <c r="W927" i="7" s="1"/>
  <c r="U928" i="7"/>
  <c r="W928" i="7" s="1"/>
  <c r="U929" i="7"/>
  <c r="W929" i="7" s="1"/>
  <c r="U930" i="7"/>
  <c r="W930" i="7" s="1"/>
  <c r="U931" i="7"/>
  <c r="W931" i="7" s="1"/>
  <c r="U932" i="7"/>
  <c r="W932" i="7" s="1"/>
  <c r="U933" i="7"/>
  <c r="W933" i="7" s="1"/>
  <c r="U934" i="7"/>
  <c r="W934" i="7" s="1"/>
  <c r="U935" i="7"/>
  <c r="W935" i="7" s="1"/>
  <c r="U936" i="7"/>
  <c r="W936" i="7" s="1"/>
  <c r="U937" i="7"/>
  <c r="W937" i="7" s="1"/>
  <c r="U938" i="7"/>
  <c r="W938" i="7" s="1"/>
  <c r="U939" i="7"/>
  <c r="W939" i="7" s="1"/>
  <c r="U940" i="7"/>
  <c r="W940" i="7" s="1"/>
  <c r="U941" i="7"/>
  <c r="W941" i="7" s="1"/>
  <c r="U942" i="7"/>
  <c r="W942" i="7" s="1"/>
  <c r="U943" i="7"/>
  <c r="W943" i="7" s="1"/>
  <c r="U944" i="7"/>
  <c r="W944" i="7" s="1"/>
  <c r="U945" i="7"/>
  <c r="W945" i="7" s="1"/>
  <c r="U946" i="7"/>
  <c r="W946" i="7" s="1"/>
  <c r="U947" i="7"/>
  <c r="W947" i="7" s="1"/>
  <c r="U948" i="7"/>
  <c r="W948" i="7" s="1"/>
  <c r="U949" i="7"/>
  <c r="W949" i="7" s="1"/>
  <c r="U950" i="7"/>
  <c r="W950" i="7" s="1"/>
  <c r="U951" i="7"/>
  <c r="W951" i="7" s="1"/>
  <c r="U952" i="7"/>
  <c r="W952" i="7" s="1"/>
  <c r="U953" i="7"/>
  <c r="W953" i="7" s="1"/>
  <c r="U954" i="7"/>
  <c r="W954" i="7" s="1"/>
  <c r="U955" i="7"/>
  <c r="W955" i="7" s="1"/>
  <c r="U956" i="7"/>
  <c r="W956" i="7" s="1"/>
  <c r="U957" i="7"/>
  <c r="W957" i="7" s="1"/>
  <c r="U958" i="7"/>
  <c r="W958" i="7" s="1"/>
  <c r="U959" i="7"/>
  <c r="W959" i="7" s="1"/>
  <c r="U960" i="7"/>
  <c r="W960" i="7" s="1"/>
  <c r="U961" i="7"/>
  <c r="W961" i="7" s="1"/>
  <c r="U962" i="7"/>
  <c r="W962" i="7" s="1"/>
  <c r="U963" i="7"/>
  <c r="W963" i="7" s="1"/>
  <c r="U964" i="7"/>
  <c r="W964" i="7" s="1"/>
  <c r="U965" i="7"/>
  <c r="W965" i="7" s="1"/>
  <c r="U966" i="7"/>
  <c r="W966" i="7" s="1"/>
  <c r="U967" i="7"/>
  <c r="W967" i="7" s="1"/>
  <c r="U968" i="7"/>
  <c r="W968" i="7" s="1"/>
  <c r="U969" i="7"/>
  <c r="W969" i="7" s="1"/>
  <c r="U970" i="7"/>
  <c r="W970" i="7" s="1"/>
  <c r="U971" i="7"/>
  <c r="W971" i="7" s="1"/>
  <c r="U972" i="7"/>
  <c r="W972" i="7" s="1"/>
  <c r="U973" i="7"/>
  <c r="W973" i="7" s="1"/>
  <c r="U974" i="7"/>
  <c r="W974" i="7" s="1"/>
  <c r="U975" i="7"/>
  <c r="W975" i="7" s="1"/>
  <c r="U976" i="7"/>
  <c r="W976" i="7" s="1"/>
  <c r="U977" i="7"/>
  <c r="W977" i="7" s="1"/>
  <c r="U978" i="7"/>
  <c r="W978" i="7" s="1"/>
  <c r="U979" i="7"/>
  <c r="W979" i="7" s="1"/>
  <c r="U980" i="7"/>
  <c r="W980" i="7" s="1"/>
  <c r="U981" i="7"/>
  <c r="W981" i="7" s="1"/>
  <c r="U982" i="7"/>
  <c r="W982" i="7" s="1"/>
  <c r="U983" i="7"/>
  <c r="W983" i="7" s="1"/>
  <c r="U984" i="7"/>
  <c r="W984" i="7" s="1"/>
  <c r="U985" i="7"/>
  <c r="W985" i="7" s="1"/>
  <c r="U986" i="7"/>
  <c r="W986" i="7" s="1"/>
  <c r="U987" i="7"/>
  <c r="W987" i="7" s="1"/>
  <c r="U988" i="7"/>
  <c r="W988" i="7" s="1"/>
  <c r="U989" i="7"/>
  <c r="W989" i="7" s="1"/>
  <c r="U990" i="7"/>
  <c r="W990" i="7" s="1"/>
  <c r="U991" i="7"/>
  <c r="W991" i="7" s="1"/>
  <c r="U992" i="7"/>
  <c r="W992" i="7" s="1"/>
  <c r="U993" i="7"/>
  <c r="W993" i="7" s="1"/>
  <c r="U994" i="7"/>
  <c r="W994" i="7" s="1"/>
  <c r="U995" i="7"/>
  <c r="W995" i="7" s="1"/>
  <c r="U996" i="7"/>
  <c r="W996" i="7" s="1"/>
  <c r="U997" i="7"/>
  <c r="W997" i="7" s="1"/>
  <c r="U998" i="7"/>
  <c r="W998" i="7" s="1"/>
  <c r="U999" i="7"/>
  <c r="W999" i="7" s="1"/>
  <c r="U1000" i="7"/>
  <c r="W1000" i="7" s="1"/>
  <c r="U1001" i="7"/>
  <c r="W1001" i="7" s="1"/>
  <c r="U1002" i="7"/>
  <c r="W1002" i="7" s="1"/>
  <c r="U1003" i="7"/>
  <c r="W1003" i="7" s="1"/>
  <c r="U1004" i="7"/>
  <c r="W1004" i="7" s="1"/>
  <c r="U1005" i="7"/>
  <c r="W1005" i="7" s="1"/>
  <c r="U1006" i="7"/>
  <c r="W1006" i="7" s="1"/>
  <c r="U1007" i="7"/>
  <c r="W1007" i="7" s="1"/>
  <c r="U1008" i="7"/>
  <c r="W1008" i="7" s="1"/>
  <c r="U1009" i="7"/>
  <c r="W1009" i="7" s="1"/>
  <c r="U1010" i="7"/>
  <c r="W1010" i="7" s="1"/>
  <c r="U1011" i="7"/>
  <c r="W1011" i="7" s="1"/>
  <c r="U1012" i="7"/>
  <c r="W1012" i="7" s="1"/>
  <c r="U1013" i="7"/>
  <c r="W1013" i="7" s="1"/>
  <c r="U1014" i="7"/>
  <c r="W1014" i="7" s="1"/>
  <c r="U1015" i="7"/>
  <c r="W1015" i="7" s="1"/>
  <c r="U1016" i="7"/>
  <c r="W1016" i="7" s="1"/>
  <c r="U1017" i="7"/>
  <c r="W1017" i="7" s="1"/>
  <c r="U1018" i="7"/>
  <c r="W1018" i="7" s="1"/>
  <c r="U1019" i="7"/>
  <c r="W1019" i="7" s="1"/>
  <c r="U1020" i="7"/>
  <c r="W1020" i="7" s="1"/>
  <c r="U1021" i="7"/>
  <c r="W1021" i="7" s="1"/>
  <c r="U1022" i="7"/>
  <c r="W1022" i="7" s="1"/>
  <c r="U1023" i="7"/>
  <c r="W1023" i="7" s="1"/>
  <c r="U1024" i="7"/>
  <c r="W1024" i="7" s="1"/>
  <c r="U1025" i="7"/>
  <c r="W1025" i="7" s="1"/>
  <c r="U1026" i="7"/>
  <c r="W1026" i="7" s="1"/>
  <c r="U1027" i="7"/>
  <c r="W1027" i="7" s="1"/>
  <c r="U1028" i="7"/>
  <c r="W1028" i="7" s="1"/>
  <c r="U1029" i="7"/>
  <c r="W1029" i="7" s="1"/>
  <c r="U1030" i="7"/>
  <c r="W1030" i="7" s="1"/>
  <c r="U1031" i="7"/>
  <c r="W1031" i="7" s="1"/>
  <c r="U1032" i="7"/>
  <c r="W1032" i="7" s="1"/>
  <c r="U1033" i="7"/>
  <c r="W1033" i="7" s="1"/>
  <c r="U1034" i="7"/>
  <c r="W1034" i="7" s="1"/>
  <c r="U1035" i="7"/>
  <c r="W1035" i="7" s="1"/>
  <c r="U1036" i="7"/>
  <c r="W1036" i="7" s="1"/>
  <c r="U1037" i="7"/>
  <c r="W1037" i="7" s="1"/>
  <c r="U1038" i="7"/>
  <c r="W1038" i="7" s="1"/>
  <c r="U1039" i="7"/>
  <c r="W1039" i="7" s="1"/>
  <c r="U1040" i="7"/>
  <c r="W1040" i="7" s="1"/>
  <c r="U1041" i="7"/>
  <c r="W1041" i="7" s="1"/>
  <c r="U1042" i="7"/>
  <c r="W1042" i="7" s="1"/>
  <c r="U1043" i="7"/>
  <c r="W1043" i="7" s="1"/>
  <c r="U1044" i="7"/>
  <c r="W1044" i="7" s="1"/>
  <c r="U1045" i="7"/>
  <c r="W1045" i="7" s="1"/>
  <c r="U1046" i="7"/>
  <c r="W1046" i="7" s="1"/>
  <c r="U1047" i="7"/>
  <c r="W1047" i="7" s="1"/>
  <c r="U1048" i="7"/>
  <c r="W1048" i="7" s="1"/>
  <c r="U1049" i="7"/>
  <c r="W1049" i="7" s="1"/>
  <c r="U1050" i="7"/>
  <c r="W1050" i="7" s="1"/>
  <c r="U1051" i="7"/>
  <c r="W1051" i="7" s="1"/>
  <c r="U1052" i="7"/>
  <c r="W1052" i="7" s="1"/>
  <c r="U1053" i="7"/>
  <c r="W1053" i="7" s="1"/>
  <c r="U1054" i="7"/>
  <c r="W1054" i="7" s="1"/>
  <c r="U1055" i="7"/>
  <c r="W1055" i="7" s="1"/>
  <c r="U1056" i="7"/>
  <c r="W1056" i="7" s="1"/>
  <c r="U1057" i="7"/>
  <c r="W1057" i="7" s="1"/>
  <c r="U1058" i="7"/>
  <c r="W1058" i="7" s="1"/>
  <c r="U1059" i="7"/>
  <c r="W1059" i="7" s="1"/>
  <c r="U1060" i="7"/>
  <c r="W1060" i="7" s="1"/>
  <c r="U1061" i="7"/>
  <c r="W1061" i="7" s="1"/>
  <c r="U1062" i="7"/>
  <c r="W1062" i="7" s="1"/>
  <c r="U1063" i="7"/>
  <c r="W1063" i="7" s="1"/>
  <c r="U1064" i="7"/>
  <c r="W1064" i="7" s="1"/>
  <c r="U1065" i="7"/>
  <c r="W1065" i="7" s="1"/>
  <c r="U1066" i="7"/>
  <c r="W1066" i="7" s="1"/>
  <c r="U1067" i="7"/>
  <c r="W1067" i="7" s="1"/>
  <c r="U1068" i="7"/>
  <c r="W1068" i="7" s="1"/>
  <c r="U1069" i="7"/>
  <c r="W1069" i="7" s="1"/>
  <c r="U1070" i="7"/>
  <c r="W1070" i="7" s="1"/>
  <c r="U1071" i="7"/>
  <c r="W1071" i="7" s="1"/>
  <c r="U1072" i="7"/>
  <c r="W1072" i="7" s="1"/>
  <c r="U1073" i="7"/>
  <c r="W1073" i="7" s="1"/>
  <c r="U1074" i="7"/>
  <c r="W1074" i="7" s="1"/>
  <c r="U1075" i="7"/>
  <c r="W1075" i="7" s="1"/>
  <c r="U1076" i="7"/>
  <c r="W1076" i="7" s="1"/>
  <c r="U1077" i="7"/>
  <c r="W1077" i="7" s="1"/>
  <c r="U1078" i="7"/>
  <c r="W1078" i="7" s="1"/>
  <c r="U1079" i="7"/>
  <c r="W1079" i="7" s="1"/>
  <c r="U1080" i="7"/>
  <c r="W1080" i="7" s="1"/>
  <c r="U1081" i="7"/>
  <c r="W1081" i="7" s="1"/>
  <c r="U1082" i="7"/>
  <c r="W1082" i="7" s="1"/>
  <c r="U1083" i="7"/>
  <c r="W1083" i="7" s="1"/>
  <c r="U1084" i="7"/>
  <c r="W1084" i="7" s="1"/>
  <c r="U1085" i="7"/>
  <c r="W1085" i="7" s="1"/>
  <c r="U1086" i="7"/>
  <c r="W1086" i="7" s="1"/>
  <c r="U1087" i="7"/>
  <c r="W1087" i="7" s="1"/>
  <c r="U1088" i="7"/>
  <c r="W1088" i="7" s="1"/>
  <c r="U1089" i="7"/>
  <c r="W1089" i="7" s="1"/>
  <c r="U1090" i="7"/>
  <c r="W1090" i="7" s="1"/>
  <c r="U1091" i="7"/>
  <c r="W1091" i="7" s="1"/>
  <c r="U1092" i="7"/>
  <c r="W1092" i="7" s="1"/>
  <c r="U1093" i="7"/>
  <c r="W1093" i="7" s="1"/>
  <c r="U1094" i="7"/>
  <c r="W1094" i="7" s="1"/>
  <c r="U1095" i="7"/>
  <c r="W1095" i="7" s="1"/>
  <c r="U1096" i="7"/>
  <c r="W1096" i="7" s="1"/>
  <c r="U1097" i="7"/>
  <c r="W1097" i="7" s="1"/>
  <c r="U1098" i="7"/>
  <c r="W1098" i="7" s="1"/>
  <c r="U1099" i="7"/>
  <c r="W1099" i="7" s="1"/>
  <c r="U1100" i="7"/>
  <c r="W1100" i="7" s="1"/>
  <c r="U1101" i="7"/>
  <c r="W1101" i="7" s="1"/>
  <c r="U1102" i="7"/>
  <c r="W1102" i="7" s="1"/>
  <c r="U1103" i="7"/>
  <c r="W1103" i="7" s="1"/>
  <c r="U1104" i="7"/>
  <c r="W1104" i="7" s="1"/>
  <c r="U1105" i="7"/>
  <c r="W1105" i="7" s="1"/>
  <c r="U1106" i="7"/>
  <c r="W1106" i="7" s="1"/>
  <c r="U1107" i="7"/>
  <c r="W1107" i="7" s="1"/>
  <c r="U1108" i="7"/>
  <c r="W1108" i="7" s="1"/>
  <c r="U1109" i="7"/>
  <c r="W1109" i="7" s="1"/>
  <c r="U1110" i="7"/>
  <c r="W1110" i="7" s="1"/>
  <c r="U1111" i="7"/>
  <c r="W1111" i="7" s="1"/>
  <c r="U1112" i="7"/>
  <c r="W1112" i="7" s="1"/>
  <c r="U1113" i="7"/>
  <c r="W1113" i="7" s="1"/>
  <c r="U1114" i="7"/>
  <c r="W1114" i="7" s="1"/>
  <c r="U1115" i="7"/>
  <c r="W1115" i="7" s="1"/>
  <c r="U1116" i="7"/>
  <c r="W1116" i="7" s="1"/>
  <c r="U1117" i="7"/>
  <c r="W1117" i="7" s="1"/>
  <c r="U1118" i="7"/>
  <c r="W1118" i="7" s="1"/>
  <c r="U1119" i="7"/>
  <c r="W1119" i="7" s="1"/>
  <c r="U1120" i="7"/>
  <c r="W1120" i="7" s="1"/>
  <c r="U1121" i="7"/>
  <c r="W1121" i="7" s="1"/>
  <c r="U1122" i="7"/>
  <c r="W1122" i="7" s="1"/>
  <c r="U1123" i="7"/>
  <c r="W1123" i="7" s="1"/>
  <c r="U1124" i="7"/>
  <c r="W1124" i="7" s="1"/>
  <c r="U1125" i="7"/>
  <c r="W1125" i="7" s="1"/>
  <c r="U1126" i="7"/>
  <c r="W1126" i="7" s="1"/>
  <c r="U1127" i="7"/>
  <c r="W1127" i="7" s="1"/>
  <c r="U1128" i="7"/>
  <c r="W1128" i="7" s="1"/>
  <c r="U1129" i="7"/>
  <c r="W1129" i="7" s="1"/>
  <c r="U1130" i="7"/>
  <c r="W1130" i="7" s="1"/>
  <c r="U1131" i="7"/>
  <c r="W1131" i="7" s="1"/>
  <c r="U1132" i="7"/>
  <c r="W1132" i="7" s="1"/>
  <c r="U1133" i="7"/>
  <c r="W1133" i="7" s="1"/>
  <c r="U1134" i="7"/>
  <c r="W1134" i="7" s="1"/>
  <c r="U1135" i="7"/>
  <c r="W1135" i="7" s="1"/>
  <c r="U1136" i="7"/>
  <c r="W1136" i="7" s="1"/>
  <c r="U1137" i="7"/>
  <c r="W1137" i="7" s="1"/>
  <c r="U1138" i="7"/>
  <c r="W1138" i="7" s="1"/>
  <c r="U1139" i="7"/>
  <c r="W1139" i="7" s="1"/>
  <c r="U1140" i="7"/>
  <c r="W1140" i="7" s="1"/>
  <c r="U1141" i="7"/>
  <c r="W1141" i="7" s="1"/>
  <c r="U1142" i="7"/>
  <c r="W1142" i="7" s="1"/>
  <c r="U1143" i="7"/>
  <c r="W1143" i="7" s="1"/>
  <c r="U1144" i="7"/>
  <c r="W1144" i="7" s="1"/>
  <c r="U1145" i="7"/>
  <c r="W1145" i="7" s="1"/>
  <c r="U1146" i="7"/>
  <c r="W1146" i="7" s="1"/>
  <c r="U1147" i="7"/>
  <c r="W1147" i="7" s="1"/>
  <c r="U1148" i="7"/>
  <c r="W1148" i="7" s="1"/>
  <c r="U1149" i="7"/>
  <c r="W1149" i="7" s="1"/>
  <c r="U1150" i="7"/>
  <c r="W1150" i="7" s="1"/>
  <c r="U1151" i="7"/>
  <c r="W1151" i="7" s="1"/>
  <c r="U1152" i="7"/>
  <c r="W1152" i="7" s="1"/>
  <c r="U1153" i="7"/>
  <c r="W1153" i="7" s="1"/>
  <c r="U1154" i="7"/>
  <c r="W1154" i="7" s="1"/>
  <c r="U1155" i="7"/>
  <c r="W1155" i="7" s="1"/>
  <c r="U1156" i="7"/>
  <c r="W1156" i="7" s="1"/>
  <c r="U1157" i="7"/>
  <c r="W1157" i="7" s="1"/>
  <c r="U1158" i="7"/>
  <c r="W1158" i="7" s="1"/>
  <c r="U1159" i="7"/>
  <c r="W1159" i="7" s="1"/>
  <c r="U1160" i="7"/>
  <c r="W1160" i="7" s="1"/>
  <c r="U1161" i="7"/>
  <c r="W1161" i="7" s="1"/>
  <c r="U1162" i="7"/>
  <c r="W1162" i="7" s="1"/>
  <c r="U1163" i="7"/>
  <c r="W1163" i="7" s="1"/>
  <c r="U1164" i="7"/>
  <c r="W1164" i="7" s="1"/>
  <c r="U1165" i="7"/>
  <c r="W1165" i="7" s="1"/>
  <c r="U1166" i="7"/>
  <c r="W1166" i="7" s="1"/>
  <c r="U1167" i="7"/>
  <c r="W1167" i="7" s="1"/>
  <c r="U1168" i="7"/>
  <c r="W1168" i="7" s="1"/>
  <c r="U1169" i="7"/>
  <c r="W1169" i="7" s="1"/>
  <c r="U1170" i="7"/>
  <c r="W1170" i="7" s="1"/>
  <c r="U1171" i="7"/>
  <c r="W1171" i="7" s="1"/>
  <c r="U1172" i="7"/>
  <c r="W1172" i="7" s="1"/>
  <c r="U1173" i="7"/>
  <c r="W1173" i="7" s="1"/>
  <c r="U1174" i="7"/>
  <c r="W1174" i="7" s="1"/>
  <c r="U1175" i="7"/>
  <c r="W1175" i="7" s="1"/>
  <c r="U1176" i="7"/>
  <c r="W1176" i="7" s="1"/>
  <c r="U1177" i="7"/>
  <c r="W1177" i="7" s="1"/>
  <c r="U1178" i="7"/>
  <c r="W1178" i="7" s="1"/>
  <c r="U1179" i="7"/>
  <c r="W1179" i="7" s="1"/>
  <c r="U1180" i="7"/>
  <c r="W1180" i="7" s="1"/>
  <c r="U1181" i="7"/>
  <c r="W1181" i="7" s="1"/>
  <c r="U1182" i="7"/>
  <c r="W1182" i="7" s="1"/>
  <c r="U1183" i="7"/>
  <c r="W1183" i="7" s="1"/>
  <c r="U1184" i="7"/>
  <c r="W1184" i="7" s="1"/>
  <c r="U1185" i="7"/>
  <c r="W1185" i="7" s="1"/>
  <c r="U1186" i="7"/>
  <c r="W1186" i="7" s="1"/>
  <c r="U1187" i="7"/>
  <c r="W1187" i="7" s="1"/>
  <c r="U1188" i="7"/>
  <c r="W1188" i="7" s="1"/>
  <c r="U1189" i="7"/>
  <c r="W1189" i="7" s="1"/>
  <c r="U1190" i="7"/>
  <c r="W1190" i="7" s="1"/>
  <c r="U1191" i="7"/>
  <c r="W1191" i="7" s="1"/>
  <c r="U1192" i="7"/>
  <c r="W1192" i="7" s="1"/>
  <c r="U1193" i="7"/>
  <c r="W1193" i="7" s="1"/>
  <c r="U1194" i="7"/>
  <c r="W1194" i="7" s="1"/>
  <c r="U1195" i="7"/>
  <c r="W1195" i="7" s="1"/>
  <c r="U1196" i="7"/>
  <c r="W1196" i="7" s="1"/>
  <c r="U1197" i="7"/>
  <c r="W1197" i="7" s="1"/>
  <c r="U1198" i="7"/>
  <c r="W1198" i="7" s="1"/>
  <c r="U1199" i="7"/>
  <c r="W1199" i="7" s="1"/>
  <c r="U1200" i="7"/>
  <c r="W1200" i="7" s="1"/>
  <c r="U1201" i="7"/>
  <c r="W1201" i="7" s="1"/>
  <c r="U1202" i="7"/>
  <c r="W1202" i="7" s="1"/>
  <c r="U1203" i="7"/>
  <c r="W1203" i="7" s="1"/>
  <c r="U1204" i="7"/>
  <c r="W1204" i="7" s="1"/>
  <c r="U1205" i="7"/>
  <c r="W1205" i="7" s="1"/>
  <c r="U1206" i="7"/>
  <c r="W1206" i="7" s="1"/>
  <c r="U1207" i="7"/>
  <c r="W1207" i="7" s="1"/>
  <c r="U1208" i="7"/>
  <c r="W1208" i="7" s="1"/>
  <c r="U1209" i="7"/>
  <c r="W1209" i="7" s="1"/>
  <c r="U1210" i="7"/>
  <c r="W1210" i="7" s="1"/>
  <c r="U1211" i="7"/>
  <c r="W1211" i="7" s="1"/>
  <c r="U1212" i="7"/>
  <c r="W1212" i="7" s="1"/>
  <c r="U1213" i="7"/>
  <c r="W1213" i="7" s="1"/>
  <c r="U1214" i="7"/>
  <c r="W1214" i="7" s="1"/>
  <c r="U1215" i="7"/>
  <c r="W1215" i="7" s="1"/>
  <c r="U1216" i="7"/>
  <c r="W1216" i="7" s="1"/>
  <c r="U1217" i="7"/>
  <c r="W1217" i="7" s="1"/>
  <c r="U1218" i="7"/>
  <c r="W1218" i="7" s="1"/>
  <c r="U1219" i="7"/>
  <c r="W1219" i="7" s="1"/>
  <c r="U1220" i="7"/>
  <c r="W1220" i="7" s="1"/>
  <c r="U1221" i="7"/>
  <c r="W1221" i="7" s="1"/>
  <c r="U1222" i="7"/>
  <c r="W1222" i="7" s="1"/>
  <c r="U1223" i="7"/>
  <c r="W1223" i="7" s="1"/>
  <c r="U1224" i="7"/>
  <c r="W1224" i="7" s="1"/>
  <c r="U1225" i="7"/>
  <c r="W1225" i="7" s="1"/>
  <c r="U1226" i="7"/>
  <c r="W1226" i="7" s="1"/>
  <c r="U1227" i="7"/>
  <c r="W1227" i="7" s="1"/>
  <c r="U1228" i="7"/>
  <c r="W1228" i="7" s="1"/>
  <c r="U1229" i="7"/>
  <c r="W1229" i="7" s="1"/>
  <c r="U1230" i="7"/>
  <c r="W1230" i="7" s="1"/>
  <c r="U1231" i="7"/>
  <c r="W1231" i="7" s="1"/>
  <c r="U1232" i="7"/>
  <c r="W1232" i="7" s="1"/>
  <c r="U1233" i="7"/>
  <c r="W1233" i="7" s="1"/>
  <c r="U1234" i="7"/>
  <c r="W1234" i="7" s="1"/>
  <c r="U1235" i="7"/>
  <c r="W1235" i="7" s="1"/>
  <c r="U1236" i="7"/>
  <c r="W1236" i="7" s="1"/>
  <c r="U1237" i="7"/>
  <c r="W1237" i="7" s="1"/>
  <c r="U1238" i="7"/>
  <c r="W1238" i="7" s="1"/>
  <c r="U1239" i="7"/>
  <c r="W1239" i="7" s="1"/>
  <c r="U3" i="7"/>
  <c r="W3" i="7" s="1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5" i="7"/>
  <c r="M147" i="7"/>
  <c r="M149" i="7"/>
  <c r="M151" i="7"/>
  <c r="M153" i="7"/>
  <c r="M155" i="7"/>
  <c r="M161" i="7"/>
  <c r="M165" i="7"/>
  <c r="M167" i="7"/>
  <c r="M172" i="7"/>
  <c r="M174" i="7"/>
  <c r="M176" i="7"/>
  <c r="M180" i="7"/>
  <c r="M183" i="7"/>
  <c r="M185" i="7"/>
  <c r="M189" i="7"/>
  <c r="M191" i="7"/>
  <c r="M193" i="7"/>
  <c r="M195" i="7"/>
  <c r="M197" i="7"/>
  <c r="M199" i="7"/>
  <c r="M201" i="7"/>
  <c r="M203" i="7"/>
  <c r="M205" i="7"/>
  <c r="M209" i="7"/>
  <c r="M210" i="7"/>
  <c r="M211" i="7"/>
  <c r="M213" i="7"/>
  <c r="M215" i="7"/>
  <c r="M217" i="7"/>
  <c r="M219" i="7"/>
  <c r="M223" i="7"/>
  <c r="M225" i="7"/>
  <c r="M227" i="7"/>
  <c r="M231" i="7"/>
  <c r="M233" i="7"/>
  <c r="M237" i="7"/>
  <c r="M239" i="7"/>
  <c r="M242" i="7"/>
  <c r="M244" i="7"/>
  <c r="M245" i="7"/>
  <c r="M246" i="7"/>
  <c r="M248" i="7"/>
  <c r="M250" i="7"/>
  <c r="M252" i="7"/>
  <c r="M254" i="7"/>
  <c r="M256" i="7"/>
  <c r="M258" i="7"/>
  <c r="M262" i="7"/>
  <c r="M263" i="7"/>
  <c r="M266" i="7"/>
  <c r="M268" i="7"/>
  <c r="M270" i="7"/>
  <c r="M272" i="7"/>
  <c r="M276" i="7"/>
  <c r="M278" i="7"/>
  <c r="M281" i="7"/>
  <c r="M283" i="7"/>
  <c r="M285" i="7"/>
  <c r="M287" i="7"/>
  <c r="M289" i="7"/>
  <c r="M291" i="7"/>
  <c r="M293" i="7"/>
  <c r="M295" i="7"/>
  <c r="M297" i="7"/>
  <c r="M299" i="7"/>
  <c r="M301" i="7"/>
  <c r="M303" i="7"/>
  <c r="M307" i="7"/>
  <c r="M311" i="7"/>
  <c r="M314" i="7"/>
  <c r="M316" i="7"/>
  <c r="M318" i="7"/>
  <c r="M320" i="7"/>
  <c r="M322" i="7"/>
  <c r="M324" i="7"/>
  <c r="M327" i="7"/>
  <c r="M329" i="7"/>
  <c r="M332" i="7"/>
  <c r="M336" i="7"/>
  <c r="M338" i="7"/>
  <c r="M340" i="7"/>
  <c r="M342" i="7"/>
  <c r="M346" i="7"/>
  <c r="M348" i="7"/>
  <c r="M349" i="7"/>
  <c r="M353" i="7"/>
  <c r="M357" i="7"/>
  <c r="M361" i="7"/>
  <c r="M365" i="7"/>
  <c r="M368" i="7"/>
  <c r="M372" i="7"/>
  <c r="M376" i="7"/>
  <c r="M377" i="7"/>
  <c r="M378" i="7"/>
  <c r="M379" i="7"/>
  <c r="M380" i="7"/>
  <c r="M382" i="7"/>
  <c r="M384" i="7"/>
  <c r="M386" i="7"/>
  <c r="M388" i="7"/>
  <c r="M391" i="7"/>
  <c r="M393" i="7"/>
  <c r="M395" i="7"/>
  <c r="M397" i="7"/>
  <c r="M399" i="7"/>
  <c r="M402" i="7"/>
  <c r="M404" i="7"/>
  <c r="M406" i="7"/>
  <c r="M410" i="7"/>
  <c r="M411" i="7"/>
  <c r="M412" i="7"/>
  <c r="M415" i="7"/>
  <c r="M418" i="7"/>
  <c r="M420" i="7"/>
  <c r="M422" i="7"/>
  <c r="M424" i="7"/>
  <c r="M426" i="7"/>
  <c r="M430" i="7"/>
  <c r="M432" i="7"/>
  <c r="M436" i="7"/>
  <c r="M438" i="7"/>
  <c r="M442" i="7"/>
  <c r="M444" i="7"/>
  <c r="M446" i="7"/>
  <c r="M450" i="7"/>
  <c r="M452" i="7"/>
  <c r="M454" i="7"/>
  <c r="M458" i="7"/>
  <c r="M460" i="7"/>
  <c r="M462" i="7"/>
  <c r="M464" i="7"/>
  <c r="M468" i="7"/>
  <c r="M472" i="7"/>
  <c r="M474" i="7"/>
  <c r="M476" i="7"/>
  <c r="M478" i="7"/>
  <c r="M480" i="7"/>
  <c r="M482" i="7"/>
  <c r="M484" i="7"/>
  <c r="M486" i="7"/>
  <c r="M488" i="7"/>
  <c r="M492" i="7"/>
  <c r="M494" i="7"/>
  <c r="M496" i="7"/>
  <c r="M500" i="7"/>
  <c r="M502" i="7"/>
  <c r="M504" i="7"/>
  <c r="M506" i="7"/>
  <c r="M4" i="7"/>
  <c r="M5" i="7"/>
  <c r="M6" i="7"/>
  <c r="M7" i="7"/>
  <c r="M8" i="7"/>
  <c r="M9" i="7"/>
  <c r="M10" i="7"/>
  <c r="M3" i="7"/>
  <c r="K507" i="7"/>
  <c r="M507" i="7" s="1"/>
  <c r="K505" i="7"/>
  <c r="M505" i="7" s="1"/>
  <c r="K503" i="7"/>
  <c r="M503" i="7" s="1"/>
  <c r="K501" i="7"/>
  <c r="M501" i="7" s="1"/>
  <c r="K497" i="7"/>
  <c r="K498" i="7" s="1"/>
  <c r="K499" i="7" s="1"/>
  <c r="M499" i="7" s="1"/>
  <c r="K495" i="7"/>
  <c r="M495" i="7" s="1"/>
  <c r="K493" i="7"/>
  <c r="M493" i="7" s="1"/>
  <c r="K489" i="7"/>
  <c r="K490" i="7" s="1"/>
  <c r="K491" i="7" s="1"/>
  <c r="M491" i="7" s="1"/>
  <c r="K487" i="7"/>
  <c r="M487" i="7" s="1"/>
  <c r="K485" i="7"/>
  <c r="M485" i="7" s="1"/>
  <c r="K483" i="7"/>
  <c r="M483" i="7" s="1"/>
  <c r="K481" i="7"/>
  <c r="M481" i="7" s="1"/>
  <c r="K479" i="7"/>
  <c r="M479" i="7" s="1"/>
  <c r="K477" i="7"/>
  <c r="M477" i="7" s="1"/>
  <c r="K475" i="7"/>
  <c r="M475" i="7" s="1"/>
  <c r="K473" i="7"/>
  <c r="M473" i="7" s="1"/>
  <c r="K469" i="7"/>
  <c r="K470" i="7" s="1"/>
  <c r="K471" i="7" s="1"/>
  <c r="M471" i="7" s="1"/>
  <c r="K465" i="7"/>
  <c r="K466" i="7" s="1"/>
  <c r="K467" i="7" s="1"/>
  <c r="M467" i="7" s="1"/>
  <c r="K463" i="7"/>
  <c r="M463" i="7" s="1"/>
  <c r="K461" i="7"/>
  <c r="M461" i="7" s="1"/>
  <c r="K459" i="7"/>
  <c r="M459" i="7" s="1"/>
  <c r="K455" i="7"/>
  <c r="K456" i="7" s="1"/>
  <c r="K457" i="7" s="1"/>
  <c r="M457" i="7" s="1"/>
  <c r="K453" i="7"/>
  <c r="M453" i="7" s="1"/>
  <c r="K451" i="7"/>
  <c r="M451" i="7" s="1"/>
  <c r="K447" i="7"/>
  <c r="K448" i="7" s="1"/>
  <c r="K449" i="7" s="1"/>
  <c r="M449" i="7" s="1"/>
  <c r="K445" i="7"/>
  <c r="M445" i="7" s="1"/>
  <c r="K443" i="7"/>
  <c r="M443" i="7" s="1"/>
  <c r="K439" i="7"/>
  <c r="K440" i="7" s="1"/>
  <c r="K441" i="7" s="1"/>
  <c r="M441" i="7" s="1"/>
  <c r="K437" i="7"/>
  <c r="M437" i="7" s="1"/>
  <c r="K433" i="7"/>
  <c r="K434" i="7" s="1"/>
  <c r="K435" i="7" s="1"/>
  <c r="M435" i="7" s="1"/>
  <c r="K431" i="7"/>
  <c r="M431" i="7" s="1"/>
  <c r="K427" i="7"/>
  <c r="M427" i="7" s="1"/>
  <c r="K425" i="7"/>
  <c r="M425" i="7" s="1"/>
  <c r="K423" i="7"/>
  <c r="M423" i="7" s="1"/>
  <c r="K421" i="7"/>
  <c r="M421" i="7" s="1"/>
  <c r="K419" i="7"/>
  <c r="M419" i="7" s="1"/>
  <c r="K416" i="7"/>
  <c r="K417" i="7" s="1"/>
  <c r="M417" i="7" s="1"/>
  <c r="K413" i="7"/>
  <c r="K414" i="7" s="1"/>
  <c r="M414" i="7" s="1"/>
  <c r="K407" i="7"/>
  <c r="K408" i="7" s="1"/>
  <c r="K409" i="7" s="1"/>
  <c r="M409" i="7" s="1"/>
  <c r="K405" i="7"/>
  <c r="M405" i="7" s="1"/>
  <c r="K403" i="7"/>
  <c r="M403" i="7" s="1"/>
  <c r="K400" i="7"/>
  <c r="K401" i="7" s="1"/>
  <c r="M401" i="7" s="1"/>
  <c r="K398" i="7"/>
  <c r="M398" i="7" s="1"/>
  <c r="K396" i="7"/>
  <c r="M396" i="7" s="1"/>
  <c r="K394" i="7"/>
  <c r="M394" i="7" s="1"/>
  <c r="K392" i="7"/>
  <c r="M392" i="7" s="1"/>
  <c r="K389" i="7"/>
  <c r="K390" i="7" s="1"/>
  <c r="M390" i="7" s="1"/>
  <c r="K387" i="7"/>
  <c r="M387" i="7" s="1"/>
  <c r="K385" i="7"/>
  <c r="M385" i="7" s="1"/>
  <c r="K383" i="7"/>
  <c r="M383" i="7" s="1"/>
  <c r="K381" i="7"/>
  <c r="M381" i="7" s="1"/>
  <c r="K373" i="7"/>
  <c r="K374" i="7" s="1"/>
  <c r="K375" i="7" s="1"/>
  <c r="M375" i="7" s="1"/>
  <c r="K369" i="7"/>
  <c r="K370" i="7" s="1"/>
  <c r="K371" i="7" s="1"/>
  <c r="M371" i="7" s="1"/>
  <c r="K366" i="7"/>
  <c r="K367" i="7" s="1"/>
  <c r="M367" i="7" s="1"/>
  <c r="K362" i="7"/>
  <c r="K363" i="7" s="1"/>
  <c r="K364" i="7" s="1"/>
  <c r="M364" i="7" s="1"/>
  <c r="K358" i="7"/>
  <c r="K359" i="7" s="1"/>
  <c r="K360" i="7" s="1"/>
  <c r="M360" i="7" s="1"/>
  <c r="K354" i="7"/>
  <c r="K355" i="7" s="1"/>
  <c r="K356" i="7" s="1"/>
  <c r="M356" i="7" s="1"/>
  <c r="K350" i="7"/>
  <c r="K351" i="7" s="1"/>
  <c r="K352" i="7" s="1"/>
  <c r="M352" i="7" s="1"/>
  <c r="K347" i="7"/>
  <c r="M347" i="7" s="1"/>
  <c r="K343" i="7"/>
  <c r="K344" i="7" s="1"/>
  <c r="K345" i="7" s="1"/>
  <c r="M345" i="7" s="1"/>
  <c r="K341" i="7"/>
  <c r="M341" i="7" s="1"/>
  <c r="K339" i="7"/>
  <c r="M339" i="7" s="1"/>
  <c r="K337" i="7"/>
  <c r="M337" i="7" s="1"/>
  <c r="K333" i="7"/>
  <c r="K334" i="7" s="1"/>
  <c r="K335" i="7" s="1"/>
  <c r="M335" i="7" s="1"/>
  <c r="K330" i="7"/>
  <c r="K331" i="7" s="1"/>
  <c r="M331" i="7" s="1"/>
  <c r="K328" i="7"/>
  <c r="M328" i="7" s="1"/>
  <c r="K325" i="7"/>
  <c r="K326" i="7" s="1"/>
  <c r="M326" i="7" s="1"/>
  <c r="K323" i="7"/>
  <c r="M323" i="7" s="1"/>
  <c r="M321" i="7"/>
  <c r="K319" i="7"/>
  <c r="M319" i="7" s="1"/>
  <c r="K317" i="7"/>
  <c r="M317" i="7" s="1"/>
  <c r="K315" i="7"/>
  <c r="M315" i="7" s="1"/>
  <c r="K312" i="7"/>
  <c r="K313" i="7" s="1"/>
  <c r="M313" i="7" s="1"/>
  <c r="K308" i="7"/>
  <c r="K309" i="7" s="1"/>
  <c r="K310" i="7" s="1"/>
  <c r="M310" i="7" s="1"/>
  <c r="K304" i="7"/>
  <c r="K305" i="7" s="1"/>
  <c r="K306" i="7" s="1"/>
  <c r="M306" i="7" s="1"/>
  <c r="K302" i="7"/>
  <c r="M302" i="7" s="1"/>
  <c r="K300" i="7"/>
  <c r="M300" i="7" s="1"/>
  <c r="K298" i="7"/>
  <c r="M298" i="7" s="1"/>
  <c r="K296" i="7"/>
  <c r="M296" i="7" s="1"/>
  <c r="K294" i="7"/>
  <c r="M294" i="7" s="1"/>
  <c r="K292" i="7"/>
  <c r="M292" i="7" s="1"/>
  <c r="K290" i="7"/>
  <c r="M290" i="7" s="1"/>
  <c r="K288" i="7"/>
  <c r="M288" i="7" s="1"/>
  <c r="K286" i="7"/>
  <c r="M286" i="7" s="1"/>
  <c r="K284" i="7"/>
  <c r="M284" i="7" s="1"/>
  <c r="K282" i="7"/>
  <c r="M282" i="7" s="1"/>
  <c r="K279" i="7"/>
  <c r="K280" i="7" s="1"/>
  <c r="M280" i="7" s="1"/>
  <c r="K277" i="7"/>
  <c r="M277" i="7" s="1"/>
  <c r="K273" i="7"/>
  <c r="K274" i="7" s="1"/>
  <c r="K275" i="7" s="1"/>
  <c r="M275" i="7" s="1"/>
  <c r="K271" i="7"/>
  <c r="M271" i="7" s="1"/>
  <c r="K269" i="7"/>
  <c r="M269" i="7" s="1"/>
  <c r="K267" i="7"/>
  <c r="M267" i="7" s="1"/>
  <c r="K264" i="7"/>
  <c r="K265" i="7" s="1"/>
  <c r="M265" i="7" s="1"/>
  <c r="K259" i="7"/>
  <c r="K260" i="7" s="1"/>
  <c r="K261" i="7" s="1"/>
  <c r="M261" i="7" s="1"/>
  <c r="K257" i="7"/>
  <c r="M257" i="7" s="1"/>
  <c r="K255" i="7"/>
  <c r="M255" i="7" s="1"/>
  <c r="K253" i="7"/>
  <c r="M253" i="7" s="1"/>
  <c r="K251" i="7"/>
  <c r="M251" i="7" s="1"/>
  <c r="K249" i="7"/>
  <c r="M249" i="7" s="1"/>
  <c r="K247" i="7"/>
  <c r="M247" i="7" s="1"/>
  <c r="K243" i="7"/>
  <c r="M243" i="7" s="1"/>
  <c r="K240" i="7"/>
  <c r="K241" i="7" s="1"/>
  <c r="M241" i="7" s="1"/>
  <c r="K238" i="7"/>
  <c r="M238" i="7" s="1"/>
  <c r="K234" i="7"/>
  <c r="K235" i="7" s="1"/>
  <c r="K236" i="7" s="1"/>
  <c r="M236" i="7" s="1"/>
  <c r="K232" i="7"/>
  <c r="M232" i="7" s="1"/>
  <c r="K228" i="7"/>
  <c r="K229" i="7" s="1"/>
  <c r="K230" i="7" s="1"/>
  <c r="M230" i="7" s="1"/>
  <c r="K226" i="7"/>
  <c r="M226" i="7" s="1"/>
  <c r="K224" i="7"/>
  <c r="M224" i="7" s="1"/>
  <c r="K220" i="7"/>
  <c r="K221" i="7" s="1"/>
  <c r="K222" i="7" s="1"/>
  <c r="M222" i="7" s="1"/>
  <c r="K218" i="7"/>
  <c r="M218" i="7" s="1"/>
  <c r="K216" i="7"/>
  <c r="M216" i="7" s="1"/>
  <c r="K214" i="7"/>
  <c r="M214" i="7" s="1"/>
  <c r="K212" i="7"/>
  <c r="M212" i="7" s="1"/>
  <c r="K206" i="7"/>
  <c r="K207" i="7" s="1"/>
  <c r="K208" i="7" s="1"/>
  <c r="M208" i="7" s="1"/>
  <c r="K204" i="7"/>
  <c r="M204" i="7" s="1"/>
  <c r="K202" i="7"/>
  <c r="M202" i="7" s="1"/>
  <c r="K200" i="7"/>
  <c r="M200" i="7" s="1"/>
  <c r="K198" i="7"/>
  <c r="M198" i="7" s="1"/>
  <c r="K196" i="7"/>
  <c r="M196" i="7" s="1"/>
  <c r="K194" i="7"/>
  <c r="M194" i="7" s="1"/>
  <c r="K192" i="7"/>
  <c r="M192" i="7" s="1"/>
  <c r="K190" i="7"/>
  <c r="M190" i="7" s="1"/>
  <c r="K186" i="7"/>
  <c r="K187" i="7" s="1"/>
  <c r="K188" i="7" s="1"/>
  <c r="M188" i="7" s="1"/>
  <c r="K184" i="7"/>
  <c r="M184" i="7" s="1"/>
  <c r="K181" i="7"/>
  <c r="K182" i="7" s="1"/>
  <c r="M182" i="7" s="1"/>
  <c r="K177" i="7"/>
  <c r="K178" i="7" s="1"/>
  <c r="K179" i="7" s="1"/>
  <c r="M179" i="7" s="1"/>
  <c r="K175" i="7"/>
  <c r="M175" i="7" s="1"/>
  <c r="K173" i="7"/>
  <c r="M173" i="7" s="1"/>
  <c r="K168" i="7"/>
  <c r="K169" i="7" s="1"/>
  <c r="K170" i="7" s="1"/>
  <c r="K171" i="7" s="1"/>
  <c r="M171" i="7" s="1"/>
  <c r="K166" i="7"/>
  <c r="M166" i="7" s="1"/>
  <c r="K162" i="7"/>
  <c r="K163" i="7" s="1"/>
  <c r="K164" i="7" s="1"/>
  <c r="M164" i="7" s="1"/>
  <c r="K156" i="7"/>
  <c r="K157" i="7" s="1"/>
  <c r="M157" i="7" s="1"/>
  <c r="K154" i="7"/>
  <c r="M154" i="7" s="1"/>
  <c r="K152" i="7"/>
  <c r="M152" i="7" s="1"/>
  <c r="K150" i="7"/>
  <c r="M150" i="7" s="1"/>
  <c r="K148" i="7"/>
  <c r="M148" i="7" s="1"/>
  <c r="K146" i="7"/>
  <c r="M146" i="7" s="1"/>
  <c r="K144" i="7"/>
  <c r="M144" i="7" s="1"/>
  <c r="O428" i="7" l="1"/>
  <c r="O429" i="7"/>
  <c r="O411" i="7"/>
  <c r="O157" i="7"/>
  <c r="K158" i="7"/>
  <c r="K159" i="7" s="1"/>
  <c r="K160" i="7" s="1"/>
  <c r="O128" i="7"/>
  <c r="O129" i="7"/>
  <c r="O477" i="7"/>
  <c r="O10" i="7"/>
  <c r="O484" i="7"/>
  <c r="O189" i="7"/>
  <c r="O143" i="7"/>
  <c r="O109" i="7"/>
  <c r="O77" i="7"/>
  <c r="O45" i="7"/>
  <c r="O190" i="7"/>
  <c r="O265" i="7"/>
  <c r="O9" i="7"/>
  <c r="O108" i="7"/>
  <c r="O92" i="7"/>
  <c r="O76" i="7"/>
  <c r="O44" i="7"/>
  <c r="O144" i="7"/>
  <c r="O43" i="7"/>
  <c r="O192" i="7"/>
  <c r="O479" i="7"/>
  <c r="O285" i="7"/>
  <c r="O75" i="7"/>
  <c r="O269" i="7"/>
  <c r="O478" i="7"/>
  <c r="O283" i="7"/>
  <c r="O90" i="7"/>
  <c r="O42" i="7"/>
  <c r="O194" i="7"/>
  <c r="O306" i="7"/>
  <c r="O267" i="7"/>
  <c r="O91" i="7"/>
  <c r="O302" i="7"/>
  <c r="O148" i="7"/>
  <c r="O424" i="7"/>
  <c r="O101" i="7"/>
  <c r="O241" i="7"/>
  <c r="O307" i="7"/>
  <c r="O21" i="7"/>
  <c r="O270" i="7"/>
  <c r="O37" i="7"/>
  <c r="O184" i="7"/>
  <c r="O224" i="7"/>
  <c r="O257" i="7"/>
  <c r="O337" i="7"/>
  <c r="O431" i="7"/>
  <c r="O446" i="7"/>
  <c r="O191" i="7"/>
  <c r="O110" i="7"/>
  <c r="O78" i="7"/>
  <c r="O46" i="7"/>
  <c r="O271" i="7"/>
  <c r="O196" i="7"/>
  <c r="O476" i="7"/>
  <c r="O198" i="7"/>
  <c r="O310" i="7"/>
  <c r="O89" i="7"/>
  <c r="O485" i="7"/>
  <c r="O254" i="7"/>
  <c r="O406" i="7"/>
  <c r="O287" i="7"/>
  <c r="O399" i="7"/>
  <c r="O352" i="7"/>
  <c r="O139" i="7"/>
  <c r="O164" i="7"/>
  <c r="O453" i="7"/>
  <c r="O117" i="7"/>
  <c r="O166" i="7"/>
  <c r="O495" i="7"/>
  <c r="O20" i="7"/>
  <c r="O377" i="7"/>
  <c r="O230" i="7"/>
  <c r="O146" i="7"/>
  <c r="O480" i="7"/>
  <c r="O347" i="7"/>
  <c r="O246" i="7"/>
  <c r="O443" i="7"/>
  <c r="O245" i="7"/>
  <c r="O403" i="7"/>
  <c r="O282" i="7"/>
  <c r="O504" i="7"/>
  <c r="O205" i="7"/>
  <c r="O85" i="7"/>
  <c r="O208" i="7"/>
  <c r="O321" i="7"/>
  <c r="O417" i="7"/>
  <c r="O502" i="7"/>
  <c r="O422" i="7"/>
  <c r="O303" i="7"/>
  <c r="O161" i="7"/>
  <c r="O100" i="7"/>
  <c r="O52" i="7"/>
  <c r="O171" i="7"/>
  <c r="O212" i="7"/>
  <c r="O247" i="7"/>
  <c r="O286" i="7"/>
  <c r="O323" i="7"/>
  <c r="O375" i="7"/>
  <c r="O419" i="7"/>
  <c r="O459" i="7"/>
  <c r="O499" i="7"/>
  <c r="O500" i="7"/>
  <c r="O460" i="7"/>
  <c r="O420" i="7"/>
  <c r="O384" i="7"/>
  <c r="O342" i="7"/>
  <c r="O301" i="7"/>
  <c r="O266" i="7"/>
  <c r="O201" i="7"/>
  <c r="O155" i="7"/>
  <c r="O133" i="7"/>
  <c r="O115" i="7"/>
  <c r="O99" i="7"/>
  <c r="O83" i="7"/>
  <c r="O67" i="7"/>
  <c r="O51" i="7"/>
  <c r="O35" i="7"/>
  <c r="O19" i="7"/>
  <c r="O473" i="7"/>
  <c r="O94" i="7"/>
  <c r="O435" i="7"/>
  <c r="O482" i="7"/>
  <c r="O8" i="7"/>
  <c r="O140" i="7"/>
  <c r="O6" i="7"/>
  <c r="O152" i="7"/>
  <c r="O5" i="7"/>
  <c r="O367" i="7"/>
  <c r="O388" i="7"/>
  <c r="O53" i="7"/>
  <c r="O284" i="7"/>
  <c r="O457" i="7"/>
  <c r="O386" i="7"/>
  <c r="O233" i="7"/>
  <c r="O134" i="7"/>
  <c r="O84" i="7"/>
  <c r="O36" i="7"/>
  <c r="O173" i="7"/>
  <c r="O249" i="7"/>
  <c r="O288" i="7"/>
  <c r="O326" i="7"/>
  <c r="O381" i="7"/>
  <c r="O421" i="7"/>
  <c r="O461" i="7"/>
  <c r="O501" i="7"/>
  <c r="O496" i="7"/>
  <c r="O458" i="7"/>
  <c r="O418" i="7"/>
  <c r="O382" i="7"/>
  <c r="O340" i="7"/>
  <c r="O299" i="7"/>
  <c r="O263" i="7"/>
  <c r="O199" i="7"/>
  <c r="O153" i="7"/>
  <c r="O132" i="7"/>
  <c r="O114" i="7"/>
  <c r="O98" i="7"/>
  <c r="O82" i="7"/>
  <c r="O66" i="7"/>
  <c r="O50" i="7"/>
  <c r="O34" i="7"/>
  <c r="O18" i="7"/>
  <c r="O486" i="7"/>
  <c r="O327" i="7"/>
  <c r="O232" i="7"/>
  <c r="O322" i="7"/>
  <c r="O398" i="7"/>
  <c r="O215" i="7"/>
  <c r="O483" i="7"/>
  <c r="O213" i="7"/>
  <c r="O445" i="7"/>
  <c r="O493" i="7"/>
  <c r="O237" i="7"/>
  <c r="O243" i="7"/>
  <c r="O371" i="7"/>
  <c r="O462" i="7"/>
  <c r="O346" i="7"/>
  <c r="O268" i="7"/>
  <c r="O203" i="7"/>
  <c r="O116" i="7"/>
  <c r="O68" i="7"/>
  <c r="O214" i="7"/>
  <c r="O175" i="7"/>
  <c r="O216" i="7"/>
  <c r="O251" i="7"/>
  <c r="O290" i="7"/>
  <c r="O328" i="7"/>
  <c r="O383" i="7"/>
  <c r="O423" i="7"/>
  <c r="O463" i="7"/>
  <c r="O503" i="7"/>
  <c r="O494" i="7"/>
  <c r="O454" i="7"/>
  <c r="O415" i="7"/>
  <c r="O380" i="7"/>
  <c r="O338" i="7"/>
  <c r="O297" i="7"/>
  <c r="O262" i="7"/>
  <c r="O197" i="7"/>
  <c r="O151" i="7"/>
  <c r="O131" i="7"/>
  <c r="O113" i="7"/>
  <c r="O97" i="7"/>
  <c r="O81" i="7"/>
  <c r="O65" i="7"/>
  <c r="O49" i="7"/>
  <c r="O33" i="7"/>
  <c r="O17" i="7"/>
  <c r="O339" i="7"/>
  <c r="O394" i="7"/>
  <c r="O437" i="7"/>
  <c r="O141" i="7"/>
  <c r="O320" i="7"/>
  <c r="O318" i="7"/>
  <c r="O319" i="7"/>
  <c r="O464" i="7"/>
  <c r="O165" i="7"/>
  <c r="O69" i="7"/>
  <c r="O218" i="7"/>
  <c r="O331" i="7"/>
  <c r="O425" i="7"/>
  <c r="O505" i="7"/>
  <c r="O452" i="7"/>
  <c r="O379" i="7"/>
  <c r="O295" i="7"/>
  <c r="O231" i="7"/>
  <c r="O130" i="7"/>
  <c r="O16" i="7"/>
  <c r="O3" i="7"/>
  <c r="O14" i="7"/>
  <c r="O392" i="7"/>
  <c r="O345" i="7"/>
  <c r="O248" i="7"/>
  <c r="O7" i="7"/>
  <c r="O122" i="7"/>
  <c r="O281" i="7"/>
  <c r="O204" i="7"/>
  <c r="O414" i="7"/>
  <c r="O348" i="7"/>
  <c r="O135" i="7"/>
  <c r="O179" i="7"/>
  <c r="O253" i="7"/>
  <c r="O292" i="7"/>
  <c r="O385" i="7"/>
  <c r="O467" i="7"/>
  <c r="O492" i="7"/>
  <c r="O412" i="7"/>
  <c r="O336" i="7"/>
  <c r="O258" i="7"/>
  <c r="O195" i="7"/>
  <c r="O149" i="7"/>
  <c r="O112" i="7"/>
  <c r="O96" i="7"/>
  <c r="O80" i="7"/>
  <c r="O64" i="7"/>
  <c r="O48" i="7"/>
  <c r="O32" i="7"/>
  <c r="O182" i="7"/>
  <c r="O222" i="7"/>
  <c r="O255" i="7"/>
  <c r="O294" i="7"/>
  <c r="O335" i="7"/>
  <c r="O387" i="7"/>
  <c r="O427" i="7"/>
  <c r="O471" i="7"/>
  <c r="O507" i="7"/>
  <c r="O488" i="7"/>
  <c r="O450" i="7"/>
  <c r="O378" i="7"/>
  <c r="O332" i="7"/>
  <c r="O293" i="7"/>
  <c r="O256" i="7"/>
  <c r="O227" i="7"/>
  <c r="O193" i="7"/>
  <c r="O147" i="7"/>
  <c r="O127" i="7"/>
  <c r="O111" i="7"/>
  <c r="O95" i="7"/>
  <c r="O79" i="7"/>
  <c r="O63" i="7"/>
  <c r="O47" i="7"/>
  <c r="O31" i="7"/>
  <c r="O15" i="7"/>
  <c r="O30" i="7"/>
  <c r="O376" i="7"/>
  <c r="O289" i="7"/>
  <c r="O252" i="7"/>
  <c r="O223" i="7"/>
  <c r="O125" i="7"/>
  <c r="O93" i="7"/>
  <c r="O61" i="7"/>
  <c r="O29" i="7"/>
  <c r="O13" i="7"/>
  <c r="O329" i="7"/>
  <c r="O226" i="7"/>
  <c r="O442" i="7"/>
  <c r="O219" i="7"/>
  <c r="O185" i="7"/>
  <c r="O142" i="7"/>
  <c r="O124" i="7"/>
  <c r="O60" i="7"/>
  <c r="O28" i="7"/>
  <c r="O12" i="7"/>
  <c r="O145" i="7"/>
  <c r="O475" i="7"/>
  <c r="O404" i="7"/>
  <c r="O438" i="7"/>
  <c r="O107" i="7"/>
  <c r="O59" i="7"/>
  <c r="O27" i="7"/>
  <c r="O11" i="7"/>
  <c r="O291" i="7"/>
  <c r="O188" i="7"/>
  <c r="O341" i="7"/>
  <c r="O183" i="7"/>
  <c r="O74" i="7"/>
  <c r="O58" i="7"/>
  <c r="O26" i="7"/>
  <c r="O410" i="7"/>
  <c r="O261" i="7"/>
  <c r="O250" i="7"/>
  <c r="O123" i="7"/>
  <c r="O365" i="7"/>
  <c r="O401" i="7"/>
  <c r="O176" i="7"/>
  <c r="O121" i="7"/>
  <c r="O105" i="7"/>
  <c r="O73" i="7"/>
  <c r="O57" i="7"/>
  <c r="O41" i="7"/>
  <c r="O25" i="7"/>
  <c r="O225" i="7"/>
  <c r="O444" i="7"/>
  <c r="O372" i="7"/>
  <c r="O402" i="7"/>
  <c r="O481" i="7"/>
  <c r="O106" i="7"/>
  <c r="O356" i="7"/>
  <c r="O395" i="7"/>
  <c r="O72" i="7"/>
  <c r="O296" i="7"/>
  <c r="O62" i="7"/>
  <c r="O324" i="7"/>
  <c r="O368" i="7"/>
  <c r="O441" i="7"/>
  <c r="O180" i="7"/>
  <c r="O361" i="7"/>
  <c r="O275" i="7"/>
  <c r="O474" i="7"/>
  <c r="O357" i="7"/>
  <c r="O244" i="7"/>
  <c r="O211" i="7"/>
  <c r="O138" i="7"/>
  <c r="O104" i="7"/>
  <c r="O56" i="7"/>
  <c r="O24" i="7"/>
  <c r="O154" i="7"/>
  <c r="O236" i="7"/>
  <c r="O315" i="7"/>
  <c r="O405" i="7"/>
  <c r="O487" i="7"/>
  <c r="O430" i="7"/>
  <c r="O353" i="7"/>
  <c r="O276" i="7"/>
  <c r="O172" i="7"/>
  <c r="O39" i="7"/>
  <c r="O390" i="7"/>
  <c r="O126" i="7"/>
  <c r="O298" i="7"/>
  <c r="O300" i="7"/>
  <c r="O396" i="7"/>
  <c r="O217" i="7"/>
  <c r="O436" i="7"/>
  <c r="O150" i="7"/>
  <c r="O397" i="7"/>
  <c r="O313" i="7"/>
  <c r="O432" i="7"/>
  <c r="O316" i="7"/>
  <c r="O278" i="7"/>
  <c r="O174" i="7"/>
  <c r="O120" i="7"/>
  <c r="O88" i="7"/>
  <c r="O40" i="7"/>
  <c r="O200" i="7"/>
  <c r="O277" i="7"/>
  <c r="O360" i="7"/>
  <c r="O449" i="7"/>
  <c r="O4" i="7"/>
  <c r="O472" i="7"/>
  <c r="O393" i="7"/>
  <c r="O314" i="7"/>
  <c r="O242" i="7"/>
  <c r="O210" i="7"/>
  <c r="O137" i="7"/>
  <c r="O119" i="7"/>
  <c r="O103" i="7"/>
  <c r="O87" i="7"/>
  <c r="O71" i="7"/>
  <c r="O55" i="7"/>
  <c r="O23" i="7"/>
  <c r="O202" i="7"/>
  <c r="O238" i="7"/>
  <c r="O280" i="7"/>
  <c r="O317" i="7"/>
  <c r="O364" i="7"/>
  <c r="O409" i="7"/>
  <c r="O451" i="7"/>
  <c r="O491" i="7"/>
  <c r="O506" i="7"/>
  <c r="O468" i="7"/>
  <c r="O426" i="7"/>
  <c r="O391" i="7"/>
  <c r="O349" i="7"/>
  <c r="O311" i="7"/>
  <c r="O272" i="7"/>
  <c r="O239" i="7"/>
  <c r="O209" i="7"/>
  <c r="O167" i="7"/>
  <c r="O136" i="7"/>
  <c r="O118" i="7"/>
  <c r="O102" i="7"/>
  <c r="O86" i="7"/>
  <c r="O70" i="7"/>
  <c r="O54" i="7"/>
  <c r="O38" i="7"/>
  <c r="O22" i="7"/>
  <c r="M465" i="7"/>
  <c r="O465" i="7" s="1"/>
  <c r="M466" i="7"/>
  <c r="O466" i="7" s="1"/>
  <c r="M186" i="7"/>
  <c r="O186" i="7" s="1"/>
  <c r="M370" i="7"/>
  <c r="O370" i="7" s="1"/>
  <c r="M369" i="7"/>
  <c r="O369" i="7" s="1"/>
  <c r="M156" i="7"/>
  <c r="O156" i="7" s="1"/>
  <c r="M413" i="7"/>
  <c r="O413" i="7" s="1"/>
  <c r="M416" i="7"/>
  <c r="O416" i="7" s="1"/>
  <c r="M351" i="7"/>
  <c r="O351" i="7" s="1"/>
  <c r="M273" i="7"/>
  <c r="O273" i="7" s="1"/>
  <c r="M358" i="7"/>
  <c r="O358" i="7" s="1"/>
  <c r="M498" i="7"/>
  <c r="O498" i="7" s="1"/>
  <c r="M308" i="7"/>
  <c r="O308" i="7" s="1"/>
  <c r="M170" i="7"/>
  <c r="O170" i="7" s="1"/>
  <c r="M497" i="7"/>
  <c r="O497" i="7" s="1"/>
  <c r="M240" i="7"/>
  <c r="O240" i="7" s="1"/>
  <c r="M169" i="7"/>
  <c r="O169" i="7" s="1"/>
  <c r="M448" i="7"/>
  <c r="O448" i="7" s="1"/>
  <c r="M400" i="7"/>
  <c r="O400" i="7" s="1"/>
  <c r="M355" i="7"/>
  <c r="O355" i="7" s="1"/>
  <c r="M168" i="7"/>
  <c r="O168" i="7" s="1"/>
  <c r="M274" i="7"/>
  <c r="O274" i="7" s="1"/>
  <c r="M366" i="7"/>
  <c r="O366" i="7" s="1"/>
  <c r="M447" i="7"/>
  <c r="O447" i="7" s="1"/>
  <c r="M374" i="7"/>
  <c r="O374" i="7" s="1"/>
  <c r="M354" i="7"/>
  <c r="O354" i="7" s="1"/>
  <c r="M325" i="7"/>
  <c r="O325" i="7" s="1"/>
  <c r="M305" i="7"/>
  <c r="O305" i="7" s="1"/>
  <c r="M260" i="7"/>
  <c r="O260" i="7" s="1"/>
  <c r="M373" i="7"/>
  <c r="O373" i="7" s="1"/>
  <c r="M304" i="7"/>
  <c r="O304" i="7" s="1"/>
  <c r="M259" i="7"/>
  <c r="O259" i="7" s="1"/>
  <c r="M470" i="7"/>
  <c r="O470" i="7" s="1"/>
  <c r="M220" i="7"/>
  <c r="O220" i="7" s="1"/>
  <c r="M469" i="7"/>
  <c r="O469" i="7" s="1"/>
  <c r="M389" i="7"/>
  <c r="O389" i="7" s="1"/>
  <c r="M309" i="7"/>
  <c r="O309" i="7" s="1"/>
  <c r="M187" i="7"/>
  <c r="O187" i="7" s="1"/>
  <c r="M181" i="7"/>
  <c r="O181" i="7" s="1"/>
  <c r="M333" i="7"/>
  <c r="O333" i="7" s="1"/>
  <c r="M163" i="7"/>
  <c r="O163" i="7" s="1"/>
  <c r="M178" i="7"/>
  <c r="O178" i="7" s="1"/>
  <c r="M162" i="7"/>
  <c r="O162" i="7" s="1"/>
  <c r="M334" i="7"/>
  <c r="O334" i="7" s="1"/>
  <c r="M363" i="7"/>
  <c r="O363" i="7" s="1"/>
  <c r="M235" i="7"/>
  <c r="O235" i="7" s="1"/>
  <c r="M177" i="7"/>
  <c r="O177" i="7" s="1"/>
  <c r="M350" i="7"/>
  <c r="O350" i="7" s="1"/>
  <c r="M490" i="7"/>
  <c r="O490" i="7" s="1"/>
  <c r="M362" i="7"/>
  <c r="O362" i="7" s="1"/>
  <c r="M330" i="7"/>
  <c r="O330" i="7" s="1"/>
  <c r="M234" i="7"/>
  <c r="O234" i="7" s="1"/>
  <c r="M433" i="7"/>
  <c r="O433" i="7" s="1"/>
  <c r="M489" i="7"/>
  <c r="O489" i="7" s="1"/>
  <c r="M207" i="7"/>
  <c r="O207" i="7" s="1"/>
  <c r="M456" i="7"/>
  <c r="O456" i="7" s="1"/>
  <c r="M440" i="7"/>
  <c r="O440" i="7" s="1"/>
  <c r="M408" i="7"/>
  <c r="O408" i="7" s="1"/>
  <c r="M344" i="7"/>
  <c r="O344" i="7" s="1"/>
  <c r="M312" i="7"/>
  <c r="O312" i="7" s="1"/>
  <c r="M264" i="7"/>
  <c r="O264" i="7" s="1"/>
  <c r="M206" i="7"/>
  <c r="O206" i="7" s="1"/>
  <c r="M434" i="7"/>
  <c r="O434" i="7" s="1"/>
  <c r="M229" i="7"/>
  <c r="O229" i="7" s="1"/>
  <c r="M228" i="7"/>
  <c r="O228" i="7" s="1"/>
  <c r="M455" i="7"/>
  <c r="O455" i="7" s="1"/>
  <c r="M439" i="7"/>
  <c r="O439" i="7" s="1"/>
  <c r="M407" i="7"/>
  <c r="O407" i="7" s="1"/>
  <c r="M359" i="7"/>
  <c r="O359" i="7" s="1"/>
  <c r="M343" i="7"/>
  <c r="O343" i="7" s="1"/>
  <c r="M279" i="7"/>
  <c r="O279" i="7" s="1"/>
  <c r="M221" i="7"/>
  <c r="O221" i="7" s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2" i="5"/>
  <c r="B254" i="4"/>
  <c r="B253" i="4"/>
  <c r="B252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C231" i="4" s="1"/>
  <c r="B222" i="4"/>
  <c r="B231" i="4" s="1"/>
  <c r="C221" i="4"/>
  <c r="B221" i="4"/>
  <c r="C220" i="4"/>
  <c r="B220" i="4"/>
  <c r="C219" i="4"/>
  <c r="B219" i="4"/>
  <c r="C218" i="4"/>
  <c r="B218" i="4"/>
  <c r="C217" i="4"/>
  <c r="B217" i="4"/>
  <c r="B254" i="1"/>
  <c r="B253" i="1"/>
  <c r="B252" i="1"/>
  <c r="B237" i="1"/>
  <c r="C219" i="1"/>
  <c r="C220" i="1"/>
  <c r="C221" i="1"/>
  <c r="C222" i="1"/>
  <c r="C231" i="1" s="1"/>
  <c r="C223" i="1"/>
  <c r="C224" i="1"/>
  <c r="C225" i="1"/>
  <c r="C226" i="1"/>
  <c r="C227" i="1"/>
  <c r="C232" i="1" s="1"/>
  <c r="C228" i="1"/>
  <c r="C218" i="1"/>
  <c r="C217" i="1"/>
  <c r="B21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19" i="1"/>
  <c r="B218" i="1"/>
  <c r="B220" i="1"/>
  <c r="B221" i="1"/>
  <c r="B222" i="1"/>
  <c r="B223" i="1"/>
  <c r="B224" i="1"/>
  <c r="B225" i="1"/>
  <c r="B226" i="1"/>
  <c r="B227" i="1"/>
  <c r="B228" i="1"/>
  <c r="M158" i="7" l="1"/>
  <c r="O158" i="7" s="1"/>
  <c r="B232" i="4"/>
  <c r="B233" i="4"/>
  <c r="C232" i="4"/>
  <c r="C233" i="4"/>
  <c r="C234" i="4"/>
  <c r="B234" i="4"/>
  <c r="B233" i="1"/>
  <c r="B234" i="1"/>
  <c r="C233" i="1"/>
  <c r="B232" i="1"/>
  <c r="C234" i="1"/>
  <c r="B231" i="1"/>
  <c r="M160" i="7" l="1"/>
  <c r="O160" i="7" s="1"/>
  <c r="M159" i="7"/>
  <c r="O159" i="7" s="1"/>
  <c r="A165" i="3"/>
  <c r="A189" i="3" l="1"/>
  <c r="A179" i="3"/>
  <c r="A153" i="3"/>
  <c r="A137" i="3"/>
  <c r="A117" i="3"/>
  <c r="A101" i="3"/>
  <c r="A87" i="3"/>
  <c r="A74" i="3"/>
  <c r="A57" i="3"/>
  <c r="A38" i="3"/>
  <c r="A17" i="3"/>
  <c r="A3" i="3"/>
</calcChain>
</file>

<file path=xl/sharedStrings.xml><?xml version="1.0" encoding="utf-8"?>
<sst xmlns="http://schemas.openxmlformats.org/spreadsheetml/2006/main" count="22198" uniqueCount="3150">
  <si>
    <t>Substation</t>
  </si>
  <si>
    <t>Mnemonic</t>
  </si>
  <si>
    <t>Assigned Feeders</t>
  </si>
  <si>
    <t>CB</t>
  </si>
  <si>
    <t>Freq1</t>
  </si>
  <si>
    <t>Freq2</t>
  </si>
  <si>
    <t>UNDER-FREQUENCY LOAD SHEDDING (UFLS)</t>
  </si>
  <si>
    <t>UNDER-VOLTAGE LOAD SHEDDING (UVLS)</t>
  </si>
  <si>
    <t>Delay1 (s)</t>
  </si>
  <si>
    <t>Delay2 (s)</t>
  </si>
  <si>
    <t>Delay (s)</t>
  </si>
  <si>
    <t>Voltage pickup setting (p.u)</t>
  </si>
  <si>
    <t>Gebeng Industri</t>
  </si>
  <si>
    <t>GBID</t>
  </si>
  <si>
    <t>Olak Lempit</t>
  </si>
  <si>
    <t>OLPT</t>
  </si>
  <si>
    <t>Tanjung Langsat</t>
  </si>
  <si>
    <t>TLST</t>
  </si>
  <si>
    <t>Pasir Gudang Darat</t>
  </si>
  <si>
    <t>PGDT</t>
  </si>
  <si>
    <t>Tanjung Gelang</t>
  </si>
  <si>
    <t>TGLN</t>
  </si>
  <si>
    <t>Tanjung Langsat Industrial Estate</t>
  </si>
  <si>
    <t>TLIE</t>
  </si>
  <si>
    <t>Bukit Raja GIS</t>
  </si>
  <si>
    <t>BRGS</t>
  </si>
  <si>
    <t>Pasir Gudang Ind Est</t>
  </si>
  <si>
    <t>PGIE</t>
  </si>
  <si>
    <t>Bukit Tengah</t>
  </si>
  <si>
    <t>BTGH</t>
  </si>
  <si>
    <t>Prai Industrial</t>
  </si>
  <si>
    <t>PRID</t>
  </si>
  <si>
    <t>SKS Prai</t>
  </si>
  <si>
    <t>SKSP</t>
  </si>
  <si>
    <t>kV</t>
  </si>
  <si>
    <t>n/a</t>
  </si>
  <si>
    <t>105 &amp; 405</t>
  </si>
  <si>
    <t>L75 &amp; L85</t>
  </si>
  <si>
    <t>905 &amp; 1005</t>
  </si>
  <si>
    <t>505 &amp; 605</t>
  </si>
  <si>
    <t>L15 &amp; L25</t>
  </si>
  <si>
    <t>11130, 11230, 11330</t>
  </si>
  <si>
    <t>7130, 7230</t>
  </si>
  <si>
    <t>805 &amp; 905</t>
  </si>
  <si>
    <t>105 &amp; 205</t>
  </si>
  <si>
    <t>Selangor</t>
  </si>
  <si>
    <t>KSTL 1 &amp; 2</t>
  </si>
  <si>
    <t>MGST 1 &amp; 2</t>
  </si>
  <si>
    <t>JDSI 1 &amp; 2</t>
  </si>
  <si>
    <t>BSTL 1 &amp; 2</t>
  </si>
  <si>
    <t>ASMB 1 &amp; 2</t>
  </si>
  <si>
    <t xml:space="preserve">MSWK </t>
  </si>
  <si>
    <t xml:space="preserve">ASTM 1 &amp; 2 </t>
  </si>
  <si>
    <t>SRON &amp; SRNW</t>
  </si>
  <si>
    <t>SRON 2</t>
  </si>
  <si>
    <t>MWTA 1 &amp; 2</t>
  </si>
  <si>
    <t>Cahaya Baru</t>
  </si>
  <si>
    <t>CBRU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</si>
  <si>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</si>
  <si>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</si>
  <si>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</si>
  <si>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</si>
  <si>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</si>
  <si>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</si>
  <si>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</si>
  <si>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</si>
  <si>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</si>
  <si>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</si>
  <si>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Pengkalan Industri</t>
  </si>
  <si>
    <t>PKID</t>
  </si>
  <si>
    <t>Suncity GIS</t>
  </si>
  <si>
    <t>SCTY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</si>
  <si>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</si>
  <si>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</si>
  <si>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</si>
  <si>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</si>
  <si>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</si>
  <si>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</si>
  <si>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</si>
  <si>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</si>
  <si>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Tampoi Industries</t>
  </si>
  <si>
    <t>TMPI</t>
  </si>
  <si>
    <t>Pauh</t>
  </si>
  <si>
    <t>PAUH</t>
  </si>
  <si>
    <t>Kinta Valley Resort</t>
  </si>
  <si>
    <t>KVRT</t>
  </si>
  <si>
    <t>Mergong</t>
  </si>
  <si>
    <t>MGON</t>
  </si>
  <si>
    <t>Cheras Jaya</t>
  </si>
  <si>
    <t>CJYA</t>
  </si>
  <si>
    <t>Danau Desa</t>
  </si>
  <si>
    <t>DDSA</t>
  </si>
  <si>
    <t>Menglembu</t>
  </si>
  <si>
    <t>MLBU</t>
  </si>
  <si>
    <t>132/22kV T1 &amp; T2</t>
  </si>
  <si>
    <t>132/33kV T1 &amp; T2</t>
  </si>
  <si>
    <t>132/11kV T1 &amp; T2</t>
  </si>
  <si>
    <t>132/33kV T3 &amp; T4</t>
  </si>
  <si>
    <t xml:space="preserve">132/33kV T3 &amp; T4 </t>
  </si>
  <si>
    <t>1T0 &amp; 2T0</t>
  </si>
  <si>
    <t>1T0 &amp; 2T1</t>
  </si>
  <si>
    <t>31&amp;32</t>
  </si>
  <si>
    <t>31 &amp; 32</t>
  </si>
  <si>
    <t>3T0 &amp; 4T0</t>
  </si>
  <si>
    <t>3T0, 4T0 &amp; 1W0</t>
  </si>
  <si>
    <t>30 &amp; 32</t>
  </si>
  <si>
    <t>1T0 &amp; 2T2</t>
  </si>
  <si>
    <t>Ipoh</t>
  </si>
  <si>
    <t>GM - Subzone</t>
  </si>
  <si>
    <t xml:space="preserve">132/33kV T1, T2 &amp; T3 </t>
  </si>
  <si>
    <t xml:space="preserve">1T0 &amp; 2T0 &amp; 3T0 </t>
  </si>
  <si>
    <t>Temoh</t>
  </si>
  <si>
    <t>TMOH</t>
  </si>
  <si>
    <t>Kelebang</t>
  </si>
  <si>
    <t>KLBG</t>
  </si>
  <si>
    <t>New Khantan</t>
  </si>
  <si>
    <t>NKAN</t>
  </si>
  <si>
    <t>Seberang Jaya</t>
  </si>
  <si>
    <t>SJAY</t>
  </si>
  <si>
    <t>Shah Alam South</t>
  </si>
  <si>
    <t>SHAS</t>
  </si>
  <si>
    <t>National University</t>
  </si>
  <si>
    <t>NUNI</t>
  </si>
  <si>
    <t>Plentong</t>
  </si>
  <si>
    <t>PLTG</t>
  </si>
  <si>
    <t>Tebrau</t>
  </si>
  <si>
    <t>TBRU</t>
  </si>
  <si>
    <t>Hicom</t>
  </si>
  <si>
    <t>HCOM</t>
  </si>
  <si>
    <t>Kampung Awah</t>
  </si>
  <si>
    <t>KAWA</t>
  </si>
  <si>
    <t>Tuanku Jaafar (GIS)</t>
  </si>
  <si>
    <t>TJGS</t>
  </si>
  <si>
    <t>Shah Alam East</t>
  </si>
  <si>
    <t>SHAE</t>
  </si>
  <si>
    <t>Tasik</t>
  </si>
  <si>
    <t>TASK</t>
  </si>
  <si>
    <t>Panchor</t>
  </si>
  <si>
    <t>PCOR</t>
  </si>
  <si>
    <t>Johor Tengah</t>
  </si>
  <si>
    <t>JTGH</t>
  </si>
  <si>
    <t>Taman Intan</t>
  </si>
  <si>
    <t>INTN</t>
  </si>
  <si>
    <t>SPPK Cheras</t>
  </si>
  <si>
    <t>SPKC</t>
  </si>
  <si>
    <t>MPSS</t>
  </si>
  <si>
    <t xml:space="preserve">132/33kV T1 &amp; T2 </t>
  </si>
  <si>
    <t>132/33kV T1  &amp; T2</t>
  </si>
  <si>
    <t>132/33kV T3 &amp; T4 &amp; T5</t>
  </si>
  <si>
    <t>WA18 1 &amp; 2</t>
  </si>
  <si>
    <t>SHEL 1 &amp; 2</t>
  </si>
  <si>
    <t>H10 &amp; H20</t>
  </si>
  <si>
    <t>305 &amp; 405</t>
  </si>
  <si>
    <t>3T0&amp;4T0</t>
  </si>
  <si>
    <t>3T0 &amp; 4T0 &amp; 1W0 &amp; 5T0</t>
  </si>
  <si>
    <t xml:space="preserve">3T0 &amp; 4T0 &amp; 5T0 </t>
  </si>
  <si>
    <t>Tanah Merah</t>
  </si>
  <si>
    <t>TMRH</t>
  </si>
  <si>
    <t>Bukit Rajah</t>
  </si>
  <si>
    <t>Serdang Raya</t>
  </si>
  <si>
    <t>SRDR</t>
  </si>
  <si>
    <t>Bandar Indra Mahkota</t>
  </si>
  <si>
    <t>BIMK</t>
  </si>
  <si>
    <t>Malim Jaya</t>
  </si>
  <si>
    <t>MJYA</t>
  </si>
  <si>
    <t>Muar</t>
  </si>
  <si>
    <t>MUAR</t>
  </si>
  <si>
    <t>Port Klang P/S</t>
  </si>
  <si>
    <t>PKLG</t>
  </si>
  <si>
    <t>Bukit Beruntung</t>
  </si>
  <si>
    <t>BBTG</t>
  </si>
  <si>
    <t>Ampang GIS</t>
  </si>
  <si>
    <t>AMPG</t>
  </si>
  <si>
    <t>Air Hitam</t>
  </si>
  <si>
    <t>AHTM</t>
  </si>
  <si>
    <t>Bentong</t>
  </si>
  <si>
    <t>BNTG</t>
  </si>
  <si>
    <t>Prai GIS</t>
  </si>
  <si>
    <t>PRGS</t>
  </si>
  <si>
    <t>Bukit Jalil</t>
  </si>
  <si>
    <t>BJLL</t>
  </si>
  <si>
    <t>Balakong</t>
  </si>
  <si>
    <t>BLKG</t>
  </si>
  <si>
    <t>132/11kV T1  &amp; T2</t>
  </si>
  <si>
    <t>132/11kV T2 &amp; T3</t>
  </si>
  <si>
    <t>Tunjang</t>
  </si>
  <si>
    <t>TJUG</t>
  </si>
  <si>
    <t>2T0, 3T0 &amp; 4T0</t>
  </si>
  <si>
    <t>1T0&amp;2T0</t>
  </si>
  <si>
    <t xml:space="preserve"> 3T0 &amp; 4T0</t>
  </si>
  <si>
    <t>32 &amp; 33</t>
  </si>
  <si>
    <t>705 &amp; 805</t>
  </si>
  <si>
    <t>IGBK 1 &amp; 2</t>
  </si>
  <si>
    <t>Serdang New</t>
  </si>
  <si>
    <t>SRDN</t>
  </si>
  <si>
    <t>Kota Bharu</t>
  </si>
  <si>
    <t>KBRU</t>
  </si>
  <si>
    <t>PJ Selatan</t>
  </si>
  <si>
    <t>PJST</t>
  </si>
  <si>
    <t>Pasir Gudang Town Centre</t>
  </si>
  <si>
    <t>PGTC</t>
  </si>
  <si>
    <t>New SEA Park</t>
  </si>
  <si>
    <t>NSPK</t>
  </si>
  <si>
    <t>New Subang Uda</t>
  </si>
  <si>
    <t>NSDA</t>
  </si>
  <si>
    <t xml:space="preserve">Sendayan </t>
  </si>
  <si>
    <t>SDYN</t>
  </si>
  <si>
    <t>Sri Damansara</t>
  </si>
  <si>
    <t>SDAM</t>
  </si>
  <si>
    <t>Puchong Jaya</t>
  </si>
  <si>
    <t>PCHJ</t>
  </si>
  <si>
    <t>Lukut</t>
  </si>
  <si>
    <t>LKUT</t>
  </si>
  <si>
    <t>Tanjong Gelang</t>
  </si>
  <si>
    <t>132/22kV T3</t>
  </si>
  <si>
    <t>132/11kV T1 &amp; T2 &amp; T3</t>
  </si>
  <si>
    <t>132/33kV T1 &amp; T3 &amp; T5</t>
  </si>
  <si>
    <t>1T0 &amp; 3T0 &amp; 5T0</t>
  </si>
  <si>
    <t>3T0</t>
  </si>
  <si>
    <t>31 &amp; 32 &amp; 33</t>
  </si>
  <si>
    <t>Kota Setar</t>
  </si>
  <si>
    <t>KSTR</t>
  </si>
  <si>
    <t>Kg Chempaka</t>
  </si>
  <si>
    <t>KCPK</t>
  </si>
  <si>
    <t>New Rawang</t>
  </si>
  <si>
    <t>NRWG</t>
  </si>
  <si>
    <t>Bukit Kapar</t>
  </si>
  <si>
    <t>BKPR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</si>
  <si>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</si>
  <si>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</si>
  <si>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</si>
  <si>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</si>
  <si>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</si>
  <si>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</si>
  <si>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</si>
  <si>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</si>
  <si>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</si>
  <si>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</si>
  <si>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Kg. Awah</t>
  </si>
  <si>
    <t>Air terjun</t>
  </si>
  <si>
    <t>ATJN</t>
  </si>
  <si>
    <t>Gurun</t>
  </si>
  <si>
    <t>GRUN</t>
  </si>
  <si>
    <t>Jeniang</t>
  </si>
  <si>
    <t>JENG</t>
  </si>
  <si>
    <t>Temasya</t>
  </si>
  <si>
    <t>TMSY</t>
  </si>
  <si>
    <t>MTNH 1 &amp; 2</t>
  </si>
  <si>
    <t>TKMG 1 &amp; 2</t>
  </si>
  <si>
    <t>TJID 1 &amp; 2</t>
  </si>
  <si>
    <t>Satria &amp; TTJF</t>
  </si>
  <si>
    <t>205 &amp; 405</t>
  </si>
  <si>
    <t>BNTG &amp; RBDR</t>
  </si>
  <si>
    <t>JNKA &amp; JTUT</t>
  </si>
  <si>
    <t>205 &amp; 705</t>
  </si>
  <si>
    <t>MW Quantum 2024</t>
  </si>
  <si>
    <t>TTAN 1 &amp; 2</t>
  </si>
  <si>
    <t>TLTP (Titan Petrochemicals)</t>
  </si>
  <si>
    <t>KRYG 1 &amp; 2</t>
  </si>
  <si>
    <t>TKMG, PPJG, MTNH</t>
  </si>
  <si>
    <t>TJID, TTJF, SSUN &amp; STRA</t>
  </si>
  <si>
    <t>BNTA, KLIP, JNKA, JTUT, RBDR</t>
  </si>
  <si>
    <t>ATJN 33 kV</t>
  </si>
  <si>
    <t>GRUN 11kV</t>
  </si>
  <si>
    <t>JENG 33kV</t>
  </si>
  <si>
    <t>TMSY 33 kV</t>
  </si>
  <si>
    <t>KSTR 11kV</t>
  </si>
  <si>
    <t>KCPK 33kV</t>
  </si>
  <si>
    <t>NRWG 33 kV</t>
  </si>
  <si>
    <t>BKPR 33kV</t>
  </si>
  <si>
    <t>SRDN 33kV</t>
  </si>
  <si>
    <t>KBRU 33kV</t>
  </si>
  <si>
    <t>PJST 33 kV</t>
  </si>
  <si>
    <t>PGTC 33kV</t>
  </si>
  <si>
    <t>PGIE 22kV</t>
  </si>
  <si>
    <t>NSPK 33 kV</t>
  </si>
  <si>
    <t>NSDA 33 kV</t>
  </si>
  <si>
    <t>SDYN 33kV</t>
  </si>
  <si>
    <t>SDAM 33kV</t>
  </si>
  <si>
    <t>PCHJ 33kV</t>
  </si>
  <si>
    <t>LKUT 11kV</t>
  </si>
  <si>
    <t>TGLN 11kV</t>
  </si>
  <si>
    <t>Load Area Affected</t>
  </si>
  <si>
    <t>KSTL load</t>
  </si>
  <si>
    <t>MGST</t>
  </si>
  <si>
    <t>TLTP</t>
  </si>
  <si>
    <t>TTAN</t>
  </si>
  <si>
    <t>JDSI</t>
  </si>
  <si>
    <t>BSTL</t>
  </si>
  <si>
    <t>ASMB</t>
  </si>
  <si>
    <t>MSWK</t>
  </si>
  <si>
    <t>ASTM</t>
  </si>
  <si>
    <t>MWTA</t>
  </si>
  <si>
    <t>SRON 905 only</t>
  </si>
  <si>
    <t>CBRU 22kV</t>
  </si>
  <si>
    <t>SARA 33kV</t>
  </si>
  <si>
    <t>PKNI 33kV</t>
  </si>
  <si>
    <t>ESTK 33kV</t>
  </si>
  <si>
    <t>KRPH 11kV</t>
  </si>
  <si>
    <t>PKID 11kV</t>
  </si>
  <si>
    <t>PKID 33kV</t>
  </si>
  <si>
    <t>SCTY 33kV</t>
  </si>
  <si>
    <t>STIA 33kV</t>
  </si>
  <si>
    <t>DCTY 33kV</t>
  </si>
  <si>
    <t>MJLR 33kV</t>
  </si>
  <si>
    <t>SHMS 33kV</t>
  </si>
  <si>
    <t>TMPI 33kV</t>
  </si>
  <si>
    <t>PAUH 33kV</t>
  </si>
  <si>
    <t>MGON 11kV</t>
  </si>
  <si>
    <t>CJYA 33kV</t>
  </si>
  <si>
    <t>DDSA 33kV</t>
  </si>
  <si>
    <t>MLBU 33kV</t>
  </si>
  <si>
    <t>HPGH 33kV</t>
  </si>
  <si>
    <t>TMOH 33kV</t>
  </si>
  <si>
    <t>KLBG 33kV</t>
  </si>
  <si>
    <t>NKAN 33kV</t>
  </si>
  <si>
    <t>SJAY 33kV</t>
  </si>
  <si>
    <t>SHAS 33kV</t>
  </si>
  <si>
    <t>NUNI 11kV</t>
  </si>
  <si>
    <t>HCOM 33 kV</t>
  </si>
  <si>
    <t>KVRT 33 kV</t>
  </si>
  <si>
    <t>PGDT 22kV</t>
  </si>
  <si>
    <t>TBRU 22kV</t>
  </si>
  <si>
    <t>SHAE 33kV</t>
  </si>
  <si>
    <t>PCOR 33kV</t>
  </si>
  <si>
    <t>JTGH 11kV</t>
  </si>
  <si>
    <t>INTN 33kV</t>
  </si>
  <si>
    <t>SPKC 33kV</t>
  </si>
  <si>
    <t>MPSS 11kV</t>
  </si>
  <si>
    <t>KRYG</t>
  </si>
  <si>
    <t>SHELL</t>
  </si>
  <si>
    <t>TASK 22kV</t>
  </si>
  <si>
    <t>INTN 22kV</t>
  </si>
  <si>
    <t>TJUG 33kV</t>
  </si>
  <si>
    <t>SRDR 33kV</t>
  </si>
  <si>
    <t>BIMK 11kV</t>
  </si>
  <si>
    <t>BIMK 33kV</t>
  </si>
  <si>
    <t>MJYA 11kV</t>
  </si>
  <si>
    <t>MUAR 11kV</t>
  </si>
  <si>
    <t>TNB-Singapore Interconnection</t>
  </si>
  <si>
    <t>132/33kV T2 &amp; T3 &amp; T4</t>
  </si>
  <si>
    <t>Lumut</t>
  </si>
  <si>
    <t>LMUT</t>
  </si>
  <si>
    <t>Bukit Badong</t>
  </si>
  <si>
    <t>BBDG</t>
  </si>
  <si>
    <t>Batu Caves</t>
  </si>
  <si>
    <t>BCVS</t>
  </si>
  <si>
    <t>Yong Peng North</t>
  </si>
  <si>
    <t>YGPN</t>
  </si>
  <si>
    <t>Ujong Pasir</t>
  </si>
  <si>
    <t>UPSR</t>
  </si>
  <si>
    <t>Lipat Kajang</t>
  </si>
  <si>
    <t>LKJG</t>
  </si>
  <si>
    <t>JSIN &amp; MCOP</t>
  </si>
  <si>
    <t>Metacorp</t>
  </si>
  <si>
    <t>MCOP</t>
  </si>
  <si>
    <t>Nilai</t>
  </si>
  <si>
    <t>NLAI</t>
  </si>
  <si>
    <t>Batu Tiga</t>
  </si>
  <si>
    <t>BTGA</t>
  </si>
  <si>
    <t>Lumut Maritime</t>
  </si>
  <si>
    <t>LMTM</t>
  </si>
  <si>
    <t>Rasa Selangor Industry</t>
  </si>
  <si>
    <t>RSID</t>
  </si>
  <si>
    <t>Mutiara Damansara</t>
  </si>
  <si>
    <t>MDAM</t>
  </si>
  <si>
    <t>Parit Raja</t>
  </si>
  <si>
    <t>PRJA</t>
  </si>
  <si>
    <t xml:space="preserve"> 1T0 &amp; 2T0</t>
  </si>
  <si>
    <t>CAAH &amp; BSPT/BKPG</t>
  </si>
  <si>
    <t>KPLH 1 &amp; 2</t>
  </si>
  <si>
    <t>LKJG, XNSS, XNYI, TKID, TKAK, JMTH, SGMT, BSPT, BKPG, CAAH, BAHA, NSCI, GMAS, PBSR, KLPH, SPTG, KKWG</t>
  </si>
  <si>
    <t>LMUT 33kV</t>
  </si>
  <si>
    <t>BBDG 33kV</t>
  </si>
  <si>
    <t>BCVS 33kV</t>
  </si>
  <si>
    <t>UPSR 11kV</t>
  </si>
  <si>
    <t>UPSR 33kV</t>
  </si>
  <si>
    <t>MCOP 11kV</t>
  </si>
  <si>
    <t>MCOP 33kV</t>
  </si>
  <si>
    <t>NLAI 11kV</t>
  </si>
  <si>
    <t>BTGA 33kV</t>
  </si>
  <si>
    <t>LMTM 33kV</t>
  </si>
  <si>
    <t>RSID 11kV</t>
  </si>
  <si>
    <t>MDAM 33kV</t>
  </si>
  <si>
    <t>PRJA 11kV</t>
  </si>
  <si>
    <t xml:space="preserve">132/33kV T1 &amp; T2 &amp; T3 </t>
  </si>
  <si>
    <t>Gerisik</t>
  </si>
  <si>
    <t>GRSK</t>
  </si>
  <si>
    <t>Kota Putri</t>
  </si>
  <si>
    <t>KPTR</t>
  </si>
  <si>
    <t>Shah Alam North</t>
  </si>
  <si>
    <t>SHAN</t>
  </si>
  <si>
    <t>132/11kV T1, T2 &amp; T3</t>
  </si>
  <si>
    <t>Jambu Rias</t>
  </si>
  <si>
    <t>JBRS</t>
  </si>
  <si>
    <t>Larkin GIS</t>
  </si>
  <si>
    <t>LKIN</t>
  </si>
  <si>
    <t>Teluk Panglima Garang</t>
  </si>
  <si>
    <t>TPGR</t>
  </si>
  <si>
    <t>Gelugor</t>
  </si>
  <si>
    <t>GLGR</t>
  </si>
  <si>
    <t>Shah Alam West</t>
  </si>
  <si>
    <t>SHAW</t>
  </si>
  <si>
    <t>Bayan Mutiara</t>
  </si>
  <si>
    <t>BMTR</t>
  </si>
  <si>
    <t>Batu Kawan South</t>
  </si>
  <si>
    <t>BTWS</t>
  </si>
  <si>
    <t>Kangar</t>
  </si>
  <si>
    <t>KGAR</t>
  </si>
  <si>
    <t>Skudai</t>
  </si>
  <si>
    <t>SDAI</t>
  </si>
  <si>
    <t>132/22kV T7 &amp; T8</t>
  </si>
  <si>
    <t>Shah Alam Section 18 GIS</t>
  </si>
  <si>
    <t>SHLB</t>
  </si>
  <si>
    <t>Bedong</t>
  </si>
  <si>
    <t>BDNG</t>
  </si>
  <si>
    <t>Kuala Lumpur North</t>
  </si>
  <si>
    <t>KULN</t>
  </si>
  <si>
    <t>Bandar Botanic</t>
  </si>
  <si>
    <t>BBTC</t>
  </si>
  <si>
    <t>Dungun</t>
  </si>
  <si>
    <t>DGUN</t>
  </si>
  <si>
    <t>Chendering</t>
  </si>
  <si>
    <t>CHRG</t>
  </si>
  <si>
    <t>31, 32 &amp; 33</t>
  </si>
  <si>
    <t>37 &amp; 38</t>
  </si>
  <si>
    <t>GRSK 11kV</t>
  </si>
  <si>
    <t>KPTR 22kV</t>
  </si>
  <si>
    <t>SHAN 11kV</t>
  </si>
  <si>
    <t>SONG</t>
  </si>
  <si>
    <t>TMID</t>
  </si>
  <si>
    <t>SONG, MTKB, TMID, MNID</t>
  </si>
  <si>
    <t>LKIN 22kV</t>
  </si>
  <si>
    <t>TPGR 33kV</t>
  </si>
  <si>
    <t>SHAW 33kV</t>
  </si>
  <si>
    <t>SHAW 11kV</t>
  </si>
  <si>
    <t>BMTR 33kV</t>
  </si>
  <si>
    <t>BTWS 33kV</t>
  </si>
  <si>
    <t>KGAR 33kV</t>
  </si>
  <si>
    <t>SDAI 22kV</t>
  </si>
  <si>
    <t>SHLB 33kV</t>
  </si>
  <si>
    <t>BDNG 33kV</t>
  </si>
  <si>
    <t>BBTC 33kV</t>
  </si>
  <si>
    <t>DGUN 11kV</t>
  </si>
  <si>
    <t>CHRG 11kV</t>
  </si>
  <si>
    <t>132/33kV T1 &amp; T2 &amp; T3</t>
  </si>
  <si>
    <t>KULN 33kV</t>
  </si>
  <si>
    <t>Perlis</t>
  </si>
  <si>
    <t>Terengganu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</si>
  <si>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</si>
  <si>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</si>
  <si>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</si>
  <si>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</si>
  <si>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</si>
  <si>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</si>
  <si>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</si>
  <si>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</si>
  <si>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Jeli</t>
  </si>
  <si>
    <t>JELI</t>
  </si>
  <si>
    <t>275/33kV T1 &amp; T2</t>
  </si>
  <si>
    <t>Tanjong Pauh</t>
  </si>
  <si>
    <t>132/11kV T3 &amp; T4</t>
  </si>
  <si>
    <t>Bukit Minyak</t>
  </si>
  <si>
    <t>BMYK</t>
  </si>
  <si>
    <t>Prai Industries</t>
  </si>
  <si>
    <t>Connaught Bridge PS</t>
  </si>
  <si>
    <t>CBPS</t>
  </si>
  <si>
    <t>Segambut</t>
  </si>
  <si>
    <t>SGBT</t>
  </si>
  <si>
    <t xml:space="preserve">Bandar Baru Shah Alam </t>
  </si>
  <si>
    <t>SHAB</t>
  </si>
  <si>
    <t>Kandis</t>
  </si>
  <si>
    <t>KDIS</t>
  </si>
  <si>
    <t>Puchong Perdana</t>
  </si>
  <si>
    <t>PCHP</t>
  </si>
  <si>
    <t>132/33kV T1, T2 &amp; T3</t>
  </si>
  <si>
    <t>35 &amp; 36</t>
  </si>
  <si>
    <t>1T0, 2T0 &amp; 3T0</t>
  </si>
  <si>
    <t>KLUG 11kV</t>
  </si>
  <si>
    <t>MAJD 22kV</t>
  </si>
  <si>
    <t>DGID 33kV</t>
  </si>
  <si>
    <t>CKAI 11kV</t>
  </si>
  <si>
    <t>JELI 33kV</t>
  </si>
  <si>
    <t>PAUH 11kV</t>
  </si>
  <si>
    <t>BMYK 11kV</t>
  </si>
  <si>
    <t>BMYK 33kV</t>
  </si>
  <si>
    <t>SGBT 33kV</t>
  </si>
  <si>
    <t>SHAB 33kV</t>
  </si>
  <si>
    <t>PPTH &amp; SJTH</t>
  </si>
  <si>
    <t>PCHP 33kV</t>
  </si>
  <si>
    <t>Pasir Putih 1 &amp; 2</t>
  </si>
  <si>
    <t>PRID 33kV</t>
  </si>
  <si>
    <t>CBPS 33kV</t>
  </si>
  <si>
    <t>K.L.East</t>
  </si>
  <si>
    <t>KULE</t>
  </si>
  <si>
    <t>MCCA</t>
  </si>
  <si>
    <t>Bukit Batu</t>
  </si>
  <si>
    <t>BBTU</t>
  </si>
  <si>
    <t>Batang Berjuntai</t>
  </si>
  <si>
    <t>BTAI</t>
  </si>
  <si>
    <t>KLPV</t>
  </si>
  <si>
    <t>Tikam Batu</t>
  </si>
  <si>
    <t>TKBU</t>
  </si>
  <si>
    <t>305 &amp; 805</t>
  </si>
  <si>
    <t>205 &amp; 305</t>
  </si>
  <si>
    <t>205 &amp; 505</t>
  </si>
  <si>
    <t>CHNG &amp; ZRNA</t>
  </si>
  <si>
    <t>BVTA 1 &amp; 2</t>
  </si>
  <si>
    <t>BRBI 1 &amp; 2</t>
  </si>
  <si>
    <t>TGBU 1 &amp; 2</t>
  </si>
  <si>
    <t>KULE 33kV</t>
  </si>
  <si>
    <t>ZRNA, SPWR, CHNG, BMKA, MMKA, BVTA, MFDR, TGBU, PPSR, HLNM, BRBI</t>
  </si>
  <si>
    <t>GBDK, KBRG, KTGU &amp; BRKT</t>
  </si>
  <si>
    <t>SLNG, SNAI, KLAI &amp; UTMJ</t>
  </si>
  <si>
    <t>BTAI 33kV</t>
  </si>
  <si>
    <t>TKBU 33kV</t>
  </si>
  <si>
    <t>KLPV 33kV</t>
  </si>
  <si>
    <t>KBRG &amp; CHRG/KTGU</t>
  </si>
  <si>
    <t>Kenyir Temporary</t>
  </si>
  <si>
    <t>KNYT</t>
  </si>
  <si>
    <t>KBRG/KTGU &amp; KNYT/KTGU</t>
  </si>
  <si>
    <t>305 &amp; 205</t>
  </si>
  <si>
    <t>*GM to confirm the current relay installations post new KNYT configuration</t>
  </si>
  <si>
    <t>SNAI &amp; SLNG</t>
  </si>
  <si>
    <t>Tampoi</t>
  </si>
  <si>
    <t>TPOI</t>
  </si>
  <si>
    <t>132/22kV T1, T2 &amp; T3</t>
  </si>
  <si>
    <t>Batu Pahat East</t>
  </si>
  <si>
    <t>BPHE</t>
  </si>
  <si>
    <t>Yong Peng</t>
  </si>
  <si>
    <t>YGPG</t>
  </si>
  <si>
    <t>Imbi</t>
  </si>
  <si>
    <t>IMBI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</si>
  <si>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</si>
  <si>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</si>
  <si>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</si>
  <si>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</si>
  <si>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</si>
  <si>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</si>
  <si>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</si>
  <si>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</si>
  <si>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</si>
  <si>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</si>
  <si>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KL Pavilion</t>
  </si>
  <si>
    <t>3T0 &amp; 4T0 &amp; 5T0</t>
  </si>
  <si>
    <t>Galloway</t>
  </si>
  <si>
    <t>GWAY</t>
  </si>
  <si>
    <t>Bukit Tambun</t>
  </si>
  <si>
    <t>BTBN</t>
  </si>
  <si>
    <t>VDOR/JNKO &amp; NBTL Feeders</t>
  </si>
  <si>
    <t>Bagan Serai</t>
  </si>
  <si>
    <t>BSRI</t>
  </si>
  <si>
    <t>PBTR &amp; NBTL</t>
  </si>
  <si>
    <t>Kota Damansara</t>
  </si>
  <si>
    <t>KDSA</t>
  </si>
  <si>
    <t>BPHT  1 &amp; 2</t>
  </si>
  <si>
    <t>BPHT &amp; TPCH</t>
  </si>
  <si>
    <t>TPAU</t>
  </si>
  <si>
    <t>TPOI 22kV</t>
  </si>
  <si>
    <t>BPHT, TPCH</t>
  </si>
  <si>
    <t>YGPG 11kV</t>
  </si>
  <si>
    <t>IMBI 33 kV</t>
  </si>
  <si>
    <t>MERU 33 kV</t>
  </si>
  <si>
    <t>KLAT 11kV</t>
  </si>
  <si>
    <t>TEWA 1 &amp; 2</t>
  </si>
  <si>
    <t>JNKO, VDOR, PBTR, NBTL</t>
  </si>
  <si>
    <t>TPAU, TEWA, UMKA, KCMT</t>
  </si>
  <si>
    <t>Sungai Pinang</t>
  </si>
  <si>
    <t>SPNG</t>
  </si>
  <si>
    <t>Bukit Mahkamah</t>
  </si>
  <si>
    <t>BMKM</t>
  </si>
  <si>
    <t>Kajang</t>
  </si>
  <si>
    <t>KJNG</t>
  </si>
  <si>
    <t>Pasak</t>
  </si>
  <si>
    <t>PSAK</t>
  </si>
  <si>
    <t>Renggam</t>
  </si>
  <si>
    <t>RNGM</t>
  </si>
  <si>
    <t>Kluang</t>
  </si>
  <si>
    <t>BHGT 1 &amp; 2</t>
  </si>
  <si>
    <t>MTIN &amp; AMID</t>
  </si>
  <si>
    <t>MTIN 1 &amp; 2</t>
  </si>
  <si>
    <t>KEST 1 &amp; 2</t>
  </si>
  <si>
    <t>SPNG 33kV</t>
  </si>
  <si>
    <t>BMKM 33kV</t>
  </si>
  <si>
    <t>KTGI, UTRM, PUBB, PLGI</t>
  </si>
  <si>
    <t>RNGM 11kV</t>
  </si>
  <si>
    <t>KLID &amp; NYOR</t>
  </si>
  <si>
    <t>KLID, MSNG, TGMK &amp; NYOR</t>
  </si>
  <si>
    <t>PUBB &amp; KTGI</t>
  </si>
  <si>
    <t>PLGI 1 &amp; 2</t>
  </si>
  <si>
    <t>*GM to confirm the current relay installation (previous network configuration were UTRM &amp; KTGI)</t>
  </si>
  <si>
    <t>Sri Iskandar</t>
  </si>
  <si>
    <t>SIKD</t>
  </si>
  <si>
    <t>Ladang Kundang</t>
  </si>
  <si>
    <t>LKDG</t>
  </si>
  <si>
    <t>Stulang Darat</t>
  </si>
  <si>
    <t>STUL</t>
  </si>
  <si>
    <t>Bayan Baru</t>
  </si>
  <si>
    <t>BBRU</t>
  </si>
  <si>
    <t>Semarak</t>
  </si>
  <si>
    <t>SMRK</t>
  </si>
  <si>
    <t>Seelong</t>
  </si>
  <si>
    <t>SELG</t>
  </si>
  <si>
    <t>Subang Jaya Town Centre</t>
  </si>
  <si>
    <t>SJTC</t>
  </si>
  <si>
    <t>Sungai Abong</t>
  </si>
  <si>
    <t>SABG</t>
  </si>
  <si>
    <t>Hualon 1, 2 &amp; 3</t>
  </si>
  <si>
    <t>3T0 &amp; 4T0 &amp; 1W0</t>
  </si>
  <si>
    <t>KGAR 11kV</t>
  </si>
  <si>
    <t>SIKD 33kV</t>
  </si>
  <si>
    <t>LKDG 33kV</t>
  </si>
  <si>
    <t>STUL 22kV</t>
  </si>
  <si>
    <t>BBRU 33kV</t>
  </si>
  <si>
    <t>SMRK 11kV</t>
  </si>
  <si>
    <t>HLNN</t>
  </si>
  <si>
    <t>SELG 11kV</t>
  </si>
  <si>
    <t>SJTC 33kV</t>
  </si>
  <si>
    <t>SGAD 1 &amp; 2</t>
  </si>
  <si>
    <t>SGAD, PJML, PYSF, PSRI &amp; SSLG</t>
  </si>
  <si>
    <t>PJML &amp; PYSF</t>
  </si>
  <si>
    <t>BRGS 11 kV</t>
  </si>
  <si>
    <t>IGBK &amp; NKST</t>
  </si>
  <si>
    <t>BBTG 33kV</t>
  </si>
  <si>
    <t>AMPG T3&amp;T4</t>
  </si>
  <si>
    <t>AHTM 33kV</t>
  </si>
  <si>
    <t>BNTG 11kV</t>
  </si>
  <si>
    <t>PRGS 33 kV</t>
  </si>
  <si>
    <t>BJLL 33kV</t>
  </si>
  <si>
    <t>BLKG 33 kV</t>
  </si>
  <si>
    <t>GLGR 33kV</t>
  </si>
  <si>
    <t>UFLS 2024 Review Remarks</t>
  </si>
  <si>
    <t>Stage 1: 49.2Hz</t>
  </si>
  <si>
    <t>Stage: Ride Through</t>
  </si>
  <si>
    <t>Stage 2: 49.1Hz</t>
  </si>
  <si>
    <t>Stage 3: 49.0Hz</t>
  </si>
  <si>
    <t>Stage 4: 48.9Hz</t>
  </si>
  <si>
    <t>Stage 5: 48.8Hz</t>
  </si>
  <si>
    <t>Stage 6: 48.7Hz</t>
  </si>
  <si>
    <t>Stage 7: 48.6Hz</t>
  </si>
  <si>
    <t>Stage 8: 48.5Hz</t>
  </si>
  <si>
    <t>Stage 9: 48.4Hz</t>
  </si>
  <si>
    <t>Stage 10: 48.3Hz</t>
  </si>
  <si>
    <t>Stage 11: 48.2Hz</t>
  </si>
  <si>
    <t>Stage 12: 48.1Hz</t>
  </si>
  <si>
    <r>
      <t>132/33kV T1 &amp; T2</t>
    </r>
    <r>
      <rPr>
        <b/>
        <sz val="11"/>
        <rFont val="Calibri"/>
        <family val="2"/>
      </rPr>
      <t xml:space="preserve"> </t>
    </r>
  </si>
  <si>
    <r>
      <t>132/33kV T1 &amp; T2 &amp;</t>
    </r>
    <r>
      <rPr>
        <b/>
        <sz val="11"/>
        <rFont val="Calibri"/>
        <family val="2"/>
      </rPr>
      <t xml:space="preserve"> T3 </t>
    </r>
  </si>
  <si>
    <r>
      <t xml:space="preserve">1T0 &amp; 2T0 &amp; </t>
    </r>
    <r>
      <rPr>
        <b/>
        <sz val="11"/>
        <rFont val="Calibri"/>
        <family val="2"/>
      </rPr>
      <t xml:space="preserve">3T0 </t>
    </r>
  </si>
  <si>
    <r>
      <t>PROT</t>
    </r>
    <r>
      <rPr>
        <strike/>
        <sz val="11"/>
        <rFont val="Calibri"/>
        <family val="2"/>
      </rPr>
      <t xml:space="preserve"> </t>
    </r>
    <r>
      <rPr>
        <sz val="11"/>
        <rFont val="Calibri"/>
        <family val="2"/>
      </rPr>
      <t>33kV</t>
    </r>
  </si>
  <si>
    <t>Perda</t>
  </si>
  <si>
    <t>Johor Bahru</t>
  </si>
  <si>
    <t>Kuala Lumpur</t>
  </si>
  <si>
    <t>Kuantan</t>
  </si>
  <si>
    <t>Ayer Keroh</t>
  </si>
  <si>
    <t>Seremban</t>
  </si>
  <si>
    <t>Alor Setar</t>
  </si>
  <si>
    <t>Malacca Power Station</t>
  </si>
  <si>
    <t>Malacca</t>
  </si>
  <si>
    <t>UVLS Stage 2</t>
  </si>
  <si>
    <t>UVLS Operating Stage</t>
  </si>
  <si>
    <t>Harta Kemuncak</t>
  </si>
  <si>
    <t>HKCK</t>
  </si>
  <si>
    <t xml:space="preserve">132/11kV T1 &amp; T2 </t>
  </si>
  <si>
    <t>UVLS Stage 3</t>
  </si>
  <si>
    <t>Taman Jaya</t>
  </si>
  <si>
    <t>TJYA</t>
  </si>
  <si>
    <t>Mersing</t>
  </si>
  <si>
    <t>MSNG</t>
  </si>
  <si>
    <t xml:space="preserve"> 132/11kV T1 &amp; T2</t>
  </si>
  <si>
    <t>SLNG</t>
  </si>
  <si>
    <t>Saleng</t>
  </si>
  <si>
    <t>132/33kV T3 &amp;T4</t>
  </si>
  <si>
    <t xml:space="preserve">SDAI </t>
  </si>
  <si>
    <t>Ulu Tiram</t>
  </si>
  <si>
    <t>UTRM</t>
  </si>
  <si>
    <t xml:space="preserve">1T0 &amp; 2T0 </t>
  </si>
  <si>
    <t>BLPS</t>
  </si>
  <si>
    <t>Bayan Lepas</t>
  </si>
  <si>
    <t>ASTR</t>
  </si>
  <si>
    <t>UVLS Stage 1</t>
  </si>
  <si>
    <t>MSNG 11kV</t>
  </si>
  <si>
    <t>SLNG 11kV</t>
  </si>
  <si>
    <t>BTGH 33kV</t>
  </si>
  <si>
    <t>BCVS 11kV</t>
  </si>
  <si>
    <t>HKCK 33kV</t>
  </si>
  <si>
    <t>SLNG 33kV</t>
  </si>
  <si>
    <t>BTBN 33kV</t>
  </si>
  <si>
    <t>HKCK 11kV</t>
  </si>
  <si>
    <t>TJYA 33kV</t>
  </si>
  <si>
    <t>SDAI 33kV</t>
  </si>
  <si>
    <t>UTRM 22kV</t>
  </si>
  <si>
    <t>UTRM 33kV</t>
  </si>
  <si>
    <t>-</t>
  </si>
  <si>
    <t>GWAY 33kV</t>
  </si>
  <si>
    <t>KDSA 33kV</t>
  </si>
  <si>
    <t>PWGR 1 &amp; 2 feeders</t>
  </si>
  <si>
    <t>L35 &amp; L45</t>
  </si>
  <si>
    <t>PWGR</t>
  </si>
  <si>
    <t>Bandar Tun Razak</t>
  </si>
  <si>
    <t>BTRZ</t>
  </si>
  <si>
    <t>KLCC</t>
  </si>
  <si>
    <t>KL City Centre</t>
  </si>
  <si>
    <t>132/33kV T3 &amp; T5</t>
  </si>
  <si>
    <t>SPID &amp; AJYA</t>
  </si>
  <si>
    <t xml:space="preserve">3T0 &amp; 4T0 </t>
  </si>
  <si>
    <t>Pandan Maju</t>
  </si>
  <si>
    <t>PMJU</t>
  </si>
  <si>
    <t>132/33kV T5 &amp; T6</t>
  </si>
  <si>
    <t>5T0 &amp; 6T0</t>
  </si>
  <si>
    <t>Banting</t>
  </si>
  <si>
    <t>BTIN</t>
  </si>
  <si>
    <t>OLPT1 &amp; 2</t>
  </si>
  <si>
    <t>Bukit Changgang</t>
  </si>
  <si>
    <t>BCHG</t>
  </si>
  <si>
    <t>BTIN/SGLC 1 &amp; 2</t>
  </si>
  <si>
    <t>Bukit Merah</t>
  </si>
  <si>
    <t>BMRH</t>
  </si>
  <si>
    <t xml:space="preserve">PKCB &amp; KMTG </t>
  </si>
  <si>
    <t>Kuala Kangsar</t>
  </si>
  <si>
    <t>KKSR</t>
  </si>
  <si>
    <t xml:space="preserve">TPID &amp; TPSS </t>
  </si>
  <si>
    <t>KSGR &amp; SBSR</t>
  </si>
  <si>
    <t>KGJH 1 &amp; 2</t>
  </si>
  <si>
    <t>Alor Star</t>
  </si>
  <si>
    <t>TLBH &amp; RNGT</t>
  </si>
  <si>
    <t>505 &amp; 805</t>
  </si>
  <si>
    <t>Gelang Patah</t>
  </si>
  <si>
    <t>GPTH</t>
  </si>
  <si>
    <t>TKPG 1 &amp; 2</t>
  </si>
  <si>
    <t xml:space="preserve">TUNI &amp; PNAS </t>
  </si>
  <si>
    <t>132/11 kV T1 &amp; T2</t>
  </si>
  <si>
    <t>MRAN &amp; MECC</t>
  </si>
  <si>
    <t>KTAN</t>
  </si>
  <si>
    <t>KTNN feeders</t>
  </si>
  <si>
    <t>Putrajaya</t>
  </si>
  <si>
    <t>PJYC</t>
  </si>
  <si>
    <t>TKLG</t>
  </si>
  <si>
    <t>Perwaja 1 &amp; 2</t>
  </si>
  <si>
    <t>PWSM</t>
  </si>
  <si>
    <t>ESTL 1 &amp; 2</t>
  </si>
  <si>
    <t>Telok Kalong</t>
  </si>
  <si>
    <t>L95 &amp; L105</t>
  </si>
  <si>
    <t>Butterworth North</t>
  </si>
  <si>
    <t>132/33 kV T1 &amp; T2</t>
  </si>
  <si>
    <t>BWTN</t>
  </si>
  <si>
    <t>132/11kV T5</t>
  </si>
  <si>
    <t>BWTN 11kV</t>
  </si>
  <si>
    <t>BWTN 33kV</t>
  </si>
  <si>
    <t>Assignment</t>
  </si>
  <si>
    <t>Category 2: New assignment (to include 2T0)</t>
  </si>
  <si>
    <t>Category 2: New assignment (replacement for TMRH: KKRI &amp; MACG defeated due to LSS in the pocket load)</t>
  </si>
  <si>
    <t>Category 1: Reassignment of operating stage (Freq1: 48.8Hz --&gt; 48.9Hz)</t>
  </si>
  <si>
    <t>Category 1: Reassignment of operating stage (Freq1: 49.2Hz --&gt; 48.9Hz)</t>
  </si>
  <si>
    <t>Category 1: Reassignment of the stage (Freq1: 49.0Hz --&gt; 48.9Hz)</t>
  </si>
  <si>
    <t>Category 1: Reassignment of the stage (Freq1: 49.1Hz --&gt; 48.9Hz)</t>
  </si>
  <si>
    <t>Category 2: New assignment - add JTUT 705</t>
  </si>
  <si>
    <t>Category 2: New assignment (replacement for UPSR: AKRH &amp; AKRH/ONST defeated due to LSS JSLS in the pocket load)</t>
  </si>
  <si>
    <t>Category 1: Reassignment of operating stage (Freq1: 48.9Hz --&gt; 48.7Hz)</t>
  </si>
  <si>
    <t>Category 1: Reassignment of operating stage (Freq1: 48.2Hz --&gt; 48.6Hz) and removing setting Freq2 (Freq2: 49.3Hz @ 90s --&gt; n/a)</t>
  </si>
  <si>
    <t>Category 1: Reassignment of operating stage (Freq1: 48.5Hz --&gt; 48.6Hz)</t>
  </si>
  <si>
    <t>Category 1: Reassignment removing setting for Freq2 (Freq2: 49.3Hz @ 120s --&gt; n/a)</t>
  </si>
  <si>
    <t>Category 1: Reassignment of operating stage (Freq1: 48.7Hz --&gt; 48.6Hz)</t>
  </si>
  <si>
    <t>Category 1: Reassignment of operating stage (Freq1: 48.4Hz --&gt; 48.5Hz)</t>
  </si>
  <si>
    <t>Category 1: Reassignment of operating stage (Freq1: 48.2Hz --&gt; 48.3Hz) and (Freq2: 49.3Hz @90s --&gt; 49.3Hz @120)</t>
  </si>
  <si>
    <t>Category 2: New assignment (replacement for BMRH: BSRI 1 &amp; 2 defeated due to LSS KNLS in the pocket load)</t>
  </si>
  <si>
    <t>KKRI 1&amp;2</t>
  </si>
  <si>
    <t>Melaka</t>
  </si>
  <si>
    <t>AKRH &amp; AKRH/ONST</t>
  </si>
  <si>
    <t>BSRI 1 &amp; 2</t>
  </si>
  <si>
    <t>Deactivate for latest the 2024 review due to LSS MALS and the future Nenggiri Power Station in the pocket load</t>
  </si>
  <si>
    <t>Deactivate for latest the 2024 review due to LSS JSLS in the pocket load</t>
  </si>
  <si>
    <t>Deactivate for the latest 2024 review</t>
  </si>
  <si>
    <t>Deactivate. Supplying to essential loads - TNB/GSO/GSM/GST/3/1 (UFLS/UVLS) dated 19 Aug 2022</t>
  </si>
  <si>
    <t>Deactivate. Supplying to essential loads - TNB/GSO/GSM/GST/3/1 (UFLS/UVLS) dated Nov 2022</t>
  </si>
  <si>
    <t>Deactivate for latest the 2024 review due to LSS KNLS in the pocket load</t>
  </si>
  <si>
    <t>Deactivate. Supplying to essential loads - TNB/GSO/GSM/GST/3/1 (UFLS/UVLS) dated 6 April 2020</t>
  </si>
  <si>
    <t>MTIN, AMID, BRNG, SMYH, BHGT, PJAM</t>
  </si>
  <si>
    <t>UNDER-FREQUENCY LOAD SHEDDING (UFLS) REVISION 2024</t>
  </si>
  <si>
    <t>Tunjung</t>
  </si>
  <si>
    <t>Category 1: Reassignment of the operating stage (Freq1: 49.0Hz --&gt; 48.9Hz)</t>
  </si>
  <si>
    <t>Category 1: Reassignment of the operating stage (Freq1: 49.1Hz --&gt; 48.9Hz)</t>
  </si>
  <si>
    <t>WAV8 1 &amp; 2</t>
  </si>
  <si>
    <t>PJ South</t>
  </si>
  <si>
    <t>Statistic</t>
  </si>
  <si>
    <t>Central</t>
  </si>
  <si>
    <t>By Region</t>
  </si>
  <si>
    <t>Load Quantum By GM Office</t>
  </si>
  <si>
    <t>Southern</t>
  </si>
  <si>
    <t>North</t>
  </si>
  <si>
    <t>East</t>
  </si>
  <si>
    <t>Load Quantum by Stage UFLS</t>
  </si>
  <si>
    <t>Load Quantum by Stage UVLS</t>
  </si>
  <si>
    <t>MW Quantum 2025</t>
  </si>
  <si>
    <t>Bus  Number</t>
  </si>
  <si>
    <t>Bus  Name</t>
  </si>
  <si>
    <t>Id</t>
  </si>
  <si>
    <t>Zone Num</t>
  </si>
  <si>
    <t>Zone Name</t>
  </si>
  <si>
    <t>Owner Num</t>
  </si>
  <si>
    <t>Owner Name</t>
  </si>
  <si>
    <t>In Service</t>
  </si>
  <si>
    <t>Pload (MW)</t>
  </si>
  <si>
    <t>Qload (Mvar)</t>
  </si>
  <si>
    <t>ABBA132      132.00</t>
  </si>
  <si>
    <t>T1</t>
  </si>
  <si>
    <t>SELANGOR</t>
  </si>
  <si>
    <t>TNB T</t>
  </si>
  <si>
    <t>T2</t>
  </si>
  <si>
    <t>T3</t>
  </si>
  <si>
    <t>T4</t>
  </si>
  <si>
    <t>T5</t>
  </si>
  <si>
    <t>WPKL</t>
  </si>
  <si>
    <t>T6</t>
  </si>
  <si>
    <t>ADAM132      132.00</t>
  </si>
  <si>
    <t>AFMS132      132.00</t>
  </si>
  <si>
    <t>MELAKA</t>
  </si>
  <si>
    <t>AHMJ132      132.00</t>
  </si>
  <si>
    <t>JOHOR</t>
  </si>
  <si>
    <t>AHTM132      132.00</t>
  </si>
  <si>
    <t>AJYA132      132.00</t>
  </si>
  <si>
    <t>KEDAH</t>
  </si>
  <si>
    <t>AKRH132      132.00</t>
  </si>
  <si>
    <t>AMCO132      132.00</t>
  </si>
  <si>
    <t>F1</t>
  </si>
  <si>
    <t>PAHANG</t>
  </si>
  <si>
    <t>LPC</t>
  </si>
  <si>
    <t>F2</t>
  </si>
  <si>
    <t>F3</t>
  </si>
  <si>
    <t>AMDC132      132.00</t>
  </si>
  <si>
    <t>AMID132      132.00</t>
  </si>
  <si>
    <t>NS</t>
  </si>
  <si>
    <t>AMPG132      132.00</t>
  </si>
  <si>
    <t>CAPACITORS</t>
  </si>
  <si>
    <t>APMC132      132.00</t>
  </si>
  <si>
    <t>PERAK</t>
  </si>
  <si>
    <t>APMC132R     132.00</t>
  </si>
  <si>
    <t>APMR132      132.00</t>
  </si>
  <si>
    <t>APMR132R     132.00</t>
  </si>
  <si>
    <t>ASMB132      132.00</t>
  </si>
  <si>
    <t>ASSB275      275.00</t>
  </si>
  <si>
    <t>TGANU</t>
  </si>
  <si>
    <t>ASTM132      132.00</t>
  </si>
  <si>
    <t>ASTR132      132.00</t>
  </si>
  <si>
    <t>ATDC132      132.00</t>
  </si>
  <si>
    <t>ATJN132      132.00</t>
  </si>
  <si>
    <t>P PINANG</t>
  </si>
  <si>
    <t>ATNI132      132.00</t>
  </si>
  <si>
    <t>AYTH132      132.00</t>
  </si>
  <si>
    <t>T7</t>
  </si>
  <si>
    <t>PERLIS</t>
  </si>
  <si>
    <t>BAHA132      132.00</t>
  </si>
  <si>
    <t>BARG132      132.00</t>
  </si>
  <si>
    <t>BBCC132      132.00</t>
  </si>
  <si>
    <t>BBDG132      132.00</t>
  </si>
  <si>
    <t>BBDG132_T    132.00</t>
  </si>
  <si>
    <t>BBDM132      132.00</t>
  </si>
  <si>
    <t>BBNL132      132.00</t>
  </si>
  <si>
    <t>BBRU132      132.00</t>
  </si>
  <si>
    <t>REACTORS</t>
  </si>
  <si>
    <t>BBRU132NEW   132.00</t>
  </si>
  <si>
    <t>T8</t>
  </si>
  <si>
    <t>BBST132      132.00</t>
  </si>
  <si>
    <t>BBTC132      132.00</t>
  </si>
  <si>
    <t>BBTG132      132.00</t>
  </si>
  <si>
    <t>BBTU132      132.00</t>
  </si>
  <si>
    <t>BBTU132_T7   132.00</t>
  </si>
  <si>
    <t>BCDC132      132.00</t>
  </si>
  <si>
    <t>BCHG132      132.00</t>
  </si>
  <si>
    <t>BCVS132      132.00</t>
  </si>
  <si>
    <t>X1</t>
  </si>
  <si>
    <t>BDNG132      132.00</t>
  </si>
  <si>
    <t>BDOR132      132.00</t>
  </si>
  <si>
    <t>BFLD132      132.00</t>
  </si>
  <si>
    <t>BHGT132      132.00</t>
  </si>
  <si>
    <t>BIMK132      132.00</t>
  </si>
  <si>
    <t>BJLL132      132.00</t>
  </si>
  <si>
    <t>BJTG132      132.00</t>
  </si>
  <si>
    <t>BKHM132      132.00</t>
  </si>
  <si>
    <t>BKPG132      132.00</t>
  </si>
  <si>
    <t>BKPR132      132.00</t>
  </si>
  <si>
    <t>BKPY132      132.00</t>
  </si>
  <si>
    <t>BKRI132      132.00</t>
  </si>
  <si>
    <t>BKRS132      132.00</t>
  </si>
  <si>
    <t>BKWS132      132.00</t>
  </si>
  <si>
    <t>BLIN132      132.00</t>
  </si>
  <si>
    <t>BLKG132      132.00</t>
  </si>
  <si>
    <t>BLPS132L     132.00</t>
  </si>
  <si>
    <t>BLPS132R     132.00</t>
  </si>
  <si>
    <t>BMJM132      132.00</t>
  </si>
  <si>
    <t>BMKA132      132.00</t>
  </si>
  <si>
    <t>BMKM132      132.00</t>
  </si>
  <si>
    <t>BMRH132      132.00</t>
  </si>
  <si>
    <t>BMSH132      132.00</t>
  </si>
  <si>
    <t>BMTR132      132.00</t>
  </si>
  <si>
    <t>BMYK132      132.00</t>
  </si>
  <si>
    <t>BNTA132      132.00</t>
  </si>
  <si>
    <t>BNTG132      132.00</t>
  </si>
  <si>
    <t>BPHE132      132.00</t>
  </si>
  <si>
    <t>BPHT132      132.00</t>
  </si>
  <si>
    <t>BRBI132      132.00</t>
  </si>
  <si>
    <t>BRDC275      275.00</t>
  </si>
  <si>
    <t>BRGS132      132.00</t>
  </si>
  <si>
    <t>BRKT132      132.00</t>
  </si>
  <si>
    <t>BRNG132      132.00</t>
  </si>
  <si>
    <t>BSBU132      132.00</t>
  </si>
  <si>
    <t>BSPT132      132.00</t>
  </si>
  <si>
    <t>BSRI132      132.00</t>
  </si>
  <si>
    <t>BSTA132      132.00</t>
  </si>
  <si>
    <t>BSTL275      275.00</t>
  </si>
  <si>
    <t>BTAI132      132.00</t>
  </si>
  <si>
    <t>BTBN132      132.00</t>
  </si>
  <si>
    <t>BTGA132      132.00</t>
  </si>
  <si>
    <t>BTGH132NEW   132.00</t>
  </si>
  <si>
    <t>BTIC-T       132.00</t>
  </si>
  <si>
    <t>BTIC132      132.00</t>
  </si>
  <si>
    <t>BTIN132      132.00</t>
  </si>
  <si>
    <t>BTNG132      132.00</t>
  </si>
  <si>
    <t>BTRT132      132.00</t>
  </si>
  <si>
    <t>BTRZ132      132.00</t>
  </si>
  <si>
    <t>BUTM132      132.00</t>
  </si>
  <si>
    <t>BVTA132      132.00</t>
  </si>
  <si>
    <t>BWTN132      132.00</t>
  </si>
  <si>
    <t>CAAH132      132.00</t>
  </si>
  <si>
    <t>CBJC132      132.00</t>
  </si>
  <si>
    <t>CBJN132      132.00</t>
  </si>
  <si>
    <t>CBPS132      132.00</t>
  </si>
  <si>
    <t>CBRU132      132.00</t>
  </si>
  <si>
    <t>CEND132      132.00</t>
  </si>
  <si>
    <t>CHNG132      132.00</t>
  </si>
  <si>
    <t>CHRG132      132.00</t>
  </si>
  <si>
    <t>CIMA132      132.00</t>
  </si>
  <si>
    <t>CJDG132      132.00</t>
  </si>
  <si>
    <t>CJYA132      132.00</t>
  </si>
  <si>
    <t>CKAI132      132.00</t>
  </si>
  <si>
    <t>CMBG132      132.00</t>
  </si>
  <si>
    <t>COCH132      132.00</t>
  </si>
  <si>
    <t>CPNG132      132.00</t>
  </si>
  <si>
    <t>CUFG132      132.00</t>
  </si>
  <si>
    <t>CUFK132      132.00</t>
  </si>
  <si>
    <t>DBAY132      132.00</t>
  </si>
  <si>
    <t>DCTY132      132.00</t>
  </si>
  <si>
    <t>DDSA132      132.00</t>
  </si>
  <si>
    <t>DGID132      132.00</t>
  </si>
  <si>
    <t>DGUN132      132.00</t>
  </si>
  <si>
    <t>DKMT132      132.00</t>
  </si>
  <si>
    <t>DMHT132      132.00</t>
  </si>
  <si>
    <t>DSRU132      132.00</t>
  </si>
  <si>
    <t>KELANTAN</t>
  </si>
  <si>
    <t>DWGI132      132.00</t>
  </si>
  <si>
    <t>EGDC275      275.00</t>
  </si>
  <si>
    <t>ELMW132      132.00</t>
  </si>
  <si>
    <t>ELPN275      275.00</t>
  </si>
  <si>
    <t>EMPP_GT1     24.000</t>
  </si>
  <si>
    <t>EMPP_GT2     24.000</t>
  </si>
  <si>
    <t>EMPP_GT3     24.000</t>
  </si>
  <si>
    <t>EMSB132      132.00</t>
  </si>
  <si>
    <t>ERLA132      132.00</t>
  </si>
  <si>
    <t>ESMI132      132.00</t>
  </si>
  <si>
    <t>ESTK132      132.00</t>
  </si>
  <si>
    <t>ESTL275      275.00</t>
  </si>
  <si>
    <t>EVEM132      132.00</t>
  </si>
  <si>
    <t>FCTR132      132.00</t>
  </si>
  <si>
    <t>FLIM132      132.00</t>
  </si>
  <si>
    <t>FSCL132      132.00</t>
  </si>
  <si>
    <t>FSCL132R     132.00</t>
  </si>
  <si>
    <t>GBDK132      132.00</t>
  </si>
  <si>
    <t>GBID132      132.00</t>
  </si>
  <si>
    <t>GBNG132      132.00</t>
  </si>
  <si>
    <t>GCPD132      132.00</t>
  </si>
  <si>
    <t>GDSD132      132.00</t>
  </si>
  <si>
    <t>GHLD132      132.00</t>
  </si>
  <si>
    <t>F4</t>
  </si>
  <si>
    <t>GLGR132      132.00</t>
  </si>
  <si>
    <t>GMAS132      132.00</t>
  </si>
  <si>
    <t>GMSG132      132.00</t>
  </si>
  <si>
    <t>GPRD132      132.00</t>
  </si>
  <si>
    <t>GPTH132      132.00</t>
  </si>
  <si>
    <t>GRIK275      275.00</t>
  </si>
  <si>
    <t>GRNE132      132.00</t>
  </si>
  <si>
    <t>GRSK132      132.00</t>
  </si>
  <si>
    <t>GRUN132      132.00</t>
  </si>
  <si>
    <t>GSDC275      275.00</t>
  </si>
  <si>
    <t>GTHR132      132.00</t>
  </si>
  <si>
    <t>GTNG132      132.00</t>
  </si>
  <si>
    <t>GTWN132      132.00</t>
  </si>
  <si>
    <t>GWAY132      132.00</t>
  </si>
  <si>
    <t>GWDC132      132.00</t>
  </si>
  <si>
    <t>HCOM132      132.00</t>
  </si>
  <si>
    <t>HKCK132      132.00</t>
  </si>
  <si>
    <t>HLNM132      132.00</t>
  </si>
  <si>
    <t>HLNN132      132.00</t>
  </si>
  <si>
    <t>HMLG132      132.00</t>
  </si>
  <si>
    <t>HNQC132      132.00</t>
  </si>
  <si>
    <t>HPGH132      132.00</t>
  </si>
  <si>
    <t>HTRG275      275.00</t>
  </si>
  <si>
    <t>HTRG_U3      11.000</t>
  </si>
  <si>
    <t>HTRG_U4      11.000</t>
  </si>
  <si>
    <t>HTXD132      132.00</t>
  </si>
  <si>
    <t>HUME132      132.00</t>
  </si>
  <si>
    <t>HUME132R     132.00</t>
  </si>
  <si>
    <t>IBDN132      132.00</t>
  </si>
  <si>
    <t>ICNC132      132.00</t>
  </si>
  <si>
    <t>IGBK132      132.00</t>
  </si>
  <si>
    <t>IMBI132      132.00</t>
  </si>
  <si>
    <t>INTL132      132.00</t>
  </si>
  <si>
    <t>INTL132R     132.00</t>
  </si>
  <si>
    <t>INTN132      132.00</t>
  </si>
  <si>
    <t>IOIM132      132.00</t>
  </si>
  <si>
    <t>ITLM275      275.00</t>
  </si>
  <si>
    <t>JBRS132      132.00</t>
  </si>
  <si>
    <t>JBSK132      132.00</t>
  </si>
  <si>
    <t>JDHL132      132.00</t>
  </si>
  <si>
    <t>JDSI132      132.00</t>
  </si>
  <si>
    <t>JELI275      275.00</t>
  </si>
  <si>
    <t>JENG132      132.00</t>
  </si>
  <si>
    <t>JING132      132.00</t>
  </si>
  <si>
    <t>JMTH132      132.00</t>
  </si>
  <si>
    <t>JNKA132      132.00</t>
  </si>
  <si>
    <t>JNKO132      132.00</t>
  </si>
  <si>
    <t>JSIN132      132.00</t>
  </si>
  <si>
    <t>JTGH132      132.00</t>
  </si>
  <si>
    <t>JTUT132      132.00</t>
  </si>
  <si>
    <t>KAWA132      132.00</t>
  </si>
  <si>
    <t>KBBR132      132.00</t>
  </si>
  <si>
    <t>KBEK132      132.00</t>
  </si>
  <si>
    <t>KBMH132      132.00</t>
  </si>
  <si>
    <t>KBRG132      132.00</t>
  </si>
  <si>
    <t>KBRI132      132.00</t>
  </si>
  <si>
    <t>KBRU132      132.00</t>
  </si>
  <si>
    <t>KCMT132      132.00</t>
  </si>
  <si>
    <t>LANGKAWI</t>
  </si>
  <si>
    <t>KCMT132R     132.00</t>
  </si>
  <si>
    <t>KCPK132      132.00</t>
  </si>
  <si>
    <t>KDIS132      132.00</t>
  </si>
  <si>
    <t>KDSA132      132.00</t>
  </si>
  <si>
    <t>KERC132      132.00</t>
  </si>
  <si>
    <t>KEST132      132.00</t>
  </si>
  <si>
    <t>KGAR132      132.00</t>
  </si>
  <si>
    <t>KGDK132      132.00</t>
  </si>
  <si>
    <t>KGJH132      132.00</t>
  </si>
  <si>
    <t>KGPP132      132.00</t>
  </si>
  <si>
    <t>KGRN132      132.00</t>
  </si>
  <si>
    <t>KHTC132      132.00</t>
  </si>
  <si>
    <t>KHTE132      132.00</t>
  </si>
  <si>
    <t>KISW132      132.00</t>
  </si>
  <si>
    <t>KJKM132      132.00</t>
  </si>
  <si>
    <t>KJNG132      132.00</t>
  </si>
  <si>
    <t>KJWA132      132.00</t>
  </si>
  <si>
    <t>KKMG132      132.00</t>
  </si>
  <si>
    <t>KKPG132      132.00</t>
  </si>
  <si>
    <t>KKRI132      132.00</t>
  </si>
  <si>
    <t>KKSR132      132.00</t>
  </si>
  <si>
    <t>KKTL132      132.00</t>
  </si>
  <si>
    <t>KKUP132      132.00</t>
  </si>
  <si>
    <t>KKWG132      132.00</t>
  </si>
  <si>
    <t>KLAI132      132.00</t>
  </si>
  <si>
    <t>KLAI132R     132.00</t>
  </si>
  <si>
    <t>KLAT132      132.00</t>
  </si>
  <si>
    <t>KLBG132      132.00</t>
  </si>
  <si>
    <t>KLCC132      132.00</t>
  </si>
  <si>
    <t>KLCC132R     132.00</t>
  </si>
  <si>
    <t>KLCP132      132.00</t>
  </si>
  <si>
    <t>KLHT132      132.00</t>
  </si>
  <si>
    <t>KLIA132      132.00</t>
  </si>
  <si>
    <t>KLID132      132.00</t>
  </si>
  <si>
    <t>KLIM132      132.00</t>
  </si>
  <si>
    <t>KLIP132      132.00</t>
  </si>
  <si>
    <t>KLJT132      132.00</t>
  </si>
  <si>
    <t>KLMK132      132.00</t>
  </si>
  <si>
    <t>KLPP275      275.00</t>
  </si>
  <si>
    <t>KLPV132      132.00</t>
  </si>
  <si>
    <t>KLUG132      132.00</t>
  </si>
  <si>
    <t>KMAN132      132.00</t>
  </si>
  <si>
    <t>KMPR132      132.00</t>
  </si>
  <si>
    <t>KMTG132      132.00</t>
  </si>
  <si>
    <t>KNKA132      132.00</t>
  </si>
  <si>
    <t>KNYR132      132.00</t>
  </si>
  <si>
    <t>KPLH132      132.00</t>
  </si>
  <si>
    <t>KPLS132      132.00</t>
  </si>
  <si>
    <t>KPNG132      132.00</t>
  </si>
  <si>
    <t>KPTR132      132.00</t>
  </si>
  <si>
    <t>KRAK132      132.00</t>
  </si>
  <si>
    <t>KRGM132      132.00</t>
  </si>
  <si>
    <t>KRMB132      132.00</t>
  </si>
  <si>
    <t>KRPH132      132.00</t>
  </si>
  <si>
    <t>KRWG132      132.00</t>
  </si>
  <si>
    <t>KRYG132      132.00</t>
  </si>
  <si>
    <t>KSAS132      132.00</t>
  </si>
  <si>
    <t>KSBG132      132.00</t>
  </si>
  <si>
    <t>KSGR132      132.00</t>
  </si>
  <si>
    <t>KSJS132      132.00</t>
  </si>
  <si>
    <t>KSKI132      132.00</t>
  </si>
  <si>
    <t>KSLS132      132.00</t>
  </si>
  <si>
    <t>KSMP132      132.00</t>
  </si>
  <si>
    <t>KSNI132      132.00</t>
  </si>
  <si>
    <t>KSPT132      132.00</t>
  </si>
  <si>
    <t>KSPT132R     132.00</t>
  </si>
  <si>
    <t>KSSM132      132.00</t>
  </si>
  <si>
    <t>KSTL132      132.00</t>
  </si>
  <si>
    <t>KSTR132R     132.00</t>
  </si>
  <si>
    <t>KSTR_T       132.00</t>
  </si>
  <si>
    <t>KTAN132      132.00</t>
  </si>
  <si>
    <t>KTBR132      132.00</t>
  </si>
  <si>
    <t>KTCL132      132.00</t>
  </si>
  <si>
    <t>KTDC275      275.00</t>
  </si>
  <si>
    <t>KTGI132      132.00</t>
  </si>
  <si>
    <t>KTGR132      132.00</t>
  </si>
  <si>
    <t>KTGU132      132.00</t>
  </si>
  <si>
    <t>KTIH132      132.00</t>
  </si>
  <si>
    <t>KTJG132      132.00</t>
  </si>
  <si>
    <t>KTPG132      132.00</t>
  </si>
  <si>
    <t>KTRI132      132.00</t>
  </si>
  <si>
    <t>KTST132      132.00</t>
  </si>
  <si>
    <t>KULE132R     132.00</t>
  </si>
  <si>
    <t>KULN132L     132.00</t>
  </si>
  <si>
    <t>KULN132R     132.00</t>
  </si>
  <si>
    <t>KULS132      132.00</t>
  </si>
  <si>
    <t>KVRT132      132.00</t>
  </si>
  <si>
    <t>LCCT132      132.00</t>
  </si>
  <si>
    <t>LGMR132      132.00</t>
  </si>
  <si>
    <t>LJTK132      132.00</t>
  </si>
  <si>
    <t>LKDG132      132.00</t>
  </si>
  <si>
    <t>LKIN132      132.00</t>
  </si>
  <si>
    <t>LKRC132      132.00</t>
  </si>
  <si>
    <t>LKUT132      132.00</t>
  </si>
  <si>
    <t>LMAL132      132.00</t>
  </si>
  <si>
    <t>LMTM132      132.00</t>
  </si>
  <si>
    <t>LMUT132      132.00</t>
  </si>
  <si>
    <t>LSHA132      132.00</t>
  </si>
  <si>
    <t>MAJD132      132.00</t>
  </si>
  <si>
    <t>MALS_LSS2    33.000</t>
  </si>
  <si>
    <t>MBSD132      132.00</t>
  </si>
  <si>
    <t>MCKP275      275.00</t>
  </si>
  <si>
    <t>MCLS_LSS1    0.6000</t>
  </si>
  <si>
    <t>MCOP132      132.00</t>
  </si>
  <si>
    <t>MCRN132      132.00</t>
  </si>
  <si>
    <t>MCRS132      132.00</t>
  </si>
  <si>
    <t>MDAM132      132.00</t>
  </si>
  <si>
    <t>MECC132      132.00</t>
  </si>
  <si>
    <t>MERU132      132.00</t>
  </si>
  <si>
    <t>MERY132      132.00</t>
  </si>
  <si>
    <t>MFDR132      132.00</t>
  </si>
  <si>
    <t>MGON132      132.00</t>
  </si>
  <si>
    <t>MGST275      275.00</t>
  </si>
  <si>
    <t>MHTA132      132.00</t>
  </si>
  <si>
    <t>MJJG132      132.00</t>
  </si>
  <si>
    <t>MJLR132      132.00</t>
  </si>
  <si>
    <t>MJYA132      132.00</t>
  </si>
  <si>
    <t>MKBL132      132.00</t>
  </si>
  <si>
    <t>MKCL132      132.00</t>
  </si>
  <si>
    <t>MLBU132      132.00</t>
  </si>
  <si>
    <t>MMAU132      132.00</t>
  </si>
  <si>
    <t>MMHE132      132.00</t>
  </si>
  <si>
    <t>MMKA132      132.00</t>
  </si>
  <si>
    <t>MNID132      132.00</t>
  </si>
  <si>
    <t>MOXY132      132.00</t>
  </si>
  <si>
    <t>MPSS132      132.00</t>
  </si>
  <si>
    <t>MRAN132      132.00</t>
  </si>
  <si>
    <t>MSAI132      132.00</t>
  </si>
  <si>
    <t>MSNG132      132.00</t>
  </si>
  <si>
    <t>MSWK132      132.00</t>
  </si>
  <si>
    <t>MTBE132      132.00</t>
  </si>
  <si>
    <t>MTIN132      132.00</t>
  </si>
  <si>
    <t>MTKB132      132.00</t>
  </si>
  <si>
    <t>MTNH132      132.00</t>
  </si>
  <si>
    <t>MTRE132      132.00</t>
  </si>
  <si>
    <t>MUAR132      132.00</t>
  </si>
  <si>
    <t>MVLY132      132.00</t>
  </si>
  <si>
    <t>MWSN132      132.00</t>
  </si>
  <si>
    <t>MWTA132      132.00</t>
  </si>
  <si>
    <t>MWTA132R     132.00</t>
  </si>
  <si>
    <t>NEGM132      132.00</t>
  </si>
  <si>
    <t>NEGM132N     132.00</t>
  </si>
  <si>
    <t>NKAN132      132.00</t>
  </si>
  <si>
    <t>NKST132      132.00</t>
  </si>
  <si>
    <t>NLAI132      132.00</t>
  </si>
  <si>
    <t>NRWG132      132.00</t>
  </si>
  <si>
    <t>NSCI132      132.00</t>
  </si>
  <si>
    <t>NSDA132      132.00</t>
  </si>
  <si>
    <t>NSPK132      132.00</t>
  </si>
  <si>
    <t>NTBL132      132.00</t>
  </si>
  <si>
    <t>NUNI132      132.00</t>
  </si>
  <si>
    <t>NYOR132      132.00</t>
  </si>
  <si>
    <t>ONST132      132.00</t>
  </si>
  <si>
    <t>OZNA132      132.00</t>
  </si>
  <si>
    <t>PAKA132      132.00</t>
  </si>
  <si>
    <t>NA</t>
  </si>
  <si>
    <t>NB</t>
  </si>
  <si>
    <t>PAUH132      132.00</t>
  </si>
  <si>
    <t>PBJB132      132.00</t>
  </si>
  <si>
    <t>PBSR132      132.00</t>
  </si>
  <si>
    <t>PBTR132      132.00</t>
  </si>
  <si>
    <t>PCGP275      275.00</t>
  </si>
  <si>
    <t>PCHJ132      132.00</t>
  </si>
  <si>
    <t>PCHP132      132.00</t>
  </si>
  <si>
    <t>PCHP132R     132.00</t>
  </si>
  <si>
    <t>PCMT132      132.00</t>
  </si>
  <si>
    <t>PCOR132      132.00</t>
  </si>
  <si>
    <t>PCTY132      132.00</t>
  </si>
  <si>
    <t>PFTZ132      132.00</t>
  </si>
  <si>
    <t>PGAD132      132.00</t>
  </si>
  <si>
    <t>PGAU275      275.00</t>
  </si>
  <si>
    <t>N1</t>
  </si>
  <si>
    <t>N2</t>
  </si>
  <si>
    <t>PGDT132      132.00</t>
  </si>
  <si>
    <t>PGEH132      132.00</t>
  </si>
  <si>
    <t>PGIE132      132.00</t>
  </si>
  <si>
    <t>PGOH132      132.00</t>
  </si>
  <si>
    <t>PGPP132      132.00</t>
  </si>
  <si>
    <t>PGPS132      132.00</t>
  </si>
  <si>
    <t>PGTC132      132.00</t>
  </si>
  <si>
    <t>PHCT132      132.00</t>
  </si>
  <si>
    <t>PIDH132      132.00</t>
  </si>
  <si>
    <t>PJAM132      132.00</t>
  </si>
  <si>
    <t>PJML132      132.00</t>
  </si>
  <si>
    <t>PJST132      132.00</t>
  </si>
  <si>
    <t>PJYC132      132.00</t>
  </si>
  <si>
    <t>PKAN132      132.00</t>
  </si>
  <si>
    <t>PKCB132      132.00</t>
  </si>
  <si>
    <t>PKID132      132.00</t>
  </si>
  <si>
    <t>PKLG132      132.00</t>
  </si>
  <si>
    <t>N3</t>
  </si>
  <si>
    <t>PKLN132      132.00</t>
  </si>
  <si>
    <t>PKNI132      132.00</t>
  </si>
  <si>
    <t>PLGI132      132.00</t>
  </si>
  <si>
    <t>PLNG132      132.00</t>
  </si>
  <si>
    <t>PMJU132      132.00</t>
  </si>
  <si>
    <t>PMJY132      132.00</t>
  </si>
  <si>
    <t>PMKA132      132.00</t>
  </si>
  <si>
    <t>PMRN132      132.00</t>
  </si>
  <si>
    <t>PNAS132      132.00</t>
  </si>
  <si>
    <t>PNGA132      132.00</t>
  </si>
  <si>
    <t>PNLS132      132.00</t>
  </si>
  <si>
    <t>PNWR132      132.00</t>
  </si>
  <si>
    <t>PONT132      132.00</t>
  </si>
  <si>
    <t>PPJG132      132.00</t>
  </si>
  <si>
    <t>PPSR132      132.00</t>
  </si>
  <si>
    <t>PPTH132      132.00</t>
  </si>
  <si>
    <t>PRGS132      132.00</t>
  </si>
  <si>
    <t>PRGS132R     132.00</t>
  </si>
  <si>
    <t>PRID132      132.00</t>
  </si>
  <si>
    <t>PRJA132      132.00</t>
  </si>
  <si>
    <t>PROI132      132.00</t>
  </si>
  <si>
    <t>PROT132      132.00</t>
  </si>
  <si>
    <t>PSAK132      132.00</t>
  </si>
  <si>
    <t>PSLG132      132.00</t>
  </si>
  <si>
    <t>PSRI132      132.00</t>
  </si>
  <si>
    <t>PTAI132      132.00</t>
  </si>
  <si>
    <t>PTDC132      132.00</t>
  </si>
  <si>
    <t>PTPS132      132.00</t>
  </si>
  <si>
    <t>PUBB132      132.00</t>
  </si>
  <si>
    <t>PULU132      132.00</t>
  </si>
  <si>
    <t>PVBJ132      132.00</t>
  </si>
  <si>
    <t>PWGR275      275.00</t>
  </si>
  <si>
    <t>PWSM275      275.00</t>
  </si>
  <si>
    <t>PYSF132      132.00</t>
  </si>
  <si>
    <t>RASA132      132.00</t>
  </si>
  <si>
    <t>RBDR132      132.00</t>
  </si>
  <si>
    <t>RNGM132      132.00</t>
  </si>
  <si>
    <t>RNGT132      132.00</t>
  </si>
  <si>
    <t>RPJG132      132.00</t>
  </si>
  <si>
    <t>RPTS132      132.00</t>
  </si>
  <si>
    <t>RSID132      132.00</t>
  </si>
  <si>
    <t>RTAU132      132.00</t>
  </si>
  <si>
    <t>RWSS132      132.00</t>
  </si>
  <si>
    <t>SABG132      132.00</t>
  </si>
  <si>
    <t>SAND132      132.00</t>
  </si>
  <si>
    <t>SARA132      132.00</t>
  </si>
  <si>
    <t>SBAN132      132.00</t>
  </si>
  <si>
    <t>SBGS132      132.00</t>
  </si>
  <si>
    <t>SBSR132      132.00</t>
  </si>
  <si>
    <t>SCTY132      132.00</t>
  </si>
  <si>
    <t>SDAI132      132.00</t>
  </si>
  <si>
    <t>SDAI132_T9   132.00</t>
  </si>
  <si>
    <t>T9</t>
  </si>
  <si>
    <t>SDAM132      132.00</t>
  </si>
  <si>
    <t>SDCA132      132.00</t>
  </si>
  <si>
    <t>SDNK132      132.00</t>
  </si>
  <si>
    <t>SDYN132      132.00</t>
  </si>
  <si>
    <t>SELG132      132.00</t>
  </si>
  <si>
    <t>SGAD132      132.00</t>
  </si>
  <si>
    <t>SGBT132      132.00</t>
  </si>
  <si>
    <t>SGLC132      132.00</t>
  </si>
  <si>
    <t>SGMT132      132.00</t>
  </si>
  <si>
    <t>SHAB132      132.00</t>
  </si>
  <si>
    <t>SHAE132      132.00</t>
  </si>
  <si>
    <t>SHAN132      132.00</t>
  </si>
  <si>
    <t>SHAS132      132.00</t>
  </si>
  <si>
    <t>SHAW132      132.00</t>
  </si>
  <si>
    <t>SHEL132      132.00</t>
  </si>
  <si>
    <t>SHLB132      132.00</t>
  </si>
  <si>
    <t>SHMS132      132.00</t>
  </si>
  <si>
    <t>SHTE132      132.00</t>
  </si>
  <si>
    <t>SIDC275      275.00</t>
  </si>
  <si>
    <t>SIHY132      132.00</t>
  </si>
  <si>
    <t>SIKD132      132.00</t>
  </si>
  <si>
    <t>SJAY132      132.00</t>
  </si>
  <si>
    <t>SJTC132      132.00</t>
  </si>
  <si>
    <t>SJTH132      132.00</t>
  </si>
  <si>
    <t>SKCL132      132.00</t>
  </si>
  <si>
    <t>SKRG132      132.00</t>
  </si>
  <si>
    <t>SKRG132R     132.00</t>
  </si>
  <si>
    <t>SLNG132      132.00</t>
  </si>
  <si>
    <t>SLTI132      132.00</t>
  </si>
  <si>
    <t>SMBU132      132.00</t>
  </si>
  <si>
    <t>SMRK132      132.00</t>
  </si>
  <si>
    <t>SMTI132      132.00</t>
  </si>
  <si>
    <t>SMTN132      132.00</t>
  </si>
  <si>
    <t>SMYH132      132.00</t>
  </si>
  <si>
    <t>SNAI132      132.00</t>
  </si>
  <si>
    <t>SNWG132      132.00</t>
  </si>
  <si>
    <t>SONG132      132.00</t>
  </si>
  <si>
    <t>SPAE132      132.00</t>
  </si>
  <si>
    <t>SPG4132      132.00</t>
  </si>
  <si>
    <t>SPG4132R     132.00</t>
  </si>
  <si>
    <t>SPID132      132.00</t>
  </si>
  <si>
    <t>SPKC132      132.00</t>
  </si>
  <si>
    <t>SPNG132      132.00</t>
  </si>
  <si>
    <t>SPTG132      132.00</t>
  </si>
  <si>
    <t>SPWR132      132.00</t>
  </si>
  <si>
    <t>SRBI132      132.00</t>
  </si>
  <si>
    <t>SRDG132      132.00</t>
  </si>
  <si>
    <t>SRDN132      132.00</t>
  </si>
  <si>
    <t>SRDR132      132.00</t>
  </si>
  <si>
    <t>SRGM132      132.00</t>
  </si>
  <si>
    <t>SRNW132      132.00</t>
  </si>
  <si>
    <t>SRON132      132.00</t>
  </si>
  <si>
    <t>SRON132R     132.00</t>
  </si>
  <si>
    <t>SRVR132      132.00</t>
  </si>
  <si>
    <t>SRYA132      132.00</t>
  </si>
  <si>
    <t>SSLG132      132.00</t>
  </si>
  <si>
    <t>SSLS132      132.00</t>
  </si>
  <si>
    <t>SSPT132      132.00</t>
  </si>
  <si>
    <t>SSUN132      132.00</t>
  </si>
  <si>
    <t>SSUN132N     132.00</t>
  </si>
  <si>
    <t>SSWW132      132.00</t>
  </si>
  <si>
    <t>STDC275      275.00</t>
  </si>
  <si>
    <t>STIA132      132.00</t>
  </si>
  <si>
    <t>STME132      132.00</t>
  </si>
  <si>
    <t>STNG132      132.00</t>
  </si>
  <si>
    <t>STRA132      132.00</t>
  </si>
  <si>
    <t>STUL132      132.00</t>
  </si>
  <si>
    <t>SYPS132      132.00</t>
  </si>
  <si>
    <t>TAGP132      132.00</t>
  </si>
  <si>
    <t>TAGS132      132.00</t>
  </si>
  <si>
    <t>TASK132      132.00</t>
  </si>
  <si>
    <t>TBKR132      132.00</t>
  </si>
  <si>
    <t>TBRU132      132.00</t>
  </si>
  <si>
    <t>TCMT132      132.00</t>
  </si>
  <si>
    <t>TCOP132      132.00</t>
  </si>
  <si>
    <t>TEWA132      132.00</t>
  </si>
  <si>
    <t>TGBU132      132.00</t>
  </si>
  <si>
    <t>TGLN132      132.00</t>
  </si>
  <si>
    <t>TGLR132      132.00</t>
  </si>
  <si>
    <t>TGMK132      132.00</t>
  </si>
  <si>
    <t>TGTK132      132.00</t>
  </si>
  <si>
    <t>TIEM132      132.00</t>
  </si>
  <si>
    <t>TINE132      132.00</t>
  </si>
  <si>
    <t>TINT132      132.00</t>
  </si>
  <si>
    <t>TINT132R     132.00</t>
  </si>
  <si>
    <t>TJBU132      132.00</t>
  </si>
  <si>
    <t>TJGS132      132.00</t>
  </si>
  <si>
    <t>TJGSGT2A     15.750</t>
  </si>
  <si>
    <t>TJID132      132.00</t>
  </si>
  <si>
    <t>TJUG132      132.00</t>
  </si>
  <si>
    <t>TJYA132      132.00</t>
  </si>
  <si>
    <t>TKAK132      132.00</t>
  </si>
  <si>
    <t>TKBU132      132.00</t>
  </si>
  <si>
    <t>TKID132      132.00</t>
  </si>
  <si>
    <t>TKLG132      132.00</t>
  </si>
  <si>
    <t>TKMG132      132.00</t>
  </si>
  <si>
    <t>TKPG132      132.00</t>
  </si>
  <si>
    <t>TLBH132      132.00</t>
  </si>
  <si>
    <t>TLST132      132.00</t>
  </si>
  <si>
    <t>TLTP132      132.00</t>
  </si>
  <si>
    <t>TMAS132      132.00</t>
  </si>
  <si>
    <t>TMGR275      275.00</t>
  </si>
  <si>
    <t>TMID132      132.00</t>
  </si>
  <si>
    <t>TMOH132      132.00</t>
  </si>
  <si>
    <t>TMPI132      132.00</t>
  </si>
  <si>
    <t>TMRH132      132.00</t>
  </si>
  <si>
    <t>TMSY132      132.00</t>
  </si>
  <si>
    <t>TMWT132      132.00</t>
  </si>
  <si>
    <t>TNHQ132      132.00</t>
  </si>
  <si>
    <t>TPCH132      132.00</t>
  </si>
  <si>
    <t>TPGR132      132.00</t>
  </si>
  <si>
    <t>TPID132      132.00</t>
  </si>
  <si>
    <t>TPNG132      132.00</t>
  </si>
  <si>
    <t>TPNG132R     132.00</t>
  </si>
  <si>
    <t>TPOI132      132.00</t>
  </si>
  <si>
    <t>TRMN132      132.00</t>
  </si>
  <si>
    <t>TTAN132      132.00</t>
  </si>
  <si>
    <t>TTJF132      132.00</t>
  </si>
  <si>
    <t>TTKJ132      132.00</t>
  </si>
  <si>
    <t>TUNI132      132.00</t>
  </si>
  <si>
    <t>TWSA132      132.00</t>
  </si>
  <si>
    <t>UIAM132      132.00</t>
  </si>
  <si>
    <t>UJLI275      275.00</t>
  </si>
  <si>
    <t>UKLI132      132.00</t>
  </si>
  <si>
    <t>UMKA132      132.00</t>
  </si>
  <si>
    <t>UPSR132      132.00</t>
  </si>
  <si>
    <t>UTMJ132      132.00</t>
  </si>
  <si>
    <t>UTMJ132R     132.00</t>
  </si>
  <si>
    <t>UTRM132      132.00</t>
  </si>
  <si>
    <t>UYAM132      132.00</t>
  </si>
  <si>
    <t>VALE275      275.00</t>
  </si>
  <si>
    <t>VCTY132      132.00</t>
  </si>
  <si>
    <t>VDOR132      132.00</t>
  </si>
  <si>
    <t>VDOR_T7      132.00</t>
  </si>
  <si>
    <t>VMBR132      132.00</t>
  </si>
  <si>
    <t>WMJU132      132.00</t>
  </si>
  <si>
    <t>XNYI132      132.00</t>
  </si>
  <si>
    <t>YGPG132      132.00</t>
  </si>
  <si>
    <t>YWDC275      275.00</t>
  </si>
  <si>
    <t>ZRNA132      132.00</t>
  </si>
  <si>
    <t>CBRU132</t>
  </si>
  <si>
    <t>PGDT132</t>
  </si>
  <si>
    <t>TMPI132</t>
  </si>
  <si>
    <t>SARA132</t>
  </si>
  <si>
    <t>PKNI132</t>
  </si>
  <si>
    <t>HPGH132</t>
  </si>
  <si>
    <t>ESTK132</t>
  </si>
  <si>
    <t>PKID132</t>
  </si>
  <si>
    <t>KVRT132</t>
  </si>
  <si>
    <t>MLBU132</t>
  </si>
  <si>
    <t>STIA132</t>
  </si>
  <si>
    <t>DCTY132</t>
  </si>
  <si>
    <t>MJLR132</t>
  </si>
  <si>
    <t>SHMS132</t>
  </si>
  <si>
    <t>SCTY132</t>
  </si>
  <si>
    <t>CJYA132</t>
  </si>
  <si>
    <t>DDSA132</t>
  </si>
  <si>
    <t>MGON132</t>
  </si>
  <si>
    <t>PAUH132</t>
  </si>
  <si>
    <t>TMOH132</t>
  </si>
  <si>
    <t>KLBG132</t>
  </si>
  <si>
    <t>NKAN132</t>
  </si>
  <si>
    <t>TASK132</t>
  </si>
  <si>
    <t>SPKC132</t>
  </si>
  <si>
    <t>NUNI132</t>
  </si>
  <si>
    <t>TBRU132</t>
  </si>
  <si>
    <t>KRYG132</t>
  </si>
  <si>
    <t>SHEL132</t>
  </si>
  <si>
    <t>HCOM132</t>
  </si>
  <si>
    <t>SHAE132</t>
  </si>
  <si>
    <t>SHAS132</t>
  </si>
  <si>
    <t>PCOR132</t>
  </si>
  <si>
    <t>JTGH132</t>
  </si>
  <si>
    <t>SJAY132</t>
  </si>
  <si>
    <t>INTN132</t>
  </si>
  <si>
    <t>MPSS132</t>
  </si>
  <si>
    <t>TJUG132</t>
  </si>
  <si>
    <t>MUAR132</t>
  </si>
  <si>
    <t>BRGS132</t>
  </si>
  <si>
    <t>IGBK132</t>
  </si>
  <si>
    <t>BBTG132</t>
  </si>
  <si>
    <t>BIMK132</t>
  </si>
  <si>
    <t>BNTG132</t>
  </si>
  <si>
    <t>BWTN132</t>
  </si>
  <si>
    <t>PRGS132</t>
  </si>
  <si>
    <t>SRDR132</t>
  </si>
  <si>
    <t>AMPG132</t>
  </si>
  <si>
    <t>AHTM132</t>
  </si>
  <si>
    <t>BJLL132</t>
  </si>
  <si>
    <t>BLKG132</t>
  </si>
  <si>
    <t>KBRU132</t>
  </si>
  <si>
    <t>PJST132</t>
  </si>
  <si>
    <t>PGTC132</t>
  </si>
  <si>
    <t>PGIE132</t>
  </si>
  <si>
    <t>PCHJ132</t>
  </si>
  <si>
    <t>NSDA132</t>
  </si>
  <si>
    <t>NSPK132</t>
  </si>
  <si>
    <t>SRDN132</t>
  </si>
  <si>
    <t>SDYN132</t>
  </si>
  <si>
    <t>LKUT132</t>
  </si>
  <si>
    <t>TGLN132</t>
  </si>
  <si>
    <t>KSTR132</t>
  </si>
  <si>
    <t>KCPK132</t>
  </si>
  <si>
    <t>NRWG132</t>
  </si>
  <si>
    <t>BKPR132</t>
  </si>
  <si>
    <t>TMSY132</t>
  </si>
  <si>
    <t>TKMG132</t>
  </si>
  <si>
    <t>PPJG132</t>
  </si>
  <si>
    <t>MTNH132</t>
  </si>
  <si>
    <t>TJID132</t>
  </si>
  <si>
    <t>TTJF132</t>
  </si>
  <si>
    <t>SSUN132</t>
  </si>
  <si>
    <t>STRA132</t>
  </si>
  <si>
    <t>BNTA132</t>
  </si>
  <si>
    <t>KLIP132</t>
  </si>
  <si>
    <t>JNKA132</t>
  </si>
  <si>
    <t>JTUT132</t>
  </si>
  <si>
    <t>RBDR132</t>
  </si>
  <si>
    <t>ATJN132</t>
  </si>
  <si>
    <t>GRUN132</t>
  </si>
  <si>
    <t>JENG132</t>
  </si>
  <si>
    <t>LMUT132</t>
  </si>
  <si>
    <t>LMTM132</t>
  </si>
  <si>
    <t>MDAM132</t>
  </si>
  <si>
    <t>BCVS132</t>
  </si>
  <si>
    <t>PRJA132</t>
  </si>
  <si>
    <t>MCOP132</t>
  </si>
  <si>
    <t>XNYI132</t>
  </si>
  <si>
    <t>TKID132</t>
  </si>
  <si>
    <t>TKAK132</t>
  </si>
  <si>
    <t>JMTH132</t>
  </si>
  <si>
    <t>SGMT132</t>
  </si>
  <si>
    <t>BSPT132</t>
  </si>
  <si>
    <t>BKPG132</t>
  </si>
  <si>
    <t>CAAH132</t>
  </si>
  <si>
    <t>BAHA132</t>
  </si>
  <si>
    <t>NSCI132</t>
  </si>
  <si>
    <t>GMAS132</t>
  </si>
  <si>
    <t>PBSR132</t>
  </si>
  <si>
    <t>KPLH132</t>
  </si>
  <si>
    <t>UPSR132</t>
  </si>
  <si>
    <t>NLAI132</t>
  </si>
  <si>
    <t>BTGA132</t>
  </si>
  <si>
    <t>BBDG132</t>
  </si>
  <si>
    <t>RSID132</t>
  </si>
  <si>
    <t>GRSK132</t>
  </si>
  <si>
    <t>KPTR132</t>
  </si>
  <si>
    <t>SDAI132</t>
  </si>
  <si>
    <t>LKIN132</t>
  </si>
  <si>
    <t>SONG132</t>
  </si>
  <si>
    <t>MTKB132</t>
  </si>
  <si>
    <t>TMID132</t>
  </si>
  <si>
    <t>MNID132</t>
  </si>
  <si>
    <t>GLGR132</t>
  </si>
  <si>
    <t>BMTR132</t>
  </si>
  <si>
    <t>BKWS132</t>
  </si>
  <si>
    <t>KGAR132</t>
  </si>
  <si>
    <t>SHAW132</t>
  </si>
  <si>
    <t>TPGR132</t>
  </si>
  <si>
    <t>SHAN132</t>
  </si>
  <si>
    <t>SHLB132</t>
  </si>
  <si>
    <t>BBTC132</t>
  </si>
  <si>
    <t>BDNG132</t>
  </si>
  <si>
    <t>KULN132</t>
  </si>
  <si>
    <t>DGUN132</t>
  </si>
  <si>
    <t>CHRG132</t>
  </si>
  <si>
    <t>KLUG132</t>
  </si>
  <si>
    <t>MAJD132</t>
  </si>
  <si>
    <t>DGID132</t>
  </si>
  <si>
    <t>CKAI132</t>
  </si>
  <si>
    <t>BMYK132</t>
  </si>
  <si>
    <t>PRID132</t>
  </si>
  <si>
    <t>PCHP132</t>
  </si>
  <si>
    <t>CBPS132</t>
  </si>
  <si>
    <t>SHAB132</t>
  </si>
  <si>
    <t>SGBT132</t>
  </si>
  <si>
    <t>PPTH132</t>
  </si>
  <si>
    <t>SJTH132</t>
  </si>
  <si>
    <t>ZRNA132</t>
  </si>
  <si>
    <t>SPWR132</t>
  </si>
  <si>
    <t>CHNG132</t>
  </si>
  <si>
    <t>BMKA132</t>
  </si>
  <si>
    <t>MMKA132</t>
  </si>
  <si>
    <t>BVTA132</t>
  </si>
  <si>
    <t>TGBU132</t>
  </si>
  <si>
    <t>PPSR132</t>
  </si>
  <si>
    <t>HLNM132</t>
  </si>
  <si>
    <t>BRBI132</t>
  </si>
  <si>
    <t>GBDK132</t>
  </si>
  <si>
    <t>KBRG132</t>
  </si>
  <si>
    <t>KTGU132</t>
  </si>
  <si>
    <t>BRKT132</t>
  </si>
  <si>
    <t>SLNG132</t>
  </si>
  <si>
    <t>SNAI132</t>
  </si>
  <si>
    <t>KLAI132</t>
  </si>
  <si>
    <t>KLAI132R</t>
  </si>
  <si>
    <t>UTMJ132</t>
  </si>
  <si>
    <t>UTMJ132R</t>
  </si>
  <si>
    <t>BTAI132</t>
  </si>
  <si>
    <t>KULE132</t>
  </si>
  <si>
    <t>KLPV132</t>
  </si>
  <si>
    <t>TKBU132</t>
  </si>
  <si>
    <t>TPOI132</t>
  </si>
  <si>
    <t>BPHT132</t>
  </si>
  <si>
    <t>TPCH132</t>
  </si>
  <si>
    <t>YGPG132</t>
  </si>
  <si>
    <t>MERU132</t>
  </si>
  <si>
    <t>PROT132</t>
  </si>
  <si>
    <t>KLAT132</t>
  </si>
  <si>
    <t>TEWA132</t>
  </si>
  <si>
    <t>UMKA132</t>
  </si>
  <si>
    <t>KCMT132R</t>
  </si>
  <si>
    <t>KCMT132</t>
  </si>
  <si>
    <t>IMBI132</t>
  </si>
  <si>
    <t>KDSA132</t>
  </si>
  <si>
    <t>GWAY132</t>
  </si>
  <si>
    <t>JNKO132</t>
  </si>
  <si>
    <t>VDOR132</t>
  </si>
  <si>
    <t>PBTR132</t>
  </si>
  <si>
    <t>NTBL132</t>
  </si>
  <si>
    <t>BHGT132</t>
  </si>
  <si>
    <t>AMID132</t>
  </si>
  <si>
    <t>MTIN132</t>
  </si>
  <si>
    <t>PJAM132</t>
  </si>
  <si>
    <t>KEST132</t>
  </si>
  <si>
    <t>SMYH132</t>
  </si>
  <si>
    <t>BRNG132</t>
  </si>
  <si>
    <t>BMKM132</t>
  </si>
  <si>
    <t>KTGI132</t>
  </si>
  <si>
    <t>UTRM132</t>
  </si>
  <si>
    <t>PUBB132</t>
  </si>
  <si>
    <t>PLGI132</t>
  </si>
  <si>
    <t>RNGM132</t>
  </si>
  <si>
    <t>KLID132</t>
  </si>
  <si>
    <t>MSNG132</t>
  </si>
  <si>
    <t>TGMK132</t>
  </si>
  <si>
    <t>NYOR132</t>
  </si>
  <si>
    <t>SIKD132</t>
  </si>
  <si>
    <t>LKDG132</t>
  </si>
  <si>
    <t>SJTC132</t>
  </si>
  <si>
    <t>BBRU132</t>
  </si>
  <si>
    <t>SMRK132</t>
  </si>
  <si>
    <t>HLNN132</t>
  </si>
  <si>
    <t>SELG132</t>
  </si>
  <si>
    <t>STUL132</t>
  </si>
  <si>
    <t>SGAD132</t>
  </si>
  <si>
    <t>PJML132</t>
  </si>
  <si>
    <t>PYSF132</t>
  </si>
  <si>
    <t>PSRI132</t>
  </si>
  <si>
    <t>SSLG132</t>
  </si>
  <si>
    <t>UFLS DYR</t>
  </si>
  <si>
    <t>PSSE</t>
  </si>
  <si>
    <t>Load (PSSE)</t>
  </si>
  <si>
    <t>SDAM132</t>
  </si>
  <si>
    <t>AYTH132</t>
  </si>
  <si>
    <t>AYTH132T7</t>
  </si>
  <si>
    <t>BKRS132</t>
  </si>
  <si>
    <t>BKRS132T1</t>
  </si>
  <si>
    <t>BKRS132T2</t>
  </si>
  <si>
    <t>CBJC132</t>
  </si>
  <si>
    <t>CBJC132T1</t>
  </si>
  <si>
    <t>CMBG132</t>
  </si>
  <si>
    <t>CMBG132T3</t>
  </si>
  <si>
    <t>CPNG132</t>
  </si>
  <si>
    <t>CPNG132T1</t>
  </si>
  <si>
    <t>CPNG132T2</t>
  </si>
  <si>
    <t>KGAR132T1</t>
  </si>
  <si>
    <t>KGAR132T2</t>
  </si>
  <si>
    <t>KGAR132T3</t>
  </si>
  <si>
    <t>KGAR132T4</t>
  </si>
  <si>
    <t>KPLS132</t>
  </si>
  <si>
    <t>KPLS132T1</t>
  </si>
  <si>
    <t>KPLS132T2</t>
  </si>
  <si>
    <t>PMKA132</t>
  </si>
  <si>
    <t>PMKA132T1</t>
  </si>
  <si>
    <t>PMKA132T2</t>
  </si>
  <si>
    <t>AJYA132</t>
  </si>
  <si>
    <t>AJYA132T1</t>
  </si>
  <si>
    <t>AJYA132T2</t>
  </si>
  <si>
    <t>AJYA132T3</t>
  </si>
  <si>
    <t>AJYA132T4</t>
  </si>
  <si>
    <t>ASTR132</t>
  </si>
  <si>
    <t>ASTR132T1</t>
  </si>
  <si>
    <t>ASTR132T2</t>
  </si>
  <si>
    <t>ASTR132T3</t>
  </si>
  <si>
    <t>ASTR132T4</t>
  </si>
  <si>
    <t>BDNG132T1</t>
  </si>
  <si>
    <t>BDNG132T2</t>
  </si>
  <si>
    <t>BKHM132</t>
  </si>
  <si>
    <t>BKHM132T1</t>
  </si>
  <si>
    <t>BKHM132T2</t>
  </si>
  <si>
    <t>BKHM132T3</t>
  </si>
  <si>
    <t>BKHM132T4</t>
  </si>
  <si>
    <t>BSBU132</t>
  </si>
  <si>
    <t>BSBU132T1</t>
  </si>
  <si>
    <t>BSBU132T2</t>
  </si>
  <si>
    <t>BSBU132T3</t>
  </si>
  <si>
    <t>BSBU132T4</t>
  </si>
  <si>
    <t>GCPD132</t>
  </si>
  <si>
    <t>GCPD132T1</t>
  </si>
  <si>
    <t>GCPD132T2</t>
  </si>
  <si>
    <t>GRNE132</t>
  </si>
  <si>
    <t>GRNE132T1</t>
  </si>
  <si>
    <t>GRNE132T2</t>
  </si>
  <si>
    <t>GRUN132T1</t>
  </si>
  <si>
    <t>GRUN132T2</t>
  </si>
  <si>
    <t>GTHR132</t>
  </si>
  <si>
    <t>GTHR132T1</t>
  </si>
  <si>
    <t>GTHR132T2</t>
  </si>
  <si>
    <t>INTN132T1</t>
  </si>
  <si>
    <t>INTN132T2</t>
  </si>
  <si>
    <t>INTN132T3</t>
  </si>
  <si>
    <t>INTN132T4</t>
  </si>
  <si>
    <t>JENG132T1</t>
  </si>
  <si>
    <t>JENG132T2</t>
  </si>
  <si>
    <t>KERC132</t>
  </si>
  <si>
    <t>KERC132T1</t>
  </si>
  <si>
    <t>KERC132T2</t>
  </si>
  <si>
    <t>KKTL132</t>
  </si>
  <si>
    <t>KKTL132T1</t>
  </si>
  <si>
    <t>KKTL132T2</t>
  </si>
  <si>
    <t>KKTL132T3</t>
  </si>
  <si>
    <t>KKTL132T4</t>
  </si>
  <si>
    <t>KLIM132</t>
  </si>
  <si>
    <t>KLIM132T1</t>
  </si>
  <si>
    <t>KLIM132T2</t>
  </si>
  <si>
    <t>KSSM132</t>
  </si>
  <si>
    <t>KSSM132T1</t>
  </si>
  <si>
    <t>KSSM132T2</t>
  </si>
  <si>
    <t>KSSM132T3</t>
  </si>
  <si>
    <t>KSSM132T4</t>
  </si>
  <si>
    <t>KSTR132T8</t>
  </si>
  <si>
    <t xml:space="preserve">KSTR_T </t>
  </si>
  <si>
    <t>KSTR_T T7</t>
  </si>
  <si>
    <t>MGON132T1</t>
  </si>
  <si>
    <t>MGON132T2</t>
  </si>
  <si>
    <t>MGON132T3</t>
  </si>
  <si>
    <t>MGON132T4</t>
  </si>
  <si>
    <t>PAUH132T1</t>
  </si>
  <si>
    <t>PAUH132T2</t>
  </si>
  <si>
    <t>PAUH132T3</t>
  </si>
  <si>
    <t>PAUH132T4</t>
  </si>
  <si>
    <t>PAUH132T5</t>
  </si>
  <si>
    <t>SPID132</t>
  </si>
  <si>
    <t>SPID132T1</t>
  </si>
  <si>
    <t>SPID132T2</t>
  </si>
  <si>
    <t>SPID132T3</t>
  </si>
  <si>
    <t>SPID132T4</t>
  </si>
  <si>
    <t>TKBU132T1</t>
  </si>
  <si>
    <t>TKBU132T2</t>
  </si>
  <si>
    <t>ATJN132T1</t>
  </si>
  <si>
    <t>ATJN132T2</t>
  </si>
  <si>
    <t>ATJN132T3</t>
  </si>
  <si>
    <t>ATJN132T4</t>
  </si>
  <si>
    <t>BBRU132T1</t>
  </si>
  <si>
    <t>BBRU132T2</t>
  </si>
  <si>
    <t>BBRU132T3</t>
  </si>
  <si>
    <t>BBRU132T4</t>
  </si>
  <si>
    <t>BBRU132T8</t>
  </si>
  <si>
    <t>BKWS132T1</t>
  </si>
  <si>
    <t>BKWS132T2</t>
  </si>
  <si>
    <t>BKWS132T5</t>
  </si>
  <si>
    <t>BLIN132</t>
  </si>
  <si>
    <t>BLIN132T1</t>
  </si>
  <si>
    <t>BLIN132T2</t>
  </si>
  <si>
    <t>BLPS132</t>
  </si>
  <si>
    <t>BLPS132T3</t>
  </si>
  <si>
    <t>BLPS132T4</t>
  </si>
  <si>
    <t>BLPS132T1</t>
  </si>
  <si>
    <t>BLPS132T2</t>
  </si>
  <si>
    <t>BMJM132</t>
  </si>
  <si>
    <t>BMJM132T1</t>
  </si>
  <si>
    <t>BMJM132T2</t>
  </si>
  <si>
    <t>BMJM132T3</t>
  </si>
  <si>
    <t>BMJM132T4</t>
  </si>
  <si>
    <t>BMTR132T1</t>
  </si>
  <si>
    <t>BMTR132T2</t>
  </si>
  <si>
    <t>BMYK132T1</t>
  </si>
  <si>
    <t>BMYK132T2</t>
  </si>
  <si>
    <t>BMYK132T3</t>
  </si>
  <si>
    <t>BMYK132T4</t>
  </si>
  <si>
    <t>BTBN132</t>
  </si>
  <si>
    <t>BTBN132T1</t>
  </si>
  <si>
    <t>BTBN132T2</t>
  </si>
  <si>
    <t>BTGH132</t>
  </si>
  <si>
    <t>BTGH132T1</t>
  </si>
  <si>
    <t>BTGH132T2</t>
  </si>
  <si>
    <t>BWTN132T1</t>
  </si>
  <si>
    <t>BWTN132T2</t>
  </si>
  <si>
    <t>BWTN132T5</t>
  </si>
  <si>
    <t>DKMT132</t>
  </si>
  <si>
    <t>DKMT132T1</t>
  </si>
  <si>
    <t>DKMT132T2</t>
  </si>
  <si>
    <t>EVEM132</t>
  </si>
  <si>
    <t>EVEM132T1</t>
  </si>
  <si>
    <t>EVEM132T2</t>
  </si>
  <si>
    <t>FLIM132</t>
  </si>
  <si>
    <t>FLIM132T1</t>
  </si>
  <si>
    <t>FLIM132T2</t>
  </si>
  <si>
    <t>FLIM132T3</t>
  </si>
  <si>
    <t>FLIM132T4</t>
  </si>
  <si>
    <t>GLGR132T1</t>
  </si>
  <si>
    <t>GLGR132T2</t>
  </si>
  <si>
    <t>GLGR132T3</t>
  </si>
  <si>
    <t>ITLM275</t>
  </si>
  <si>
    <t>ITLM275F1</t>
  </si>
  <si>
    <t>ITLM275F2</t>
  </si>
  <si>
    <t>NTBL132T1</t>
  </si>
  <si>
    <t>NTBL132T2</t>
  </si>
  <si>
    <t>PRGS132T1</t>
  </si>
  <si>
    <t>PRGS132T2</t>
  </si>
  <si>
    <t>PRGS132T3</t>
  </si>
  <si>
    <t>PRGS132T4</t>
  </si>
  <si>
    <t>PRID132T1</t>
  </si>
  <si>
    <t>PRID132T2</t>
  </si>
  <si>
    <t>PRID132T3</t>
  </si>
  <si>
    <t>PRID132T4</t>
  </si>
  <si>
    <t>SARA132T1</t>
  </si>
  <si>
    <t>SARA132T2</t>
  </si>
  <si>
    <t>SJAY132T1</t>
  </si>
  <si>
    <t>SJAY132T2</t>
  </si>
  <si>
    <t>SKCL132</t>
  </si>
  <si>
    <t>SKCL132T1</t>
  </si>
  <si>
    <t>SKCL132T2</t>
  </si>
  <si>
    <t>SKCL132T3</t>
  </si>
  <si>
    <t>SKCL132T4</t>
  </si>
  <si>
    <t>SPAE132</t>
  </si>
  <si>
    <t>SPAE132T1</t>
  </si>
  <si>
    <t>SPAE132T2</t>
  </si>
  <si>
    <t>SPG4132</t>
  </si>
  <si>
    <t>SPG4132T1</t>
  </si>
  <si>
    <t>SPG4132T2</t>
  </si>
  <si>
    <t>SPNG132</t>
  </si>
  <si>
    <t>SPNG132T1</t>
  </si>
  <si>
    <t>SPNG132T2</t>
  </si>
  <si>
    <t>TGLR132</t>
  </si>
  <si>
    <t>TGLR132T1</t>
  </si>
  <si>
    <t>TGLR132T2</t>
  </si>
  <si>
    <t>TGTK132</t>
  </si>
  <si>
    <t>TGTK132T1</t>
  </si>
  <si>
    <t>TGTK132T2</t>
  </si>
  <si>
    <t>VDOR132T1</t>
  </si>
  <si>
    <t>VDOR132T2</t>
  </si>
  <si>
    <t>VDOR132T7</t>
  </si>
  <si>
    <t>VDOR_T7</t>
  </si>
  <si>
    <t>VDOR_T7T7</t>
  </si>
  <si>
    <t>BDOR132</t>
  </si>
  <si>
    <t>BDOR132T1</t>
  </si>
  <si>
    <t>BDOR132T2</t>
  </si>
  <si>
    <t>BDOR132T3</t>
  </si>
  <si>
    <t>BDOR132T4</t>
  </si>
  <si>
    <t>BMRH132</t>
  </si>
  <si>
    <t>BMRH132T3</t>
  </si>
  <si>
    <t>BMRH132T4</t>
  </si>
  <si>
    <t>BSRI132</t>
  </si>
  <si>
    <t>BSRI132T1</t>
  </si>
  <si>
    <t>BSRI132T2</t>
  </si>
  <si>
    <t>BTNG132</t>
  </si>
  <si>
    <t>BTNG132T1</t>
  </si>
  <si>
    <t>BTNG132T2</t>
  </si>
  <si>
    <t>CEND132</t>
  </si>
  <si>
    <t>CEND132T1</t>
  </si>
  <si>
    <t>CEND132T2</t>
  </si>
  <si>
    <t>GPRD132</t>
  </si>
  <si>
    <t>GPRD132T1</t>
  </si>
  <si>
    <t>GPRD132T2</t>
  </si>
  <si>
    <t>GPRD132T3</t>
  </si>
  <si>
    <t>GPRD132T4</t>
  </si>
  <si>
    <t>GRIK275</t>
  </si>
  <si>
    <t>GRIK275T1</t>
  </si>
  <si>
    <t>GTWN132</t>
  </si>
  <si>
    <t>GTWN132T1</t>
  </si>
  <si>
    <t>GTWN132T2</t>
  </si>
  <si>
    <t>HMLG132</t>
  </si>
  <si>
    <t>HMLG132T1</t>
  </si>
  <si>
    <t>HMLG132T2</t>
  </si>
  <si>
    <t>KGJH132</t>
  </si>
  <si>
    <t>KGJH132T1</t>
  </si>
  <si>
    <t>KGJH132T2</t>
  </si>
  <si>
    <t>KJWA132</t>
  </si>
  <si>
    <t>KJWA132T1</t>
  </si>
  <si>
    <t>KJWA132T2</t>
  </si>
  <si>
    <t>KKSR132</t>
  </si>
  <si>
    <t>KKSR132T1</t>
  </si>
  <si>
    <t>KKSR132T2</t>
  </si>
  <si>
    <t>KLBG132T1</t>
  </si>
  <si>
    <t>KLBG132T2</t>
  </si>
  <si>
    <t>KLBG132T3</t>
  </si>
  <si>
    <t>KLBG132T4</t>
  </si>
  <si>
    <t>KMPR132</t>
  </si>
  <si>
    <t>KMPR132T1</t>
  </si>
  <si>
    <t>KMPR132T2</t>
  </si>
  <si>
    <t>KMPR132T3</t>
  </si>
  <si>
    <t>KMPR132T4</t>
  </si>
  <si>
    <t>KMTG132</t>
  </si>
  <si>
    <t>KMTG132T1</t>
  </si>
  <si>
    <t>KMTG132T2</t>
  </si>
  <si>
    <t>KMTG132T3</t>
  </si>
  <si>
    <t>KMTG132T4</t>
  </si>
  <si>
    <t>KVRT132T1</t>
  </si>
  <si>
    <t>KVRT132T2</t>
  </si>
  <si>
    <t>KVRT132T3</t>
  </si>
  <si>
    <t>KVRT132T4</t>
  </si>
  <si>
    <t>LMTM132T1</t>
  </si>
  <si>
    <t>LMTM132T2</t>
  </si>
  <si>
    <t>LMTM132T3</t>
  </si>
  <si>
    <t>LMTM132T4</t>
  </si>
  <si>
    <t>LMUT132T1</t>
  </si>
  <si>
    <t>LMUT132T2</t>
  </si>
  <si>
    <t>LMUT132T3</t>
  </si>
  <si>
    <t>MERY132</t>
  </si>
  <si>
    <t>MERY132T1</t>
  </si>
  <si>
    <t>MERY132T2</t>
  </si>
  <si>
    <t>MLBU132T1</t>
  </si>
  <si>
    <t>MLBU132T2</t>
  </si>
  <si>
    <t>MLBU132T3</t>
  </si>
  <si>
    <t>MLBU132T4</t>
  </si>
  <si>
    <t>NKAN132T1</t>
  </si>
  <si>
    <t>NKAN132T2</t>
  </si>
  <si>
    <t>PBTR132T1</t>
  </si>
  <si>
    <t>PBTR132T2</t>
  </si>
  <si>
    <t>PKCB132</t>
  </si>
  <si>
    <t>PKCB132T1</t>
  </si>
  <si>
    <t>PKCB132T2</t>
  </si>
  <si>
    <t>PKID132T1</t>
  </si>
  <si>
    <t>PKID132T2</t>
  </si>
  <si>
    <t>PKID132T3</t>
  </si>
  <si>
    <t>PKID132T4</t>
  </si>
  <si>
    <t>PKLN132</t>
  </si>
  <si>
    <t>PKLN132T1</t>
  </si>
  <si>
    <t>PKLN132T2</t>
  </si>
  <si>
    <t>PKLN132T3</t>
  </si>
  <si>
    <t>PKLN132T4</t>
  </si>
  <si>
    <t>SBGS132</t>
  </si>
  <si>
    <t>SBGS132T1</t>
  </si>
  <si>
    <t>SBGS132T2</t>
  </si>
  <si>
    <t>SBGS132T3</t>
  </si>
  <si>
    <t>SBGS132T4</t>
  </si>
  <si>
    <t>SIHY132</t>
  </si>
  <si>
    <t>SIHY132T1</t>
  </si>
  <si>
    <t>SIHY132T2</t>
  </si>
  <si>
    <t>SIKD132T1</t>
  </si>
  <si>
    <t>SIKD132T2</t>
  </si>
  <si>
    <t>SIKD132T3</t>
  </si>
  <si>
    <t>SIKD132T4</t>
  </si>
  <si>
    <t>SRVR132</t>
  </si>
  <si>
    <t>SRVR132T5</t>
  </si>
  <si>
    <t>SRVR132T6</t>
  </si>
  <si>
    <t>SSLS132</t>
  </si>
  <si>
    <t>SSLS132T1</t>
  </si>
  <si>
    <t>SSPT132</t>
  </si>
  <si>
    <t>SSPT132T1</t>
  </si>
  <si>
    <t>SSPT132T2</t>
  </si>
  <si>
    <t>SYPS132</t>
  </si>
  <si>
    <t>SYPS132T1</t>
  </si>
  <si>
    <t>SYPS132T2</t>
  </si>
  <si>
    <t>TASK132T1</t>
  </si>
  <si>
    <t>TASK132T2</t>
  </si>
  <si>
    <t>TASK132T3</t>
  </si>
  <si>
    <t>TASK132T4</t>
  </si>
  <si>
    <t>TCMT132</t>
  </si>
  <si>
    <t>TCMT132T1</t>
  </si>
  <si>
    <t>TCMT132T2</t>
  </si>
  <si>
    <t>TCMT132T3</t>
  </si>
  <si>
    <t>TCMT132T4</t>
  </si>
  <si>
    <t>TINE132</t>
  </si>
  <si>
    <t>TINE132T1</t>
  </si>
  <si>
    <t>TINE132T2</t>
  </si>
  <si>
    <t>TINT132</t>
  </si>
  <si>
    <t>TINT132T1</t>
  </si>
  <si>
    <t>TINT132T2</t>
  </si>
  <si>
    <t>TINT132T3</t>
  </si>
  <si>
    <t>TMGR275</t>
  </si>
  <si>
    <t>TMGR275T1</t>
  </si>
  <si>
    <t>TMOH132T3</t>
  </si>
  <si>
    <t>TMOH132T4</t>
  </si>
  <si>
    <t>TPID132</t>
  </si>
  <si>
    <t>TPID132T1</t>
  </si>
  <si>
    <t>TPID132T2</t>
  </si>
  <si>
    <t>TPID132T3</t>
  </si>
  <si>
    <t>TPID132T4</t>
  </si>
  <si>
    <t>TPNG132</t>
  </si>
  <si>
    <t>TPNG132T1</t>
  </si>
  <si>
    <t>TPNG132T2</t>
  </si>
  <si>
    <t>UJLI275</t>
  </si>
  <si>
    <t>UJLI275T1</t>
  </si>
  <si>
    <t>UJLI275T2</t>
  </si>
  <si>
    <t>ABBA132</t>
  </si>
  <si>
    <t>ABBA132T1</t>
  </si>
  <si>
    <t>ABBA132T2</t>
  </si>
  <si>
    <t>ABBA132T3</t>
  </si>
  <si>
    <t>ABBA132T4</t>
  </si>
  <si>
    <t>ADAM132</t>
  </si>
  <si>
    <t>ADAM132T1</t>
  </si>
  <si>
    <t>ADAM132T2</t>
  </si>
  <si>
    <t>AHTM132T1</t>
  </si>
  <si>
    <t>AHTM132T2</t>
  </si>
  <si>
    <t>BARG132</t>
  </si>
  <si>
    <t>BARG132T1</t>
  </si>
  <si>
    <t>BARG132T2</t>
  </si>
  <si>
    <t>BARG132T3</t>
  </si>
  <si>
    <t>BARG132T4</t>
  </si>
  <si>
    <t>BBDG132T1</t>
  </si>
  <si>
    <t>BBDG132T2</t>
  </si>
  <si>
    <t>BBDG132T7</t>
  </si>
  <si>
    <t>BBST132</t>
  </si>
  <si>
    <t>BBST132T1</t>
  </si>
  <si>
    <t>BBST132T2</t>
  </si>
  <si>
    <t>BBST132T3</t>
  </si>
  <si>
    <t>BBST132T4</t>
  </si>
  <si>
    <t>BBTC132T1</t>
  </si>
  <si>
    <t>BBTC132T2</t>
  </si>
  <si>
    <t>BBTG132T1</t>
  </si>
  <si>
    <t>BBTG132T2</t>
  </si>
  <si>
    <t>BBTG132T3</t>
  </si>
  <si>
    <t>BBTG132T4</t>
  </si>
  <si>
    <t>BCHG132</t>
  </si>
  <si>
    <t>BCHG132T1</t>
  </si>
  <si>
    <t>BCHG132T2</t>
  </si>
  <si>
    <t>BCHG132T3</t>
  </si>
  <si>
    <t>BCHG132T4</t>
  </si>
  <si>
    <t>BCVS132T1</t>
  </si>
  <si>
    <t>BCVS132T2</t>
  </si>
  <si>
    <t>BCVS132T3</t>
  </si>
  <si>
    <t>BCVS132T4</t>
  </si>
  <si>
    <t>BHGT132T1</t>
  </si>
  <si>
    <t>BHGT132T2</t>
  </si>
  <si>
    <t>BJLL132T1</t>
  </si>
  <si>
    <t>BJLL132T2</t>
  </si>
  <si>
    <t>BJLL132T3</t>
  </si>
  <si>
    <t>BJLL132T4</t>
  </si>
  <si>
    <t>BJTG132</t>
  </si>
  <si>
    <t>BJTG132T1</t>
  </si>
  <si>
    <t>BJTG132T2</t>
  </si>
  <si>
    <t>BJTG132T3</t>
  </si>
  <si>
    <t>BJTG132T4</t>
  </si>
  <si>
    <t>BKPR132T1</t>
  </si>
  <si>
    <t>BKPR132T2</t>
  </si>
  <si>
    <t>BKPR132T3</t>
  </si>
  <si>
    <t>BKPR132T4</t>
  </si>
  <si>
    <t>BLKG132T1</t>
  </si>
  <si>
    <t>BLKG132T2</t>
  </si>
  <si>
    <t>BLKG132T3</t>
  </si>
  <si>
    <t>BLKG132T4</t>
  </si>
  <si>
    <t>BRGS132T1</t>
  </si>
  <si>
    <t>BRGS132T2</t>
  </si>
  <si>
    <t>BRGS132T3</t>
  </si>
  <si>
    <t>BRGS132T4</t>
  </si>
  <si>
    <t>BRNG132T1</t>
  </si>
  <si>
    <t>BRNG132T2</t>
  </si>
  <si>
    <t>BRNG132T3</t>
  </si>
  <si>
    <t>BRNG132T4</t>
  </si>
  <si>
    <t>BSTA132</t>
  </si>
  <si>
    <t>BSTA132T1</t>
  </si>
  <si>
    <t>BSTA132T2</t>
  </si>
  <si>
    <t>BSTA132T3</t>
  </si>
  <si>
    <t>BSTA132T4</t>
  </si>
  <si>
    <t>BTAI132T1</t>
  </si>
  <si>
    <t>BTAI132T2</t>
  </si>
  <si>
    <t>BTGA132T1</t>
  </si>
  <si>
    <t>BTGA132T2</t>
  </si>
  <si>
    <t>BTGA132T3</t>
  </si>
  <si>
    <t xml:space="preserve">BTIC-T </t>
  </si>
  <si>
    <t>BTIC-T T7</t>
  </si>
  <si>
    <t>BTIC132</t>
  </si>
  <si>
    <t>BTIC132T7</t>
  </si>
  <si>
    <t>BTIN132</t>
  </si>
  <si>
    <t>BTIN132T1</t>
  </si>
  <si>
    <t>BTIN132T2</t>
  </si>
  <si>
    <t>CBJN132</t>
  </si>
  <si>
    <t>CBJN132T1</t>
  </si>
  <si>
    <t>CBJN132T2</t>
  </si>
  <si>
    <t>CBJN132T3</t>
  </si>
  <si>
    <t>CBJN132T4</t>
  </si>
  <si>
    <t>CBPS132T1</t>
  </si>
  <si>
    <t>CBPS132T2</t>
  </si>
  <si>
    <t>CBPS132T3</t>
  </si>
  <si>
    <t>CBPS132T4</t>
  </si>
  <si>
    <t>CJYA132T1</t>
  </si>
  <si>
    <t>CJYA132T2</t>
  </si>
  <si>
    <t>CJYA132T3</t>
  </si>
  <si>
    <t>EGDC275</t>
  </si>
  <si>
    <t>EGDC275T1</t>
  </si>
  <si>
    <t>ELMW132</t>
  </si>
  <si>
    <t>ELMW132T1</t>
  </si>
  <si>
    <t>ELMW132T2</t>
  </si>
  <si>
    <t>ESTK132T1</t>
  </si>
  <si>
    <t>ESTK132T2</t>
  </si>
  <si>
    <t>HCOM132T1</t>
  </si>
  <si>
    <t>HCOM132T2</t>
  </si>
  <si>
    <t>HCOM132T3</t>
  </si>
  <si>
    <t>HCOM132T4</t>
  </si>
  <si>
    <t>IGBK132T1</t>
  </si>
  <si>
    <t>IGBK132T2</t>
  </si>
  <si>
    <t>IGBK132T3</t>
  </si>
  <si>
    <t>IGBK132T4</t>
  </si>
  <si>
    <t>KCPK132T1</t>
  </si>
  <si>
    <t>KCPK132T2</t>
  </si>
  <si>
    <t>KDSA132T1</t>
  </si>
  <si>
    <t>KDSA132T2</t>
  </si>
  <si>
    <t>KDSA132T3</t>
  </si>
  <si>
    <t>KDSA132T4</t>
  </si>
  <si>
    <t>KDSA132T5</t>
  </si>
  <si>
    <t>KJNG132</t>
  </si>
  <si>
    <t>KJNG132T1</t>
  </si>
  <si>
    <t>KJNG132T2</t>
  </si>
  <si>
    <t>KJNG132T3</t>
  </si>
  <si>
    <t>KJNG132T4</t>
  </si>
  <si>
    <t>KKMG132</t>
  </si>
  <si>
    <t>KKMG132T1</t>
  </si>
  <si>
    <t>KKMG132T2</t>
  </si>
  <si>
    <t>KKMG132T3</t>
  </si>
  <si>
    <t>KKMG132T4</t>
  </si>
  <si>
    <t>KLIA132</t>
  </si>
  <si>
    <t>KLIA132T1</t>
  </si>
  <si>
    <t>KLIA132T2</t>
  </si>
  <si>
    <t>KLIA132T3</t>
  </si>
  <si>
    <t>KLIA132T4</t>
  </si>
  <si>
    <t>KLPP275</t>
  </si>
  <si>
    <t>KLPP275T1</t>
  </si>
  <si>
    <t>KLPP275T2</t>
  </si>
  <si>
    <t>KLPP275T3</t>
  </si>
  <si>
    <t>KPNG132</t>
  </si>
  <si>
    <t>KPNG132T1</t>
  </si>
  <si>
    <t>KPNG132T2</t>
  </si>
  <si>
    <t>KSBG132</t>
  </si>
  <si>
    <t>KSBG132T1</t>
  </si>
  <si>
    <t>KSBG132T2</t>
  </si>
  <si>
    <t>KSBG132T3</t>
  </si>
  <si>
    <t>KSBG132T4</t>
  </si>
  <si>
    <t>KSGR132</t>
  </si>
  <si>
    <t>KSGR132T1</t>
  </si>
  <si>
    <t>KSGR132T2</t>
  </si>
  <si>
    <t>LGMR132</t>
  </si>
  <si>
    <t>LGMR132F1</t>
  </si>
  <si>
    <t>LGMR132F2</t>
  </si>
  <si>
    <t>LKDG132T1</t>
  </si>
  <si>
    <t>LKDG132T2</t>
  </si>
  <si>
    <t>LKDG132T3</t>
  </si>
  <si>
    <t>LKDG132T4</t>
  </si>
  <si>
    <t>LSHA132</t>
  </si>
  <si>
    <t>LSHA132T1</t>
  </si>
  <si>
    <t>LSHA132T2</t>
  </si>
  <si>
    <t>MERU132T1</t>
  </si>
  <si>
    <t>MERU132T2</t>
  </si>
  <si>
    <t>MERU132T3</t>
  </si>
  <si>
    <t>MERU132T4</t>
  </si>
  <si>
    <t>MHTA132</t>
  </si>
  <si>
    <t>MHTA132T1</t>
  </si>
  <si>
    <t>MHTA132T2</t>
  </si>
  <si>
    <t>MHTA132T3</t>
  </si>
  <si>
    <t>MHTA132T4</t>
  </si>
  <si>
    <t>NKST132</t>
  </si>
  <si>
    <t>NKST132T3</t>
  </si>
  <si>
    <t>NKST132T4</t>
  </si>
  <si>
    <t>NRWG132T1</t>
  </si>
  <si>
    <t>NRWG132T2</t>
  </si>
  <si>
    <t>NRWG132T3</t>
  </si>
  <si>
    <t>NRWG132T4</t>
  </si>
  <si>
    <t>NSDA132T1</t>
  </si>
  <si>
    <t>NSDA132T2</t>
  </si>
  <si>
    <t>NSDA132T3</t>
  </si>
  <si>
    <t>NSDA132T4</t>
  </si>
  <si>
    <t>NSPK132T1</t>
  </si>
  <si>
    <t>NSPK132T2</t>
  </si>
  <si>
    <t>NSPK132T3</t>
  </si>
  <si>
    <t>NSPK132T4</t>
  </si>
  <si>
    <t>NUNI132T1</t>
  </si>
  <si>
    <t>NUNI132T2</t>
  </si>
  <si>
    <t>NUNI132T3</t>
  </si>
  <si>
    <t>NUNI132T4</t>
  </si>
  <si>
    <t>PCHJ132T1</t>
  </si>
  <si>
    <t>PCHJ132T2</t>
  </si>
  <si>
    <t>PCHJ132T3</t>
  </si>
  <si>
    <t>PCHJ132T4</t>
  </si>
  <si>
    <t>PCHP132T3</t>
  </si>
  <si>
    <t>PCHP132T1</t>
  </si>
  <si>
    <t>PCHP132T2</t>
  </si>
  <si>
    <t>PCTY132</t>
  </si>
  <si>
    <t>PCTY132T1</t>
  </si>
  <si>
    <t>PCTY132T2</t>
  </si>
  <si>
    <t>PCTY132T3</t>
  </si>
  <si>
    <t>PCTY132T4</t>
  </si>
  <si>
    <t>PIDH132</t>
  </si>
  <si>
    <t>PIDH132T1</t>
  </si>
  <si>
    <t>PIDH132T2</t>
  </si>
  <si>
    <t>PIDH132T3</t>
  </si>
  <si>
    <t>PIDH132T4</t>
  </si>
  <si>
    <t>PIDH132T5</t>
  </si>
  <si>
    <t>PIDH132T6</t>
  </si>
  <si>
    <t>PJST132T1</t>
  </si>
  <si>
    <t>PJST132T2</t>
  </si>
  <si>
    <t>PJST132T3</t>
  </si>
  <si>
    <t>PJST132T4</t>
  </si>
  <si>
    <t>PKLG132</t>
  </si>
  <si>
    <t>PKLG132N1</t>
  </si>
  <si>
    <t>PKLG132N2</t>
  </si>
  <si>
    <t>PKLG132N3</t>
  </si>
  <si>
    <t>PKLG132T1</t>
  </si>
  <si>
    <t>PKLG132T2</t>
  </si>
  <si>
    <t>PMRN132</t>
  </si>
  <si>
    <t>PMRN132T1</t>
  </si>
  <si>
    <t>PMRN132T2</t>
  </si>
  <si>
    <t>PMRN132T3</t>
  </si>
  <si>
    <t>PMRN132T4</t>
  </si>
  <si>
    <t>PNGA132</t>
  </si>
  <si>
    <t>PNGA132T1</t>
  </si>
  <si>
    <t>PNGA132T2</t>
  </si>
  <si>
    <t>PROT132T1</t>
  </si>
  <si>
    <t>PROT132T2</t>
  </si>
  <si>
    <t>PROT132T3</t>
  </si>
  <si>
    <t>PTAI132</t>
  </si>
  <si>
    <t>PTAI132T1</t>
  </si>
  <si>
    <t>PTAI132T2</t>
  </si>
  <si>
    <t>PTAI132T3</t>
  </si>
  <si>
    <t>PTAI132T4</t>
  </si>
  <si>
    <t>RSID132T1</t>
  </si>
  <si>
    <t>RSID132T2</t>
  </si>
  <si>
    <t>RWSS132</t>
  </si>
  <si>
    <t>RWSS132T1</t>
  </si>
  <si>
    <t>SBSR132</t>
  </si>
  <si>
    <t>SBSR132T1</t>
  </si>
  <si>
    <t>SBSR132T2</t>
  </si>
  <si>
    <t>SBSR132T3</t>
  </si>
  <si>
    <t>SBSR132T4</t>
  </si>
  <si>
    <t>SDCA132</t>
  </si>
  <si>
    <t>SDCA132T1</t>
  </si>
  <si>
    <t>SDCA132T2</t>
  </si>
  <si>
    <t>SHAB132T1</t>
  </si>
  <si>
    <t>SHAB132T2</t>
  </si>
  <si>
    <t>SHAE132T1</t>
  </si>
  <si>
    <t>SHAE132T2</t>
  </si>
  <si>
    <t>SHAE132T3</t>
  </si>
  <si>
    <t>SHAE132T4</t>
  </si>
  <si>
    <t>SHAE132T5</t>
  </si>
  <si>
    <t>SHAN132T1</t>
  </si>
  <si>
    <t>SHAN132T2</t>
  </si>
  <si>
    <t>SHAN132T3</t>
  </si>
  <si>
    <t>SHAS132T1</t>
  </si>
  <si>
    <t>SHAS132T2</t>
  </si>
  <si>
    <t>SHAW132T1</t>
  </si>
  <si>
    <t>SHAW132T2</t>
  </si>
  <si>
    <t>SHAW132T3</t>
  </si>
  <si>
    <t>SHAW132T4</t>
  </si>
  <si>
    <t>SHLB132T1</t>
  </si>
  <si>
    <t>SHLB132T2</t>
  </si>
  <si>
    <t>SJTC132T1</t>
  </si>
  <si>
    <t>SJTC132T2</t>
  </si>
  <si>
    <t>SMYH132T1</t>
  </si>
  <si>
    <t>SMYH132T2</t>
  </si>
  <si>
    <t>SRDG132</t>
  </si>
  <si>
    <t>SRDG132T1</t>
  </si>
  <si>
    <t>SRDG132T2</t>
  </si>
  <si>
    <t>SSWW132</t>
  </si>
  <si>
    <t>SSWW132T1</t>
  </si>
  <si>
    <t>SSWW132T2</t>
  </si>
  <si>
    <t>STIA132T1</t>
  </si>
  <si>
    <t>STIA132T2</t>
  </si>
  <si>
    <t>TJYA132</t>
  </si>
  <si>
    <t>TJYA132T1</t>
  </si>
  <si>
    <t>TJYA132T2</t>
  </si>
  <si>
    <t>TJYA132T3</t>
  </si>
  <si>
    <t>TMSY132T1</t>
  </si>
  <si>
    <t>TMSY132T2</t>
  </si>
  <si>
    <t>TMSY132T3</t>
  </si>
  <si>
    <t>TMSY132T4</t>
  </si>
  <si>
    <t>TPGR132T1</t>
  </si>
  <si>
    <t>TPGR132T2</t>
  </si>
  <si>
    <t>TPGR132T3</t>
  </si>
  <si>
    <t>TPGR132T4</t>
  </si>
  <si>
    <t>UYAM132</t>
  </si>
  <si>
    <t>UYAM132T1</t>
  </si>
  <si>
    <t>UYAM132T2</t>
  </si>
  <si>
    <t>UYAM132T3</t>
  </si>
  <si>
    <t>UYAM132T4</t>
  </si>
  <si>
    <t>VMBR132</t>
  </si>
  <si>
    <t>VMBR132T1</t>
  </si>
  <si>
    <t>VMBR132T2</t>
  </si>
  <si>
    <t>ABBA132T5</t>
  </si>
  <si>
    <t>ABBA132T6</t>
  </si>
  <si>
    <t>AMDC132</t>
  </si>
  <si>
    <t>AMDC132T1</t>
  </si>
  <si>
    <t>AMDC132T2</t>
  </si>
  <si>
    <t>AMPG132T3</t>
  </si>
  <si>
    <t>AMPG132T4</t>
  </si>
  <si>
    <t>AMPG132T5</t>
  </si>
  <si>
    <t>AMPG132T6</t>
  </si>
  <si>
    <t>BBCC132</t>
  </si>
  <si>
    <t>BBCC132T1</t>
  </si>
  <si>
    <t>BBCC132T2</t>
  </si>
  <si>
    <t>BFLD132</t>
  </si>
  <si>
    <t>BFLD132T1</t>
  </si>
  <si>
    <t>BFLD132T2</t>
  </si>
  <si>
    <t>BMKM132T1</t>
  </si>
  <si>
    <t>BMKM132T2</t>
  </si>
  <si>
    <t>BRNG132T5</t>
  </si>
  <si>
    <t>BRNG132T6</t>
  </si>
  <si>
    <t>BTRZ132</t>
  </si>
  <si>
    <t>BTRZ132T1</t>
  </si>
  <si>
    <t>BTRZ132T2</t>
  </si>
  <si>
    <t>BTRZ132T3</t>
  </si>
  <si>
    <t>BTRZ132T4</t>
  </si>
  <si>
    <t>CBJC132T2</t>
  </si>
  <si>
    <t>CBJC132T3</t>
  </si>
  <si>
    <t>CBJC132T4</t>
  </si>
  <si>
    <t>COCH132</t>
  </si>
  <si>
    <t>COCH132T1</t>
  </si>
  <si>
    <t>COCH132T2</t>
  </si>
  <si>
    <t>DCTY132T1</t>
  </si>
  <si>
    <t>DCTY132T2</t>
  </si>
  <si>
    <t>DDSA132T1</t>
  </si>
  <si>
    <t>DDSA132T2</t>
  </si>
  <si>
    <t>DDSA132T3</t>
  </si>
  <si>
    <t>DDSA132T4</t>
  </si>
  <si>
    <t>DMHT132</t>
  </si>
  <si>
    <t>DMHT132T1</t>
  </si>
  <si>
    <t>DMHT132T2</t>
  </si>
  <si>
    <t>DMHT132T3</t>
  </si>
  <si>
    <t>DMHT132T4</t>
  </si>
  <si>
    <t>DWGI132</t>
  </si>
  <si>
    <t>DWGI132T1</t>
  </si>
  <si>
    <t>DWGI132T2</t>
  </si>
  <si>
    <t>GWAY132T1</t>
  </si>
  <si>
    <t>GWAY132T2</t>
  </si>
  <si>
    <t>HKCK132</t>
  </si>
  <si>
    <t>HKCK132T1</t>
  </si>
  <si>
    <t>HKCK132T2</t>
  </si>
  <si>
    <t>HKCK132T3</t>
  </si>
  <si>
    <t>HKCK132T4</t>
  </si>
  <si>
    <t>ICNC132</t>
  </si>
  <si>
    <t>ICNC132T1</t>
  </si>
  <si>
    <t>ICNC132T2</t>
  </si>
  <si>
    <t>IMBI132T1</t>
  </si>
  <si>
    <t>IMBI132T2</t>
  </si>
  <si>
    <t>IMBI132T3</t>
  </si>
  <si>
    <t>IMBI132T4</t>
  </si>
  <si>
    <t>IMBI132T5</t>
  </si>
  <si>
    <t>IOIM132</t>
  </si>
  <si>
    <t>IOIM132T1</t>
  </si>
  <si>
    <t>IOIM132T2</t>
  </si>
  <si>
    <t>JDHL132</t>
  </si>
  <si>
    <t>JDHL132T1</t>
  </si>
  <si>
    <t>JDHL132T2</t>
  </si>
  <si>
    <t>JING132</t>
  </si>
  <si>
    <t>JING132T1</t>
  </si>
  <si>
    <t>JING132T2</t>
  </si>
  <si>
    <t>KEST132T1</t>
  </si>
  <si>
    <t>KEST132T2</t>
  </si>
  <si>
    <t>KLCC132</t>
  </si>
  <si>
    <t>KLCC132T3</t>
  </si>
  <si>
    <t>KLCC132T4</t>
  </si>
  <si>
    <t>KLCC132T1</t>
  </si>
  <si>
    <t>KLCC132T2</t>
  </si>
  <si>
    <t>KLJT132</t>
  </si>
  <si>
    <t>KLJT132T1</t>
  </si>
  <si>
    <t>KLJT132T2</t>
  </si>
  <si>
    <t>KLJT132T4</t>
  </si>
  <si>
    <t>KLPV132T1</t>
  </si>
  <si>
    <t>KLPV132T2</t>
  </si>
  <si>
    <t>KULE132T1</t>
  </si>
  <si>
    <t>KULE132T2</t>
  </si>
  <si>
    <t>KULN132T1</t>
  </si>
  <si>
    <t>KULN132T2</t>
  </si>
  <si>
    <t>KULN132T3</t>
  </si>
  <si>
    <t>KULN132T4</t>
  </si>
  <si>
    <t>KULS132</t>
  </si>
  <si>
    <t>KULS132T1</t>
  </si>
  <si>
    <t>KULS132T2</t>
  </si>
  <si>
    <t>KULS132T3</t>
  </si>
  <si>
    <t>KULS132T4</t>
  </si>
  <si>
    <t>MCRS132</t>
  </si>
  <si>
    <t>MCRS132T1</t>
  </si>
  <si>
    <t>MCRS132T2</t>
  </si>
  <si>
    <t>MDAM132T1</t>
  </si>
  <si>
    <t>MDAM132T2</t>
  </si>
  <si>
    <t>MJLR132T1</t>
  </si>
  <si>
    <t>MJLR132T2</t>
  </si>
  <si>
    <t>MTRE132</t>
  </si>
  <si>
    <t>MTRE132T1</t>
  </si>
  <si>
    <t>MTRE132T2</t>
  </si>
  <si>
    <t>MVLY132</t>
  </si>
  <si>
    <t>MVLY132T1</t>
  </si>
  <si>
    <t>MVLY132T2</t>
  </si>
  <si>
    <t>MVLY132T3</t>
  </si>
  <si>
    <t>MVLY132T4</t>
  </si>
  <si>
    <t>MWSN132</t>
  </si>
  <si>
    <t>MWSN132T1</t>
  </si>
  <si>
    <t>MWSN132T2</t>
  </si>
  <si>
    <t>PJYC132</t>
  </si>
  <si>
    <t>PJYC132T1</t>
  </si>
  <si>
    <t>PJYC132T2</t>
  </si>
  <si>
    <t>PMJU132</t>
  </si>
  <si>
    <t>PMJU132T1</t>
  </si>
  <si>
    <t>PMJU132T2</t>
  </si>
  <si>
    <t>PMJU132T3</t>
  </si>
  <si>
    <t>PMJU132T4</t>
  </si>
  <si>
    <t>PMJU132T5</t>
  </si>
  <si>
    <t>PMJU132T6</t>
  </si>
  <si>
    <t>PULU132</t>
  </si>
  <si>
    <t>PULU132T1</t>
  </si>
  <si>
    <t>PULU132T2</t>
  </si>
  <si>
    <t>PVBJ132</t>
  </si>
  <si>
    <t>PVBJ132T1</t>
  </si>
  <si>
    <t>PVBJ132T2</t>
  </si>
  <si>
    <t>SCTY132T1</t>
  </si>
  <si>
    <t>SCTY132T2</t>
  </si>
  <si>
    <t>SDAM132T1</t>
  </si>
  <si>
    <t>SDAM132T2</t>
  </si>
  <si>
    <t>SGBT132T1</t>
  </si>
  <si>
    <t>SGBT132T2</t>
  </si>
  <si>
    <t>SHMS132T1</t>
  </si>
  <si>
    <t>SHMS132T2</t>
  </si>
  <si>
    <t>SMTN132</t>
  </si>
  <si>
    <t>SMTN132T1</t>
  </si>
  <si>
    <t>SMTN132T2</t>
  </si>
  <si>
    <t>SPKC132T3</t>
  </si>
  <si>
    <t>SPKC132T4</t>
  </si>
  <si>
    <t>SPKC132T5</t>
  </si>
  <si>
    <t>SRDN132T1</t>
  </si>
  <si>
    <t>SRDN132T2</t>
  </si>
  <si>
    <t>SRDR132T1</t>
  </si>
  <si>
    <t>SRDR132T2</t>
  </si>
  <si>
    <t>SRYA132</t>
  </si>
  <si>
    <t>SRYA132T1</t>
  </si>
  <si>
    <t>SRYA132T2</t>
  </si>
  <si>
    <t>SRYA132T3</t>
  </si>
  <si>
    <t>SRYA132T4</t>
  </si>
  <si>
    <t>TMWT132</t>
  </si>
  <si>
    <t>TMWT132T1</t>
  </si>
  <si>
    <t>TMWT132T2</t>
  </si>
  <si>
    <t>TNHQ132</t>
  </si>
  <si>
    <t>TNHQ132T1</t>
  </si>
  <si>
    <t>TNHQ132T2</t>
  </si>
  <si>
    <t>TWSA132</t>
  </si>
  <si>
    <t>TWSA132T1</t>
  </si>
  <si>
    <t>TWSA132T2</t>
  </si>
  <si>
    <t>VCTY132</t>
  </si>
  <si>
    <t>VCTY132T1</t>
  </si>
  <si>
    <t>VCTY132T2</t>
  </si>
  <si>
    <t>VCTY132T3</t>
  </si>
  <si>
    <t>VCTY132T4</t>
  </si>
  <si>
    <t>WMJU132</t>
  </si>
  <si>
    <t>WMJU132T1</t>
  </si>
  <si>
    <t>WMJU132T2</t>
  </si>
  <si>
    <t>AMID132T1</t>
  </si>
  <si>
    <t>AMID132T2</t>
  </si>
  <si>
    <t>AMID132T3</t>
  </si>
  <si>
    <t>AMID132T4</t>
  </si>
  <si>
    <t>BAHA132T1</t>
  </si>
  <si>
    <t>BAHA132T2</t>
  </si>
  <si>
    <t>BAHA132T3</t>
  </si>
  <si>
    <t>BAHA132T4</t>
  </si>
  <si>
    <t>BBNL132</t>
  </si>
  <si>
    <t>BBNL132T1</t>
  </si>
  <si>
    <t>BBNL132T2</t>
  </si>
  <si>
    <t>BKPY132</t>
  </si>
  <si>
    <t>BKPY132T1</t>
  </si>
  <si>
    <t>BKPY132T2</t>
  </si>
  <si>
    <t>CMBG132T4</t>
  </si>
  <si>
    <t>GMAS132T1</t>
  </si>
  <si>
    <t>GMAS132T2</t>
  </si>
  <si>
    <t>KKWG132</t>
  </si>
  <si>
    <t>KKWG132T1</t>
  </si>
  <si>
    <t>KKWG132T2</t>
  </si>
  <si>
    <t>KLAT132T1</t>
  </si>
  <si>
    <t>KLAT132T2</t>
  </si>
  <si>
    <t>KPLH132T1</t>
  </si>
  <si>
    <t>KPLH132T2</t>
  </si>
  <si>
    <t>LKUT132T1</t>
  </si>
  <si>
    <t>LKUT132T2</t>
  </si>
  <si>
    <t>LKUT132T3</t>
  </si>
  <si>
    <t>LKUT132T4</t>
  </si>
  <si>
    <t>MTIN132T3</t>
  </si>
  <si>
    <t>MTIN132T4</t>
  </si>
  <si>
    <t>NLAI132T1</t>
  </si>
  <si>
    <t>NLAI132T2</t>
  </si>
  <si>
    <t>PBSR132T1</t>
  </si>
  <si>
    <t>PBSR132T2</t>
  </si>
  <si>
    <t>PJAM132T1</t>
  </si>
  <si>
    <t>PJAM132T2</t>
  </si>
  <si>
    <t>PJAM132T3</t>
  </si>
  <si>
    <t>PJAM132T4</t>
  </si>
  <si>
    <t>PROI132</t>
  </si>
  <si>
    <t>PROI132T1</t>
  </si>
  <si>
    <t>PROI132T2</t>
  </si>
  <si>
    <t>PROI132T3</t>
  </si>
  <si>
    <t>PROI132T4</t>
  </si>
  <si>
    <t>RASA132</t>
  </si>
  <si>
    <t>RASA132T1</t>
  </si>
  <si>
    <t>RASA132T2</t>
  </si>
  <si>
    <t>RTAU132</t>
  </si>
  <si>
    <t>RTAU132T1</t>
  </si>
  <si>
    <t>RTAU132T2</t>
  </si>
  <si>
    <t>SBAN132</t>
  </si>
  <si>
    <t>SBAN132T1</t>
  </si>
  <si>
    <t>SBAN132T2</t>
  </si>
  <si>
    <t>SDYN132T1</t>
  </si>
  <si>
    <t>SDYN132T2</t>
  </si>
  <si>
    <t>SLTI132</t>
  </si>
  <si>
    <t>SLTI132T1</t>
  </si>
  <si>
    <t>SLTI132T2</t>
  </si>
  <si>
    <t>SLTI132T3</t>
  </si>
  <si>
    <t>SLTI132T4</t>
  </si>
  <si>
    <t>SMRK132T1</t>
  </si>
  <si>
    <t>SMRK132T2</t>
  </si>
  <si>
    <t>SNWG132</t>
  </si>
  <si>
    <t>SNWG132T1</t>
  </si>
  <si>
    <t>SNWG132T2</t>
  </si>
  <si>
    <t>SPTG132</t>
  </si>
  <si>
    <t>SPTG132T1</t>
  </si>
  <si>
    <t>SPTG132T2</t>
  </si>
  <si>
    <t>SPTG132T3</t>
  </si>
  <si>
    <t>SPTG132T4</t>
  </si>
  <si>
    <t>STRA132T1</t>
  </si>
  <si>
    <t>STRA132T2</t>
  </si>
  <si>
    <t>TJGS132</t>
  </si>
  <si>
    <t>TJGS132T1</t>
  </si>
  <si>
    <t>TJGS132T2</t>
  </si>
  <si>
    <t>TJGSGT2</t>
  </si>
  <si>
    <t>TJGSGT2X1</t>
  </si>
  <si>
    <t>TJID132T1</t>
  </si>
  <si>
    <t>TJID132T2</t>
  </si>
  <si>
    <t>TJID132T3</t>
  </si>
  <si>
    <t>TJID132T4</t>
  </si>
  <si>
    <t>TKMG132T1</t>
  </si>
  <si>
    <t>TKMG132T2</t>
  </si>
  <si>
    <t>TTJF132T1</t>
  </si>
  <si>
    <t>TTJF132T2</t>
  </si>
  <si>
    <t>AFMS132</t>
  </si>
  <si>
    <t>AFMS132T1</t>
  </si>
  <si>
    <t>AFMS132T2</t>
  </si>
  <si>
    <t>AKRH132</t>
  </si>
  <si>
    <t>AKRH132T1</t>
  </si>
  <si>
    <t>AKRH132T2</t>
  </si>
  <si>
    <t>BBDM132</t>
  </si>
  <si>
    <t>BBDM132T1</t>
  </si>
  <si>
    <t>BBDM132T2</t>
  </si>
  <si>
    <t>BBDM132T3</t>
  </si>
  <si>
    <t>BBDM132T4</t>
  </si>
  <si>
    <t>BMKA132T1</t>
  </si>
  <si>
    <t>BMKA132T2</t>
  </si>
  <si>
    <t>BRBI132T1</t>
  </si>
  <si>
    <t>BRBI132T2</t>
  </si>
  <si>
    <t>BRBI132T3</t>
  </si>
  <si>
    <t>BRBI132T4</t>
  </si>
  <si>
    <t>BVTA132T1</t>
  </si>
  <si>
    <t>BVTA132T2</t>
  </si>
  <si>
    <t>CHNG132T1</t>
  </si>
  <si>
    <t>CHNG132T2</t>
  </si>
  <si>
    <t>CHNG132T3</t>
  </si>
  <si>
    <t>CHNG132T4</t>
  </si>
  <si>
    <t>EMPP_GT</t>
  </si>
  <si>
    <t>EMPP_GTX1</t>
  </si>
  <si>
    <t>HPGH132T1</t>
  </si>
  <si>
    <t>HPGH132T2</t>
  </si>
  <si>
    <t>JSIN132</t>
  </si>
  <si>
    <t>JSIN132T1</t>
  </si>
  <si>
    <t>JSIN132T2</t>
  </si>
  <si>
    <t>JSIN132T3</t>
  </si>
  <si>
    <t>JSIN132T4</t>
  </si>
  <si>
    <t>KGDK132</t>
  </si>
  <si>
    <t>KGDK132T1</t>
  </si>
  <si>
    <t>KGDK132T2</t>
  </si>
  <si>
    <t>KLMK132</t>
  </si>
  <si>
    <t>KLMK132T1</t>
  </si>
  <si>
    <t>KLMK132T2</t>
  </si>
  <si>
    <t>KLMK132T3</t>
  </si>
  <si>
    <t>KLMK132T4</t>
  </si>
  <si>
    <t>KRPH132</t>
  </si>
  <si>
    <t>KRPH132T1</t>
  </si>
  <si>
    <t>KRPH132T2</t>
  </si>
  <si>
    <t>MCOP132T1</t>
  </si>
  <si>
    <t>MCOP132T2</t>
  </si>
  <si>
    <t>MCOP132T3</t>
  </si>
  <si>
    <t>MCOP132T4</t>
  </si>
  <si>
    <t>MFDR132</t>
  </si>
  <si>
    <t>MFDR132F1</t>
  </si>
  <si>
    <t>MJYA132</t>
  </si>
  <si>
    <t>MJYA132T1</t>
  </si>
  <si>
    <t>MJYA132T2</t>
  </si>
  <si>
    <t>MMAU132</t>
  </si>
  <si>
    <t>MMAU132T1</t>
  </si>
  <si>
    <t>MMAU132T2</t>
  </si>
  <si>
    <t>MMKA132T1</t>
  </si>
  <si>
    <t>MMKA132T2</t>
  </si>
  <si>
    <t>MPSS132T1</t>
  </si>
  <si>
    <t>MPSS132T2</t>
  </si>
  <si>
    <t>MTNH132T1</t>
  </si>
  <si>
    <t>MTNH132T2</t>
  </si>
  <si>
    <t>MTNH132T3</t>
  </si>
  <si>
    <t>MTNH132T5</t>
  </si>
  <si>
    <t>MTNH132T6</t>
  </si>
  <si>
    <t>OZNA132</t>
  </si>
  <si>
    <t>OZNA132T1</t>
  </si>
  <si>
    <t>OZNA132T2</t>
  </si>
  <si>
    <t>PGAD132</t>
  </si>
  <si>
    <t>PGAD132T1</t>
  </si>
  <si>
    <t>PGAD132T2</t>
  </si>
  <si>
    <t>PPJG132T1</t>
  </si>
  <si>
    <t>PPJG132T2</t>
  </si>
  <si>
    <t>TGBU132T1</t>
  </si>
  <si>
    <t>TGBU132T2</t>
  </si>
  <si>
    <t>TGBU132T3</t>
  </si>
  <si>
    <t>TGBU132T4</t>
  </si>
  <si>
    <t>TKID132T1</t>
  </si>
  <si>
    <t>TKID132T2</t>
  </si>
  <si>
    <t>TMAS132</t>
  </si>
  <si>
    <t>TMAS132T1</t>
  </si>
  <si>
    <t>TMAS132T2</t>
  </si>
  <si>
    <t>UPSR132T1</t>
  </si>
  <si>
    <t>UPSR132T2</t>
  </si>
  <si>
    <t>UPSR132T3</t>
  </si>
  <si>
    <t>UPSR132T4</t>
  </si>
  <si>
    <t>ZRNA132T1</t>
  </si>
  <si>
    <t>ZRNA132T2</t>
  </si>
  <si>
    <t>AHMJ132</t>
  </si>
  <si>
    <t>AHMJ132T1</t>
  </si>
  <si>
    <t>AHMJ132T2</t>
  </si>
  <si>
    <t>BBTU132</t>
  </si>
  <si>
    <t>BBTU132T1</t>
  </si>
  <si>
    <t>BBTU132T2</t>
  </si>
  <si>
    <t>BBTU132T7</t>
  </si>
  <si>
    <t>BKPG132T1</t>
  </si>
  <si>
    <t>BKPG132T2</t>
  </si>
  <si>
    <t>BKRI132</t>
  </si>
  <si>
    <t>BKRI132T1</t>
  </si>
  <si>
    <t>BKRI132T2</t>
  </si>
  <si>
    <t>BPHE132</t>
  </si>
  <si>
    <t>BPHE132T1</t>
  </si>
  <si>
    <t>BPHE132T2</t>
  </si>
  <si>
    <t>BPHT132T1</t>
  </si>
  <si>
    <t>BPHT132T2</t>
  </si>
  <si>
    <t>BSPT132T1</t>
  </si>
  <si>
    <t>BSPT132T2</t>
  </si>
  <si>
    <t>BSPT132T3</t>
  </si>
  <si>
    <t>BSPT132T4</t>
  </si>
  <si>
    <t>CAAH132T3</t>
  </si>
  <si>
    <t>CAAH132T4</t>
  </si>
  <si>
    <t>CBRU132T1</t>
  </si>
  <si>
    <t>CBRU132T2</t>
  </si>
  <si>
    <t>CBRU132T3</t>
  </si>
  <si>
    <t>CBRU132T4</t>
  </si>
  <si>
    <t>DBAY132</t>
  </si>
  <si>
    <t>DBAY132T1</t>
  </si>
  <si>
    <t>DBAY132T2</t>
  </si>
  <si>
    <t>DSRU132</t>
  </si>
  <si>
    <t>DSRU132T1</t>
  </si>
  <si>
    <t>DSRU132T2</t>
  </si>
  <si>
    <t>FCTR132</t>
  </si>
  <si>
    <t>FCTR132T1</t>
  </si>
  <si>
    <t>FCTR132T2</t>
  </si>
  <si>
    <t>GPTH132</t>
  </si>
  <si>
    <t>GPTH132T1</t>
  </si>
  <si>
    <t>GPTH132T2</t>
  </si>
  <si>
    <t>GPTH132T3</t>
  </si>
  <si>
    <t>GPTH132T4</t>
  </si>
  <si>
    <t>GRSK132T1</t>
  </si>
  <si>
    <t>GRSK132T2</t>
  </si>
  <si>
    <t>GSDC275</t>
  </si>
  <si>
    <t>GSDC275T1</t>
  </si>
  <si>
    <t>GSDC275T2</t>
  </si>
  <si>
    <t>GSDC275T3</t>
  </si>
  <si>
    <t>GSDC275T4</t>
  </si>
  <si>
    <t>GWDC132</t>
  </si>
  <si>
    <t>GWDC132T1</t>
  </si>
  <si>
    <t>GWDC132T2</t>
  </si>
  <si>
    <t>JBSK132</t>
  </si>
  <si>
    <t>JBSK132T1</t>
  </si>
  <si>
    <t>JBSK132T2</t>
  </si>
  <si>
    <t>JMTH132T1</t>
  </si>
  <si>
    <t>JMTH132T2</t>
  </si>
  <si>
    <t>JTGH132T1</t>
  </si>
  <si>
    <t>JTGH132T2</t>
  </si>
  <si>
    <t>KBEK132</t>
  </si>
  <si>
    <t>KBEK132T1</t>
  </si>
  <si>
    <t>KBEK132T2</t>
  </si>
  <si>
    <t>KKUP132</t>
  </si>
  <si>
    <t>KKUP132T1</t>
  </si>
  <si>
    <t>KKUP132T2</t>
  </si>
  <si>
    <t>KLAI132T1</t>
  </si>
  <si>
    <t>KLID132T1</t>
  </si>
  <si>
    <t>KLID132T2</t>
  </si>
  <si>
    <t>KLID132T3</t>
  </si>
  <si>
    <t>KLID132T4</t>
  </si>
  <si>
    <t>KLUG132T1</t>
  </si>
  <si>
    <t>KLUG132T2</t>
  </si>
  <si>
    <t>KLUG132T3</t>
  </si>
  <si>
    <t>KLUG132T4</t>
  </si>
  <si>
    <t>KPTR132T1</t>
  </si>
  <si>
    <t>KPTR132T2</t>
  </si>
  <si>
    <t>KSNI132</t>
  </si>
  <si>
    <t>KSNI132F1</t>
  </si>
  <si>
    <t>KSNI132F2</t>
  </si>
  <si>
    <t>KTBR132</t>
  </si>
  <si>
    <t>KTBR132T1</t>
  </si>
  <si>
    <t>KTBR132T2</t>
  </si>
  <si>
    <t>KTBR132T3</t>
  </si>
  <si>
    <t>KTBR132T4</t>
  </si>
  <si>
    <t>KTBR132T5</t>
  </si>
  <si>
    <t>KTBR132T6</t>
  </si>
  <si>
    <t>KTDC275</t>
  </si>
  <si>
    <t>KTDC275T1</t>
  </si>
  <si>
    <t>KTDC275T2</t>
  </si>
  <si>
    <t>KTGI132T3</t>
  </si>
  <si>
    <t>KTGI132T4</t>
  </si>
  <si>
    <t>LKIN132T1</t>
  </si>
  <si>
    <t>LKIN132T2</t>
  </si>
  <si>
    <t>LKIN132T3</t>
  </si>
  <si>
    <t>LKIN132T4</t>
  </si>
  <si>
    <t>MAJD132T1</t>
  </si>
  <si>
    <t>MAJD132T2</t>
  </si>
  <si>
    <t>MKBL132</t>
  </si>
  <si>
    <t>MKBL132T1</t>
  </si>
  <si>
    <t>MKBL132T2</t>
  </si>
  <si>
    <t>MSAI132</t>
  </si>
  <si>
    <t>MSAI132T1</t>
  </si>
  <si>
    <t>MSAI132T2</t>
  </si>
  <si>
    <t>MSNG132T1</t>
  </si>
  <si>
    <t>MSNG132T2</t>
  </si>
  <si>
    <t>MSNG132T3</t>
  </si>
  <si>
    <t>MSNG132T4</t>
  </si>
  <si>
    <t>MUAR132T2</t>
  </si>
  <si>
    <t>MUAR132T3</t>
  </si>
  <si>
    <t>NYOR132T1</t>
  </si>
  <si>
    <t>NYOR132T2</t>
  </si>
  <si>
    <t>PBJB132</t>
  </si>
  <si>
    <t>PBJB132T1</t>
  </si>
  <si>
    <t>PBJB132T2</t>
  </si>
  <si>
    <t>PBJB132T3</t>
  </si>
  <si>
    <t>PBJB132T4</t>
  </si>
  <si>
    <t>PCGP275</t>
  </si>
  <si>
    <t>PCGP2751</t>
  </si>
  <si>
    <t>PGDT132T1</t>
  </si>
  <si>
    <t>PGDT132T2</t>
  </si>
  <si>
    <t>PGDT132T3</t>
  </si>
  <si>
    <t>PGDT132T4</t>
  </si>
  <si>
    <t>PGEH132</t>
  </si>
  <si>
    <t>PGEH132T1</t>
  </si>
  <si>
    <t>PGEH132T2</t>
  </si>
  <si>
    <t>PGIE132T1</t>
  </si>
  <si>
    <t>PGIE132T2</t>
  </si>
  <si>
    <t>PGIE132T3</t>
  </si>
  <si>
    <t>PGOH132</t>
  </si>
  <si>
    <t>PGOH132T1</t>
  </si>
  <si>
    <t>PGOH132T2</t>
  </si>
  <si>
    <t>PGPS132</t>
  </si>
  <si>
    <t>PGPS132N1</t>
  </si>
  <si>
    <t>PGPS132N2</t>
  </si>
  <si>
    <t>PGPS132T2</t>
  </si>
  <si>
    <t>PGTC132T1</t>
  </si>
  <si>
    <t>PGTC132T2</t>
  </si>
  <si>
    <t>PJML132T3</t>
  </si>
  <si>
    <t>PJML132T4</t>
  </si>
  <si>
    <t>PLGI132T1</t>
  </si>
  <si>
    <t>PLGI132T2</t>
  </si>
  <si>
    <t>PLNG132</t>
  </si>
  <si>
    <t>PLNG132T1</t>
  </si>
  <si>
    <t>PLNG132T2</t>
  </si>
  <si>
    <t>PLNG132T3</t>
  </si>
  <si>
    <t>PLNG132T4</t>
  </si>
  <si>
    <t>PMJY132</t>
  </si>
  <si>
    <t>PMJY132T1</t>
  </si>
  <si>
    <t>PMJY132T2</t>
  </si>
  <si>
    <t>PMJY132T3</t>
  </si>
  <si>
    <t>PMJY132T4</t>
  </si>
  <si>
    <t>PNAS132</t>
  </si>
  <si>
    <t>PNAS132T1</t>
  </si>
  <si>
    <t>PNAS132T2</t>
  </si>
  <si>
    <t>PNWR132</t>
  </si>
  <si>
    <t>PNWR132T1</t>
  </si>
  <si>
    <t>PNWR132T2</t>
  </si>
  <si>
    <t>PONT132</t>
  </si>
  <si>
    <t>PONT132T1</t>
  </si>
  <si>
    <t>PONT132T2</t>
  </si>
  <si>
    <t>PONT132T3</t>
  </si>
  <si>
    <t>PONT132T4</t>
  </si>
  <si>
    <t>PRJA132T1</t>
  </si>
  <si>
    <t>PRJA132T2</t>
  </si>
  <si>
    <t>PRJA132T3</t>
  </si>
  <si>
    <t>PRJA132T4</t>
  </si>
  <si>
    <t>PSAK132</t>
  </si>
  <si>
    <t>PSAK132T1</t>
  </si>
  <si>
    <t>PSAK132T2</t>
  </si>
  <si>
    <t>PSAK132T3</t>
  </si>
  <si>
    <t>PSAK132T4</t>
  </si>
  <si>
    <t>PSLG132</t>
  </si>
  <si>
    <t>PSLG132T3</t>
  </si>
  <si>
    <t>PSLG132T4</t>
  </si>
  <si>
    <t>PSRI132T1</t>
  </si>
  <si>
    <t>PSRI132T2</t>
  </si>
  <si>
    <t>PUBB132T1</t>
  </si>
  <si>
    <t>PUBB132T2</t>
  </si>
  <si>
    <t>PYSF132T1</t>
  </si>
  <si>
    <t>PYSF132T2</t>
  </si>
  <si>
    <t>RNGM132T1</t>
  </si>
  <si>
    <t>RNGM132T2</t>
  </si>
  <si>
    <t>RNGT132</t>
  </si>
  <si>
    <t>RNGT132T1</t>
  </si>
  <si>
    <t>RNGT132T2</t>
  </si>
  <si>
    <t>RNGT132T3</t>
  </si>
  <si>
    <t>SABG132</t>
  </si>
  <si>
    <t>SABG132T1</t>
  </si>
  <si>
    <t>SABG132T2</t>
  </si>
  <si>
    <t>SABG132T3</t>
  </si>
  <si>
    <t>SABG132T4</t>
  </si>
  <si>
    <t>SDAI132T1</t>
  </si>
  <si>
    <t>SDAI132T2</t>
  </si>
  <si>
    <t>SDAI132T7</t>
  </si>
  <si>
    <t>SDAI132T8</t>
  </si>
  <si>
    <t>SDAI132T9</t>
  </si>
  <si>
    <t>SDNK132</t>
  </si>
  <si>
    <t>SDNK132T1</t>
  </si>
  <si>
    <t>SDNK132T2</t>
  </si>
  <si>
    <t>SELG132T1</t>
  </si>
  <si>
    <t>SELG132T2</t>
  </si>
  <si>
    <t>SGAD132T1</t>
  </si>
  <si>
    <t>SGAD132T2</t>
  </si>
  <si>
    <t>SGAD132T3</t>
  </si>
  <si>
    <t>SGAD132T4</t>
  </si>
  <si>
    <t>SGMT132T1</t>
  </si>
  <si>
    <t>SGMT132T2</t>
  </si>
  <si>
    <t>SHTE132</t>
  </si>
  <si>
    <t>SHTE132T1</t>
  </si>
  <si>
    <t>SHTE132T2</t>
  </si>
  <si>
    <t>SIDC275</t>
  </si>
  <si>
    <t>SIDC275T1</t>
  </si>
  <si>
    <t>SIDC275T2</t>
  </si>
  <si>
    <t>SKRG132</t>
  </si>
  <si>
    <t>SKRG132T1</t>
  </si>
  <si>
    <t>SKRG132T2</t>
  </si>
  <si>
    <t>SLNG132T1</t>
  </si>
  <si>
    <t>SLNG132T2</t>
  </si>
  <si>
    <t>SLNG132T3</t>
  </si>
  <si>
    <t>SLNG132T4</t>
  </si>
  <si>
    <t>SMTI132</t>
  </si>
  <si>
    <t>SMTI132T1</t>
  </si>
  <si>
    <t>SMTI132T2</t>
  </si>
  <si>
    <t>SMTI132T3</t>
  </si>
  <si>
    <t>SMTI132T4</t>
  </si>
  <si>
    <t>SNAI132T1</t>
  </si>
  <si>
    <t>SNAI132T2</t>
  </si>
  <si>
    <t>SNAI132T3</t>
  </si>
  <si>
    <t>SNAI132T4</t>
  </si>
  <si>
    <t>SRBI132</t>
  </si>
  <si>
    <t>SRBI132T1</t>
  </si>
  <si>
    <t>SRBI132T2</t>
  </si>
  <si>
    <t>SRGM132</t>
  </si>
  <si>
    <t>SRGM132T1</t>
  </si>
  <si>
    <t>SRGM132T2</t>
  </si>
  <si>
    <t>SSLG132T3</t>
  </si>
  <si>
    <t>SSLG132T4</t>
  </si>
  <si>
    <t>STDC275</t>
  </si>
  <si>
    <t>STDC275T1</t>
  </si>
  <si>
    <t>STDC275T2</t>
  </si>
  <si>
    <t>STDC275T3</t>
  </si>
  <si>
    <t>STDC275T4</t>
  </si>
  <si>
    <t>STUL132T1</t>
  </si>
  <si>
    <t>STUL132T2</t>
  </si>
  <si>
    <t>TAGS132</t>
  </si>
  <si>
    <t>TAGS132T1</t>
  </si>
  <si>
    <t>TAGS132T2</t>
  </si>
  <si>
    <t>TBKR132</t>
  </si>
  <si>
    <t>TBKR132T1</t>
  </si>
  <si>
    <t>TBKR132T2</t>
  </si>
  <si>
    <t>TBRU132T1</t>
  </si>
  <si>
    <t>TBRU132T2</t>
  </si>
  <si>
    <t>TBRU132T3</t>
  </si>
  <si>
    <t>TBRU132T4</t>
  </si>
  <si>
    <t>TKAK132T3</t>
  </si>
  <si>
    <t>TKAK132T4</t>
  </si>
  <si>
    <t>TKPG132</t>
  </si>
  <si>
    <t>TKPG132T1</t>
  </si>
  <si>
    <t>TKPG132T2</t>
  </si>
  <si>
    <t>TKPG132T3</t>
  </si>
  <si>
    <t>TKPG132T4</t>
  </si>
  <si>
    <t>TLBH132</t>
  </si>
  <si>
    <t>TLBH132T1</t>
  </si>
  <si>
    <t>TLBH132T2</t>
  </si>
  <si>
    <t>TLST132</t>
  </si>
  <si>
    <t>TLST132T1</t>
  </si>
  <si>
    <t>TLST132T2</t>
  </si>
  <si>
    <t>TLST132T3</t>
  </si>
  <si>
    <t>TLST132T4</t>
  </si>
  <si>
    <t>TLST132T5</t>
  </si>
  <si>
    <t>TLST132T6</t>
  </si>
  <si>
    <t>TMPI132T1</t>
  </si>
  <si>
    <t>TMPI132T2</t>
  </si>
  <si>
    <t>TPCH132T1</t>
  </si>
  <si>
    <t>TPCH132T2</t>
  </si>
  <si>
    <t>TPOI132T1</t>
  </si>
  <si>
    <t>TPOI132T2</t>
  </si>
  <si>
    <t>TRMN132</t>
  </si>
  <si>
    <t>TRMN132T1</t>
  </si>
  <si>
    <t>TRMN132T2</t>
  </si>
  <si>
    <t>TRMN132T3</t>
  </si>
  <si>
    <t>TRMN132T4</t>
  </si>
  <si>
    <t>TTKJ132</t>
  </si>
  <si>
    <t>TTKJ132T1</t>
  </si>
  <si>
    <t>TTKJ132T2</t>
  </si>
  <si>
    <t>TUNI132</t>
  </si>
  <si>
    <t>TUNI132T1</t>
  </si>
  <si>
    <t>TUNI132T2</t>
  </si>
  <si>
    <t>UTRM132T1</t>
  </si>
  <si>
    <t>UTRM132T2</t>
  </si>
  <si>
    <t>UTRM132T3</t>
  </si>
  <si>
    <t>UTRM132T4</t>
  </si>
  <si>
    <t>YGPG132T1</t>
  </si>
  <si>
    <t>YGPG132T2</t>
  </si>
  <si>
    <t>YGPG132T3</t>
  </si>
  <si>
    <t>YGPG132T4</t>
  </si>
  <si>
    <t>ATNI132</t>
  </si>
  <si>
    <t>ATNI132T1</t>
  </si>
  <si>
    <t>ATNI132T2</t>
  </si>
  <si>
    <t>BIMK132T1</t>
  </si>
  <si>
    <t>BIMK132T2</t>
  </si>
  <si>
    <t>BIMK132T3</t>
  </si>
  <si>
    <t>BIMK132T4</t>
  </si>
  <si>
    <t>BMSH132</t>
  </si>
  <si>
    <t>BMSH132T1</t>
  </si>
  <si>
    <t>BMSH132T2</t>
  </si>
  <si>
    <t>BNTA132T1</t>
  </si>
  <si>
    <t>BNTA132T2</t>
  </si>
  <si>
    <t>BNTG132T1</t>
  </si>
  <si>
    <t>BNTG132T2</t>
  </si>
  <si>
    <t>BTRT132</t>
  </si>
  <si>
    <t>BTRT132T1</t>
  </si>
  <si>
    <t>BTRT132T2</t>
  </si>
  <si>
    <t>CUFG132</t>
  </si>
  <si>
    <t>CUFG13299</t>
  </si>
  <si>
    <t>GBID132</t>
  </si>
  <si>
    <t>GBID132T1</t>
  </si>
  <si>
    <t>GBID132T2</t>
  </si>
  <si>
    <t>GBNG132</t>
  </si>
  <si>
    <t>GBNG132T1</t>
  </si>
  <si>
    <t>GBNG132T2</t>
  </si>
  <si>
    <t>GBNG132T3</t>
  </si>
  <si>
    <t>GBNG132T4</t>
  </si>
  <si>
    <t>GTNG132</t>
  </si>
  <si>
    <t>GTNG132T1</t>
  </si>
  <si>
    <t>GTNG132T2</t>
  </si>
  <si>
    <t>JBRS132</t>
  </si>
  <si>
    <t>JBRS132T1</t>
  </si>
  <si>
    <t>JBRS132T2</t>
  </si>
  <si>
    <t>JBRS132T3</t>
  </si>
  <si>
    <t>JBRS132T4</t>
  </si>
  <si>
    <t>JNKA132T1</t>
  </si>
  <si>
    <t>JNKA132T2</t>
  </si>
  <si>
    <t>JNKA132T7</t>
  </si>
  <si>
    <t>JTUT132T1</t>
  </si>
  <si>
    <t>JTUT132T2</t>
  </si>
  <si>
    <t>KAWA132</t>
  </si>
  <si>
    <t>KAWA132T1</t>
  </si>
  <si>
    <t>KAWA132T2</t>
  </si>
  <si>
    <t>KLIP132T1</t>
  </si>
  <si>
    <t>KLIP132T2</t>
  </si>
  <si>
    <t>KLIP132T3</t>
  </si>
  <si>
    <t>KLIP132T4</t>
  </si>
  <si>
    <t>KRAK132</t>
  </si>
  <si>
    <t>KRAK132T1</t>
  </si>
  <si>
    <t>KRAK132T2</t>
  </si>
  <si>
    <t>KRAK132T3</t>
  </si>
  <si>
    <t>KRAK132T4</t>
  </si>
  <si>
    <t>KRYG132T1</t>
  </si>
  <si>
    <t>KRYG132T2</t>
  </si>
  <si>
    <t>KTAN132</t>
  </si>
  <si>
    <t>KTAN132T1</t>
  </si>
  <si>
    <t>KTAN132T2</t>
  </si>
  <si>
    <t>KTAN132T3</t>
  </si>
  <si>
    <t>KTAN132T4</t>
  </si>
  <si>
    <t>KTAN132T5</t>
  </si>
  <si>
    <t>KTCL132</t>
  </si>
  <si>
    <t>KTCL132T1</t>
  </si>
  <si>
    <t>KTCL132T2</t>
  </si>
  <si>
    <t>KTRI132</t>
  </si>
  <si>
    <t>KTRI132T1</t>
  </si>
  <si>
    <t>MECC132</t>
  </si>
  <si>
    <t>MECC132T1</t>
  </si>
  <si>
    <t>MECC132T2</t>
  </si>
  <si>
    <t>MECC132T3</t>
  </si>
  <si>
    <t>MECC132T4</t>
  </si>
  <si>
    <t>MRAN132</t>
  </si>
  <si>
    <t>MRAN132T1</t>
  </si>
  <si>
    <t>MRAN132T2</t>
  </si>
  <si>
    <t>MTKB132T1</t>
  </si>
  <si>
    <t>MTKB132T2</t>
  </si>
  <si>
    <t>PKAN132</t>
  </si>
  <si>
    <t>PKAN132T1</t>
  </si>
  <si>
    <t>PKAN132T2</t>
  </si>
  <si>
    <t>PKAN132T3</t>
  </si>
  <si>
    <t>PKNI132T1</t>
  </si>
  <si>
    <t>PKNI132T2</t>
  </si>
  <si>
    <t>PNLS132</t>
  </si>
  <si>
    <t>PNLS132T1</t>
  </si>
  <si>
    <t>RBDR132T1</t>
  </si>
  <si>
    <t>RBDR132T2</t>
  </si>
  <si>
    <t>RBDR132T3</t>
  </si>
  <si>
    <t>RBDR132T4</t>
  </si>
  <si>
    <t>SMBU132</t>
  </si>
  <si>
    <t>SMBU132T1</t>
  </si>
  <si>
    <t>SMBU132T2</t>
  </si>
  <si>
    <t>SONG132T1</t>
  </si>
  <si>
    <t>SONG132T2</t>
  </si>
  <si>
    <t>TAGP132</t>
  </si>
  <si>
    <t>TAGP132T7</t>
  </si>
  <si>
    <t>TGLN132T1</t>
  </si>
  <si>
    <t>TGLN132T2</t>
  </si>
  <si>
    <t>TGLN132T3</t>
  </si>
  <si>
    <t>TGMK132T1</t>
  </si>
  <si>
    <t>TGMK132T2</t>
  </si>
  <si>
    <t>TJBU132</t>
  </si>
  <si>
    <t>TJBU132T1</t>
  </si>
  <si>
    <t>TJBU132T2</t>
  </si>
  <si>
    <t>TMID132T1</t>
  </si>
  <si>
    <t>TMID132T2</t>
  </si>
  <si>
    <t>TMID132T3</t>
  </si>
  <si>
    <t>TMID132T4</t>
  </si>
  <si>
    <t>UIAM132</t>
  </si>
  <si>
    <t>UIAM132T1</t>
  </si>
  <si>
    <t>UIAM132T2</t>
  </si>
  <si>
    <t>BRKT132T1</t>
  </si>
  <si>
    <t>BRKT132T2</t>
  </si>
  <si>
    <t>BRKT132T3</t>
  </si>
  <si>
    <t>CHRG132T1</t>
  </si>
  <si>
    <t>CHRG132T2</t>
  </si>
  <si>
    <t>CHRG132T3</t>
  </si>
  <si>
    <t>CHRG132T4</t>
  </si>
  <si>
    <t>CKAI132T1</t>
  </si>
  <si>
    <t>CKAI132T2</t>
  </si>
  <si>
    <t>CUFK132</t>
  </si>
  <si>
    <t>CUFK13299</t>
  </si>
  <si>
    <t>DGID132T1</t>
  </si>
  <si>
    <t>DGID132T2</t>
  </si>
  <si>
    <t>DGUN132T1</t>
  </si>
  <si>
    <t>DGUN132T2</t>
  </si>
  <si>
    <t>GBDK132T1</t>
  </si>
  <si>
    <t>GBDK132T2</t>
  </si>
  <si>
    <t>GBDK132T3</t>
  </si>
  <si>
    <t>GBDK132T4</t>
  </si>
  <si>
    <t>HTRG275</t>
  </si>
  <si>
    <t>HTRG275T1</t>
  </si>
  <si>
    <t>HTRG275T2</t>
  </si>
  <si>
    <t>HTRG_U3</t>
  </si>
  <si>
    <t>HTRG_U3X1</t>
  </si>
  <si>
    <t>HTRG_U4</t>
  </si>
  <si>
    <t>HTRG_U4X1</t>
  </si>
  <si>
    <t>KBRG132T1</t>
  </si>
  <si>
    <t>KBRG132T2</t>
  </si>
  <si>
    <t>KBRG132T3</t>
  </si>
  <si>
    <t>KBRG132T4</t>
  </si>
  <si>
    <t>KMAN132</t>
  </si>
  <si>
    <t>KMAN132T1</t>
  </si>
  <si>
    <t>KMAN132T2</t>
  </si>
  <si>
    <t>KMAN132T3</t>
  </si>
  <si>
    <t>KMAN132T4</t>
  </si>
  <si>
    <t>KNYR132</t>
  </si>
  <si>
    <t>KNYR132T1</t>
  </si>
  <si>
    <t>KNYR132T2</t>
  </si>
  <si>
    <t>KTGU132T1</t>
  </si>
  <si>
    <t>KTGU132T2</t>
  </si>
  <si>
    <t>KTGU132T3</t>
  </si>
  <si>
    <t>KTGU132T4</t>
  </si>
  <si>
    <t>KTIH132</t>
  </si>
  <si>
    <t>KTIH132T1</t>
  </si>
  <si>
    <t>KTIH132T2</t>
  </si>
  <si>
    <t>MCKP275</t>
  </si>
  <si>
    <t>MCKP275T1</t>
  </si>
  <si>
    <t>MCKP275T2</t>
  </si>
  <si>
    <t>MCLS_LS</t>
  </si>
  <si>
    <t>MCLS_LSX1</t>
  </si>
  <si>
    <t>PAKA132</t>
  </si>
  <si>
    <t>PAKA132NA</t>
  </si>
  <si>
    <t>PAKA132NB</t>
  </si>
  <si>
    <t>PAKA132T1</t>
  </si>
  <si>
    <t>PAKA132T2</t>
  </si>
  <si>
    <t>PAKA132T5</t>
  </si>
  <si>
    <t>PAKA132T6</t>
  </si>
  <si>
    <t>RPTS132</t>
  </si>
  <si>
    <t>RPTS132T1</t>
  </si>
  <si>
    <t>RPTS132T2</t>
  </si>
  <si>
    <t>STNG132</t>
  </si>
  <si>
    <t>STNG132T1</t>
  </si>
  <si>
    <t>STNG132T2</t>
  </si>
  <si>
    <t>TKLG132</t>
  </si>
  <si>
    <t>TKLG132T1</t>
  </si>
  <si>
    <t>TKLG132T2</t>
  </si>
  <si>
    <t>TKLG132T3</t>
  </si>
  <si>
    <t>TKLG132T4</t>
  </si>
  <si>
    <t>GMSG132</t>
  </si>
  <si>
    <t>GMSG132T1</t>
  </si>
  <si>
    <t>GMSG132T2</t>
  </si>
  <si>
    <t>GMSG132T3</t>
  </si>
  <si>
    <t>GMSG132T4</t>
  </si>
  <si>
    <t>JELI275</t>
  </si>
  <si>
    <t>JELI275T1</t>
  </si>
  <si>
    <t>JELI275T2</t>
  </si>
  <si>
    <t>KBRU132T1</t>
  </si>
  <si>
    <t>KBRU132T2</t>
  </si>
  <si>
    <t>KBRU132T3</t>
  </si>
  <si>
    <t>KBRU132T4</t>
  </si>
  <si>
    <t>KBRU132T5</t>
  </si>
  <si>
    <t>KDIS132</t>
  </si>
  <si>
    <t>KDIS132T1</t>
  </si>
  <si>
    <t>KDIS132T2</t>
  </si>
  <si>
    <t>KKRI132</t>
  </si>
  <si>
    <t>KKRI132T1</t>
  </si>
  <si>
    <t>KKRI132T2</t>
  </si>
  <si>
    <t>LMAL132</t>
  </si>
  <si>
    <t>LMAL132T1</t>
  </si>
  <si>
    <t>LMAL132T2</t>
  </si>
  <si>
    <t>MALS_LS</t>
  </si>
  <si>
    <t>MALS_LSX1</t>
  </si>
  <si>
    <t>PCOR132T2</t>
  </si>
  <si>
    <t>PCOR132T3</t>
  </si>
  <si>
    <t>PCOR132T4</t>
  </si>
  <si>
    <t>PGAU275</t>
  </si>
  <si>
    <t>PGAU275N1</t>
  </si>
  <si>
    <t>PGAU275N2</t>
  </si>
  <si>
    <t>PPTH132T1</t>
  </si>
  <si>
    <t>PPTH132T2</t>
  </si>
  <si>
    <t>RPJG132</t>
  </si>
  <si>
    <t>RPJG132T1</t>
  </si>
  <si>
    <t>RPJG132T2</t>
  </si>
  <si>
    <t>SJTH132T1</t>
  </si>
  <si>
    <t>SJTH132T2</t>
  </si>
  <si>
    <t>SJTH132T5</t>
  </si>
  <si>
    <t>TJUG132T1</t>
  </si>
  <si>
    <t>TJUG132T2</t>
  </si>
  <si>
    <t>TMRH132</t>
  </si>
  <si>
    <t>TMRH132T1</t>
  </si>
  <si>
    <t>TMRH132T2</t>
  </si>
  <si>
    <t>TMRH132T3</t>
  </si>
  <si>
    <t>TEWA132T1</t>
  </si>
  <si>
    <t>TEWA132T2</t>
  </si>
  <si>
    <t>UMKA132T1</t>
  </si>
  <si>
    <t>UMKA132T2</t>
  </si>
  <si>
    <t>UMKA132T3</t>
  </si>
  <si>
    <t>UMKA132T4</t>
  </si>
  <si>
    <t>SHEL132F1</t>
  </si>
  <si>
    <t>SHEL132F2</t>
  </si>
  <si>
    <t>SSUN132T3</t>
  </si>
  <si>
    <t>SSUN132T4</t>
  </si>
  <si>
    <t>SSUN132T5</t>
  </si>
  <si>
    <t>SSUN132T1</t>
  </si>
  <si>
    <t>SSUN132T2</t>
  </si>
  <si>
    <t>NSCI132T1</t>
  </si>
  <si>
    <t>NSCI132T2</t>
  </si>
  <si>
    <t>XNYI132F1</t>
  </si>
  <si>
    <t>XNYI132F2</t>
  </si>
  <si>
    <t>KSTR132T2</t>
  </si>
  <si>
    <t>KSTR132T1</t>
  </si>
  <si>
    <t>MTNH132T4</t>
  </si>
  <si>
    <t>MNID132F1</t>
  </si>
  <si>
    <t>SPWR132F3</t>
  </si>
  <si>
    <t>SPWR132F2</t>
  </si>
  <si>
    <t>SPWR132F1</t>
  </si>
  <si>
    <t>PPSR132F2</t>
  </si>
  <si>
    <t>PPSR132F1</t>
  </si>
  <si>
    <t>HLNM132F1</t>
  </si>
  <si>
    <t>KLAI132RT2</t>
  </si>
  <si>
    <t>UTMJ132F1</t>
  </si>
  <si>
    <t>UTMJ132RF2</t>
  </si>
  <si>
    <t>TPOI132T3</t>
  </si>
  <si>
    <t>KCMT132RF2</t>
  </si>
  <si>
    <t>KCMT132F1</t>
  </si>
  <si>
    <t>JNKO132F2</t>
  </si>
  <si>
    <t>JNKO132F1</t>
  </si>
  <si>
    <t>HLNN132F4</t>
  </si>
  <si>
    <t>HLNN132F3</t>
  </si>
  <si>
    <t>HLNN132F2</t>
  </si>
  <si>
    <t>HLNN132F1</t>
  </si>
  <si>
    <t>PSSE (reference)</t>
  </si>
  <si>
    <t>Bus Number</t>
  </si>
  <si>
    <t>Hz</t>
  </si>
  <si>
    <t>Zone</t>
  </si>
  <si>
    <t>UFLS2024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</si>
</sst>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12"/>
      <color theme="0"/>
      <name val="Aptos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b/>
      <sz val="18"/>
      <color theme="1"/>
      <name val="Calibri"/>
      <family val="2"/>
    </font>
    <font>
      <sz val="11"/>
      <color rgb="FFFF0000"/>
      <name val="Calibri"/>
      <family val="2"/>
    </font>
    <font>
      <sz val="9"/>
      <name val="Aptos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b/>
      <u/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6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/>
    <xf numFmtId="0" fontId="11" fillId="4" borderId="1" xfId="0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0" xfId="0" applyFont="1"/>
    <xf numFmtId="0" fontId="9" fillId="4" borderId="5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164" fontId="9" fillId="4" borderId="3" xfId="0" applyNumberFormat="1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11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/>
    </xf>
    <xf numFmtId="0" fontId="9" fillId="4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8" fillId="4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9" fillId="0" borderId="0" xfId="0" applyFont="1"/>
    <xf numFmtId="0" fontId="16" fillId="0" borderId="0" xfId="0" applyFont="1"/>
    <xf numFmtId="0" fontId="9" fillId="6" borderId="1" xfId="0" applyFont="1" applyFill="1" applyBorder="1"/>
    <xf numFmtId="0" fontId="17" fillId="0" borderId="0" xfId="0" applyFont="1"/>
    <xf numFmtId="1" fontId="8" fillId="0" borderId="2" xfId="0" applyNumberFormat="1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wrapText="1"/>
    </xf>
    <xf numFmtId="1" fontId="8" fillId="0" borderId="3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6" fillId="5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3" borderId="16" xfId="1" applyFont="1" applyFill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8" fillId="4" borderId="1" xfId="0" applyFont="1" applyFill="1" applyBorder="1"/>
    <xf numFmtId="0" fontId="8" fillId="4" borderId="12" xfId="0" applyFont="1" applyFill="1" applyBorder="1"/>
    <xf numFmtId="0" fontId="8" fillId="4" borderId="11" xfId="0" applyFont="1" applyFill="1" applyBorder="1"/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4" borderId="1" xfId="0" applyFont="1" applyFill="1" applyBorder="1" applyAlignment="1">
      <alignment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/>
    </xf>
    <xf numFmtId="1" fontId="8" fillId="0" borderId="0" xfId="0" applyNumberFormat="1" applyFont="1"/>
    <xf numFmtId="3" fontId="8" fillId="0" borderId="0" xfId="0" applyNumberFormat="1" applyFont="1"/>
    <xf numFmtId="0" fontId="19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Border="1"/>
    <xf numFmtId="1" fontId="3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164" fontId="9" fillId="7" borderId="1" xfId="0" applyNumberFormat="1" applyFont="1" applyFill="1" applyBorder="1" applyAlignment="1">
      <alignment horizontal="center"/>
    </xf>
    <xf numFmtId="1" fontId="8" fillId="7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7" borderId="0" xfId="0" applyFont="1" applyFill="1"/>
    <xf numFmtId="0" fontId="3" fillId="7" borderId="0" xfId="0" applyFont="1" applyFill="1"/>
    <xf numFmtId="3" fontId="9" fillId="7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/>
    <xf numFmtId="164" fontId="11" fillId="7" borderId="1" xfId="0" applyNumberFormat="1" applyFont="1" applyFill="1" applyBorder="1" applyAlignment="1">
      <alignment horizontal="center"/>
    </xf>
    <xf numFmtId="1" fontId="11" fillId="7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11" fillId="7" borderId="0" xfId="0" applyFont="1" applyFill="1"/>
    <xf numFmtId="0" fontId="4" fillId="7" borderId="0" xfId="0" applyFont="1" applyFill="1"/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/>
    <xf numFmtId="0" fontId="9" fillId="0" borderId="1" xfId="0" applyFont="1" applyFill="1" applyBorder="1" applyAlignment="1">
      <alignment wrapText="1"/>
    </xf>
    <xf numFmtId="164" fontId="9" fillId="0" borderId="1" xfId="0" applyNumberFormat="1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/>
    <xf numFmtId="0" fontId="3" fillId="0" borderId="0" xfId="0" applyFont="1" applyFill="1"/>
    <xf numFmtId="3" fontId="9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Fill="1" applyBorder="1" applyAlignment="1">
      <alignment wrapText="1"/>
    </xf>
    <xf numFmtId="164" fontId="10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20" fillId="0" borderId="0" xfId="0" applyFont="1"/>
    <xf numFmtId="0" fontId="21" fillId="8" borderId="0" xfId="0" applyFont="1" applyFill="1"/>
    <xf numFmtId="0" fontId="20" fillId="8" borderId="0" xfId="0" applyFont="1" applyFill="1"/>
    <xf numFmtId="0" fontId="0" fillId="0" borderId="0" xfId="0" applyFill="1"/>
    <xf numFmtId="0" fontId="1" fillId="0" borderId="0" xfId="1"/>
    <xf numFmtId="0" fontId="0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left"/>
    </xf>
    <xf numFmtId="0" fontId="11" fillId="4" borderId="4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0" fillId="10" borderId="0" xfId="1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Normal" xfId="0" builtinId="0"/>
    <cellStyle name="Normal 3 2" xfId="1" xr:uid="{B672A9F2-C53A-460C-B7FA-54648A2119E9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B1CE-7881-489C-BAD2-C63E1687E8CB}">
  <sheetPr>
    <pageSetUpPr fitToPage="1"/>
  </sheetPr>
  <dimension ref="A1:O199"/>
  <sheetViews>
    <sheetView topLeftCell="A179" zoomScale="62" zoomScaleNormal="60" workbookViewId="0">
      <selection activeCell="K185" sqref="K185"/>
    </sheetView>
  </sheetViews>
  <sheetFormatPr defaultColWidth="8.625" defaultRowHeight="15" x14ac:dyDescent="0.25"/>
  <cols>
    <col min="1" max="1" width="22.625" style="5" customWidth="1"/>
    <col min="2" max="2" width="17" style="5" customWidth="1"/>
    <col min="3" max="3" width="24.75" style="5" customWidth="1"/>
    <col min="4" max="4" width="16.625" style="5" customWidth="1"/>
    <col min="5" max="5" width="7.875" style="59" customWidth="1"/>
    <col min="6" max="6" width="23.375" style="5" customWidth="1"/>
    <col min="7" max="7" width="20" style="5" customWidth="1"/>
    <col min="8" max="8" width="6.75" style="5" customWidth="1"/>
    <col min="9" max="9" width="10.625" style="5" customWidth="1"/>
    <col min="10" max="10" width="6.25" style="5" customWidth="1"/>
    <col min="11" max="11" width="10.75" style="5" customWidth="1"/>
    <col min="12" max="12" width="13.875" style="59" hidden="1" customWidth="1"/>
    <col min="13" max="13" width="30.875" style="5" customWidth="1"/>
    <col min="14" max="14" width="59.125" style="137" customWidth="1"/>
    <col min="15" max="15" width="8.625" style="5"/>
    <col min="16" max="16384" width="8.625" style="1"/>
  </cols>
  <sheetData>
    <row r="1" spans="1:15" s="131" customFormat="1" ht="51.4" customHeight="1" x14ac:dyDescent="0.2">
      <c r="A1" s="273" t="s">
        <v>777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130"/>
    </row>
    <row r="2" spans="1:15" s="3" customFormat="1" ht="31.5" x14ac:dyDescent="0.2">
      <c r="A2" s="138" t="s">
        <v>748</v>
      </c>
      <c r="B2" s="139" t="s">
        <v>108</v>
      </c>
      <c r="C2" s="139" t="s">
        <v>0</v>
      </c>
      <c r="D2" s="139" t="s">
        <v>1</v>
      </c>
      <c r="E2" s="139" t="s">
        <v>34</v>
      </c>
      <c r="F2" s="139" t="s">
        <v>2</v>
      </c>
      <c r="G2" s="139" t="s">
        <v>3</v>
      </c>
      <c r="H2" s="139" t="s">
        <v>4</v>
      </c>
      <c r="I2" s="139" t="s">
        <v>8</v>
      </c>
      <c r="J2" s="139" t="s">
        <v>5</v>
      </c>
      <c r="K2" s="139" t="s">
        <v>9</v>
      </c>
      <c r="L2" s="140" t="s">
        <v>255</v>
      </c>
      <c r="M2" s="138" t="s">
        <v>282</v>
      </c>
      <c r="N2" s="140" t="s">
        <v>631</v>
      </c>
      <c r="O2" s="4"/>
    </row>
    <row r="3" spans="1:15" x14ac:dyDescent="0.25">
      <c r="A3" s="256" t="str">
        <f>CONCATENATE("Stage: Ride Through " &amp; CHAR(10) &amp;"Total load: ",ROUND(SUM(L3:L16),0),"MW")</f>
        <v>Stage: Ride Through 
Total load: 311MW</v>
      </c>
      <c r="B3" s="7" t="s">
        <v>652</v>
      </c>
      <c r="C3" s="6" t="s">
        <v>12</v>
      </c>
      <c r="D3" s="7" t="s">
        <v>13</v>
      </c>
      <c r="E3" s="7">
        <v>132</v>
      </c>
      <c r="F3" s="6" t="s">
        <v>46</v>
      </c>
      <c r="G3" s="7" t="s">
        <v>36</v>
      </c>
      <c r="H3" s="8">
        <v>49.3</v>
      </c>
      <c r="I3" s="8">
        <v>0</v>
      </c>
      <c r="J3" s="8" t="s">
        <v>35</v>
      </c>
      <c r="K3" s="8" t="s">
        <v>35</v>
      </c>
      <c r="L3" s="71">
        <v>0</v>
      </c>
      <c r="M3" s="88" t="s">
        <v>283</v>
      </c>
      <c r="N3" s="134"/>
    </row>
    <row r="4" spans="1:15" x14ac:dyDescent="0.25">
      <c r="A4" s="256"/>
      <c r="B4" s="7" t="s">
        <v>650</v>
      </c>
      <c r="C4" s="6" t="s">
        <v>16</v>
      </c>
      <c r="D4" s="7" t="s">
        <v>17</v>
      </c>
      <c r="E4" s="7">
        <v>132</v>
      </c>
      <c r="F4" s="6" t="s">
        <v>257</v>
      </c>
      <c r="G4" s="7">
        <v>505</v>
      </c>
      <c r="H4" s="8">
        <v>49.3</v>
      </c>
      <c r="I4" s="8">
        <v>0</v>
      </c>
      <c r="J4" s="8" t="s">
        <v>35</v>
      </c>
      <c r="K4" s="8" t="s">
        <v>35</v>
      </c>
      <c r="L4" s="71">
        <v>26</v>
      </c>
      <c r="M4" s="88" t="s">
        <v>285</v>
      </c>
      <c r="N4" s="134"/>
    </row>
    <row r="5" spans="1:15" x14ac:dyDescent="0.25">
      <c r="A5" s="256"/>
      <c r="B5" s="7" t="s">
        <v>650</v>
      </c>
      <c r="C5" s="6" t="s">
        <v>18</v>
      </c>
      <c r="D5" s="7" t="s">
        <v>19</v>
      </c>
      <c r="E5" s="7">
        <v>132</v>
      </c>
      <c r="F5" s="6" t="s">
        <v>256</v>
      </c>
      <c r="G5" s="10" t="s">
        <v>38</v>
      </c>
      <c r="H5" s="8">
        <v>49.3</v>
      </c>
      <c r="I5" s="8">
        <v>0</v>
      </c>
      <c r="J5" s="8" t="s">
        <v>35</v>
      </c>
      <c r="K5" s="8" t="s">
        <v>35</v>
      </c>
      <c r="L5" s="71">
        <v>28</v>
      </c>
      <c r="M5" s="88" t="s">
        <v>286</v>
      </c>
      <c r="N5" s="134"/>
    </row>
    <row r="6" spans="1:15" x14ac:dyDescent="0.25">
      <c r="A6" s="256"/>
      <c r="B6" s="7" t="s">
        <v>650</v>
      </c>
      <c r="C6" s="6" t="s">
        <v>26</v>
      </c>
      <c r="D6" s="7" t="s">
        <v>27</v>
      </c>
      <c r="E6" s="7">
        <v>132</v>
      </c>
      <c r="F6" s="6" t="s">
        <v>52</v>
      </c>
      <c r="G6" s="10" t="s">
        <v>43</v>
      </c>
      <c r="H6" s="8">
        <v>49.3</v>
      </c>
      <c r="I6" s="8">
        <v>0</v>
      </c>
      <c r="J6" s="8" t="s">
        <v>35</v>
      </c>
      <c r="K6" s="8" t="s">
        <v>35</v>
      </c>
      <c r="L6" s="71">
        <v>2</v>
      </c>
      <c r="M6" s="88" t="s">
        <v>291</v>
      </c>
      <c r="N6" s="134"/>
    </row>
    <row r="7" spans="1:15" x14ac:dyDescent="0.25">
      <c r="A7" s="256"/>
      <c r="B7" s="7" t="s">
        <v>650</v>
      </c>
      <c r="C7" s="6" t="s">
        <v>22</v>
      </c>
      <c r="D7" s="7" t="s">
        <v>23</v>
      </c>
      <c r="E7" s="7">
        <v>275</v>
      </c>
      <c r="F7" s="6" t="s">
        <v>49</v>
      </c>
      <c r="G7" s="7" t="s">
        <v>40</v>
      </c>
      <c r="H7" s="8">
        <v>49.3</v>
      </c>
      <c r="I7" s="8">
        <v>0</v>
      </c>
      <c r="J7" s="8" t="s">
        <v>35</v>
      </c>
      <c r="K7" s="8" t="s">
        <v>35</v>
      </c>
      <c r="L7" s="71">
        <v>7</v>
      </c>
      <c r="M7" s="88" t="s">
        <v>288</v>
      </c>
      <c r="N7" s="134"/>
    </row>
    <row r="8" spans="1:15" x14ac:dyDescent="0.25">
      <c r="A8" s="256"/>
      <c r="B8" s="7" t="s">
        <v>652</v>
      </c>
      <c r="C8" s="6" t="s">
        <v>20</v>
      </c>
      <c r="D8" s="7" t="s">
        <v>21</v>
      </c>
      <c r="E8" s="7">
        <v>132</v>
      </c>
      <c r="F8" s="6" t="s">
        <v>48</v>
      </c>
      <c r="G8" s="7" t="s">
        <v>39</v>
      </c>
      <c r="H8" s="8">
        <v>49.3</v>
      </c>
      <c r="I8" s="8">
        <v>0</v>
      </c>
      <c r="J8" s="8" t="s">
        <v>35</v>
      </c>
      <c r="K8" s="8" t="s">
        <v>35</v>
      </c>
      <c r="L8" s="71">
        <v>0</v>
      </c>
      <c r="M8" s="88" t="s">
        <v>287</v>
      </c>
      <c r="N8" s="134"/>
    </row>
    <row r="9" spans="1:15" x14ac:dyDescent="0.25">
      <c r="A9" s="256"/>
      <c r="B9" s="7" t="s">
        <v>420</v>
      </c>
      <c r="C9" s="6" t="s">
        <v>740</v>
      </c>
      <c r="D9" s="7" t="s">
        <v>736</v>
      </c>
      <c r="E9" s="7">
        <v>275</v>
      </c>
      <c r="F9" s="6" t="s">
        <v>737</v>
      </c>
      <c r="G9" s="7" t="s">
        <v>40</v>
      </c>
      <c r="H9" s="8">
        <v>49.3</v>
      </c>
      <c r="I9" s="8">
        <v>1</v>
      </c>
      <c r="J9" s="8" t="s">
        <v>35</v>
      </c>
      <c r="K9" s="8" t="s">
        <v>35</v>
      </c>
      <c r="L9" s="71">
        <v>0</v>
      </c>
      <c r="M9" s="88" t="s">
        <v>738</v>
      </c>
      <c r="N9" s="134"/>
    </row>
    <row r="10" spans="1:15" x14ac:dyDescent="0.25">
      <c r="A10" s="256"/>
      <c r="B10" s="7" t="s">
        <v>45</v>
      </c>
      <c r="C10" s="6" t="s">
        <v>14</v>
      </c>
      <c r="D10" s="7" t="s">
        <v>15</v>
      </c>
      <c r="E10" s="7">
        <v>275</v>
      </c>
      <c r="F10" s="6" t="s">
        <v>47</v>
      </c>
      <c r="G10" s="7" t="s">
        <v>37</v>
      </c>
      <c r="H10" s="8">
        <v>49.3</v>
      </c>
      <c r="I10" s="8">
        <v>0</v>
      </c>
      <c r="J10" s="8" t="s">
        <v>35</v>
      </c>
      <c r="K10" s="8" t="s">
        <v>35</v>
      </c>
      <c r="L10" s="71">
        <v>25</v>
      </c>
      <c r="M10" s="88" t="s">
        <v>284</v>
      </c>
      <c r="N10" s="134"/>
    </row>
    <row r="11" spans="1:15" x14ac:dyDescent="0.25">
      <c r="A11" s="256"/>
      <c r="B11" s="7" t="s">
        <v>45</v>
      </c>
      <c r="C11" s="6" t="s">
        <v>24</v>
      </c>
      <c r="D11" s="7" t="s">
        <v>25</v>
      </c>
      <c r="E11" s="7">
        <v>132</v>
      </c>
      <c r="F11" s="6" t="s">
        <v>50</v>
      </c>
      <c r="G11" s="7" t="s">
        <v>41</v>
      </c>
      <c r="H11" s="8">
        <v>49.3</v>
      </c>
      <c r="I11" s="8">
        <v>0</v>
      </c>
      <c r="J11" s="8" t="s">
        <v>35</v>
      </c>
      <c r="K11" s="8" t="s">
        <v>35</v>
      </c>
      <c r="L11" s="71">
        <v>44</v>
      </c>
      <c r="M11" s="88" t="s">
        <v>289</v>
      </c>
      <c r="N11" s="134"/>
    </row>
    <row r="12" spans="1:15" x14ac:dyDescent="0.25">
      <c r="A12" s="256"/>
      <c r="B12" s="7" t="s">
        <v>45</v>
      </c>
      <c r="C12" s="6" t="s">
        <v>24</v>
      </c>
      <c r="D12" s="7" t="s">
        <v>25</v>
      </c>
      <c r="E12" s="7">
        <v>132</v>
      </c>
      <c r="F12" s="6" t="s">
        <v>51</v>
      </c>
      <c r="G12" s="7" t="s">
        <v>42</v>
      </c>
      <c r="H12" s="8">
        <v>49.3</v>
      </c>
      <c r="I12" s="8">
        <v>0</v>
      </c>
      <c r="J12" s="8" t="s">
        <v>35</v>
      </c>
      <c r="K12" s="8" t="s">
        <v>35</v>
      </c>
      <c r="L12" s="71">
        <v>60</v>
      </c>
      <c r="M12" s="88" t="s">
        <v>290</v>
      </c>
      <c r="N12" s="134"/>
    </row>
    <row r="13" spans="1:15" x14ac:dyDescent="0.25">
      <c r="A13" s="256"/>
      <c r="B13" s="7" t="s">
        <v>649</v>
      </c>
      <c r="C13" s="6" t="s">
        <v>28</v>
      </c>
      <c r="D13" s="7" t="s">
        <v>29</v>
      </c>
      <c r="E13" s="7">
        <v>132</v>
      </c>
      <c r="F13" s="6" t="s">
        <v>54</v>
      </c>
      <c r="G13" s="7">
        <v>905</v>
      </c>
      <c r="H13" s="8">
        <v>49.3</v>
      </c>
      <c r="I13" s="8">
        <v>0</v>
      </c>
      <c r="J13" s="8" t="s">
        <v>35</v>
      </c>
      <c r="K13" s="8" t="s">
        <v>35</v>
      </c>
      <c r="L13" s="71">
        <v>50</v>
      </c>
      <c r="M13" s="88" t="s">
        <v>293</v>
      </c>
      <c r="N13" s="134"/>
    </row>
    <row r="14" spans="1:15" x14ac:dyDescent="0.25">
      <c r="A14" s="256"/>
      <c r="B14" s="7" t="s">
        <v>649</v>
      </c>
      <c r="C14" s="6" t="s">
        <v>414</v>
      </c>
      <c r="D14" s="7" t="s">
        <v>415</v>
      </c>
      <c r="E14" s="7">
        <v>275</v>
      </c>
      <c r="F14" s="6" t="s">
        <v>695</v>
      </c>
      <c r="G14" s="7" t="s">
        <v>696</v>
      </c>
      <c r="H14" s="8">
        <v>49.3</v>
      </c>
      <c r="I14" s="8">
        <v>0</v>
      </c>
      <c r="J14" s="8" t="s">
        <v>35</v>
      </c>
      <c r="K14" s="8" t="s">
        <v>35</v>
      </c>
      <c r="L14" s="71">
        <v>6</v>
      </c>
      <c r="M14" s="88" t="s">
        <v>697</v>
      </c>
      <c r="N14" s="134"/>
    </row>
    <row r="15" spans="1:15" x14ac:dyDescent="0.25">
      <c r="A15" s="256"/>
      <c r="B15" s="7" t="s">
        <v>649</v>
      </c>
      <c r="C15" s="6" t="s">
        <v>30</v>
      </c>
      <c r="D15" s="7" t="s">
        <v>31</v>
      </c>
      <c r="E15" s="7">
        <v>132</v>
      </c>
      <c r="F15" s="6" t="s">
        <v>53</v>
      </c>
      <c r="G15" s="7" t="s">
        <v>39</v>
      </c>
      <c r="H15" s="8">
        <v>49.3</v>
      </c>
      <c r="I15" s="8">
        <v>0</v>
      </c>
      <c r="J15" s="8" t="s">
        <v>35</v>
      </c>
      <c r="K15" s="8" t="s">
        <v>35</v>
      </c>
      <c r="L15" s="71">
        <v>17</v>
      </c>
      <c r="M15" s="88" t="s">
        <v>53</v>
      </c>
      <c r="N15" s="134"/>
    </row>
    <row r="16" spans="1:15" x14ac:dyDescent="0.25">
      <c r="A16" s="256"/>
      <c r="B16" s="7" t="s">
        <v>649</v>
      </c>
      <c r="C16" s="6" t="s">
        <v>32</v>
      </c>
      <c r="D16" s="7" t="s">
        <v>33</v>
      </c>
      <c r="E16" s="7">
        <v>132</v>
      </c>
      <c r="F16" s="6" t="s">
        <v>55</v>
      </c>
      <c r="G16" s="7" t="s">
        <v>44</v>
      </c>
      <c r="H16" s="8">
        <v>49.3</v>
      </c>
      <c r="I16" s="8">
        <v>0</v>
      </c>
      <c r="J16" s="8" t="s">
        <v>35</v>
      </c>
      <c r="K16" s="8" t="s">
        <v>35</v>
      </c>
      <c r="L16" s="71">
        <v>46</v>
      </c>
      <c r="M16" s="88" t="s">
        <v>292</v>
      </c>
      <c r="N16" s="134"/>
    </row>
    <row r="17" spans="1:14" x14ac:dyDescent="0.25">
      <c r="A17" s="258" t="str">
        <f>CONCATENATE("Stage 1: 49.2Hz " &amp; CHAR(10) &amp;"Total load: ",ROUND(SUM(L17:L37),0),"MW")</f>
        <v>Stage 1: 49.2Hz 
Total load: 1001MW</v>
      </c>
      <c r="B17" s="17" t="s">
        <v>650</v>
      </c>
      <c r="C17" s="22" t="s">
        <v>56</v>
      </c>
      <c r="D17" s="17" t="s">
        <v>57</v>
      </c>
      <c r="E17" s="17">
        <v>22</v>
      </c>
      <c r="F17" s="22" t="s">
        <v>94</v>
      </c>
      <c r="G17" s="17" t="s">
        <v>99</v>
      </c>
      <c r="H17" s="19">
        <v>49.2</v>
      </c>
      <c r="I17" s="19">
        <v>0</v>
      </c>
      <c r="J17" s="19" t="s">
        <v>35</v>
      </c>
      <c r="K17" s="19" t="s">
        <v>35</v>
      </c>
      <c r="L17" s="72">
        <v>21.3659</v>
      </c>
      <c r="M17" s="64" t="s">
        <v>294</v>
      </c>
      <c r="N17" s="135"/>
    </row>
    <row r="18" spans="1:14" x14ac:dyDescent="0.25">
      <c r="A18" s="258"/>
      <c r="B18" s="17" t="s">
        <v>650</v>
      </c>
      <c r="C18" s="22" t="s">
        <v>18</v>
      </c>
      <c r="D18" s="17" t="s">
        <v>19</v>
      </c>
      <c r="E18" s="17">
        <v>22</v>
      </c>
      <c r="F18" s="22" t="s">
        <v>94</v>
      </c>
      <c r="G18" s="17" t="s">
        <v>99</v>
      </c>
      <c r="H18" s="19">
        <v>49.2</v>
      </c>
      <c r="I18" s="19">
        <v>0</v>
      </c>
      <c r="J18" s="19" t="s">
        <v>35</v>
      </c>
      <c r="K18" s="19" t="s">
        <v>35</v>
      </c>
      <c r="L18" s="72">
        <v>21.878900000000002</v>
      </c>
      <c r="M18" s="64" t="s">
        <v>321</v>
      </c>
      <c r="N18" s="135"/>
    </row>
    <row r="19" spans="1:14" x14ac:dyDescent="0.25">
      <c r="A19" s="258"/>
      <c r="B19" s="17" t="s">
        <v>650</v>
      </c>
      <c r="C19" s="22" t="s">
        <v>80</v>
      </c>
      <c r="D19" s="17" t="s">
        <v>81</v>
      </c>
      <c r="E19" s="17">
        <v>33</v>
      </c>
      <c r="F19" s="23" t="s">
        <v>95</v>
      </c>
      <c r="G19" s="26" t="s">
        <v>99</v>
      </c>
      <c r="H19" s="19">
        <v>49.2</v>
      </c>
      <c r="I19" s="19">
        <v>0</v>
      </c>
      <c r="J19" s="19" t="s">
        <v>35</v>
      </c>
      <c r="K19" s="19" t="s">
        <v>35</v>
      </c>
      <c r="L19" s="72">
        <v>64.076800000000006</v>
      </c>
      <c r="M19" s="64" t="s">
        <v>306</v>
      </c>
      <c r="N19" s="135"/>
    </row>
    <row r="20" spans="1:14" x14ac:dyDescent="0.25">
      <c r="A20" s="258"/>
      <c r="B20" s="17" t="s">
        <v>649</v>
      </c>
      <c r="C20" s="22" t="s">
        <v>58</v>
      </c>
      <c r="D20" s="17" t="s">
        <v>59</v>
      </c>
      <c r="E20" s="17">
        <v>33</v>
      </c>
      <c r="F20" s="23" t="s">
        <v>95</v>
      </c>
      <c r="G20" s="17" t="s">
        <v>99</v>
      </c>
      <c r="H20" s="19">
        <v>49.2</v>
      </c>
      <c r="I20" s="19">
        <v>0</v>
      </c>
      <c r="J20" s="19" t="s">
        <v>35</v>
      </c>
      <c r="K20" s="19" t="s">
        <v>35</v>
      </c>
      <c r="L20" s="72">
        <v>41.546100000000003</v>
      </c>
      <c r="M20" s="64" t="s">
        <v>295</v>
      </c>
      <c r="N20" s="135"/>
    </row>
    <row r="21" spans="1:14" x14ac:dyDescent="0.25">
      <c r="A21" s="258"/>
      <c r="B21" s="17" t="s">
        <v>652</v>
      </c>
      <c r="C21" s="22" t="s">
        <v>60</v>
      </c>
      <c r="D21" s="17" t="s">
        <v>61</v>
      </c>
      <c r="E21" s="17">
        <v>33</v>
      </c>
      <c r="F21" s="22" t="s">
        <v>95</v>
      </c>
      <c r="G21" s="17" t="s">
        <v>100</v>
      </c>
      <c r="H21" s="19">
        <v>49.2</v>
      </c>
      <c r="I21" s="19">
        <v>0</v>
      </c>
      <c r="J21" s="19" t="s">
        <v>35</v>
      </c>
      <c r="K21" s="19" t="s">
        <v>35</v>
      </c>
      <c r="L21" s="72">
        <v>18.5562</v>
      </c>
      <c r="M21" s="64" t="s">
        <v>296</v>
      </c>
      <c r="N21" s="135"/>
    </row>
    <row r="22" spans="1:14" x14ac:dyDescent="0.25">
      <c r="A22" s="258"/>
      <c r="B22" s="17" t="s">
        <v>653</v>
      </c>
      <c r="C22" s="22" t="s">
        <v>62</v>
      </c>
      <c r="D22" s="17" t="s">
        <v>63</v>
      </c>
      <c r="E22" s="17">
        <v>33</v>
      </c>
      <c r="F22" s="23" t="s">
        <v>95</v>
      </c>
      <c r="G22" s="17" t="s">
        <v>99</v>
      </c>
      <c r="H22" s="19">
        <v>49.2</v>
      </c>
      <c r="I22" s="19">
        <v>0</v>
      </c>
      <c r="J22" s="19" t="s">
        <v>35</v>
      </c>
      <c r="K22" s="19" t="s">
        <v>35</v>
      </c>
      <c r="L22" s="72">
        <v>15.386100000000001</v>
      </c>
      <c r="M22" s="64" t="s">
        <v>312</v>
      </c>
      <c r="N22" s="135"/>
    </row>
    <row r="23" spans="1:14" x14ac:dyDescent="0.25">
      <c r="A23" s="258"/>
      <c r="B23" s="17" t="s">
        <v>654</v>
      </c>
      <c r="C23" s="22" t="s">
        <v>64</v>
      </c>
      <c r="D23" s="17" t="s">
        <v>65</v>
      </c>
      <c r="E23" s="17">
        <v>33</v>
      </c>
      <c r="F23" s="23" t="s">
        <v>95</v>
      </c>
      <c r="G23" s="17" t="s">
        <v>99</v>
      </c>
      <c r="H23" s="19">
        <v>49.2</v>
      </c>
      <c r="I23" s="19">
        <v>0</v>
      </c>
      <c r="J23" s="19" t="s">
        <v>35</v>
      </c>
      <c r="K23" s="19" t="s">
        <v>35</v>
      </c>
      <c r="L23" s="72">
        <v>36.419699999999999</v>
      </c>
      <c r="M23" s="64" t="s">
        <v>297</v>
      </c>
      <c r="N23" s="135"/>
    </row>
    <row r="24" spans="1:14" x14ac:dyDescent="0.25">
      <c r="A24" s="258"/>
      <c r="B24" s="17" t="s">
        <v>654</v>
      </c>
      <c r="C24" s="22" t="s">
        <v>66</v>
      </c>
      <c r="D24" s="17" t="s">
        <v>67</v>
      </c>
      <c r="E24" s="17">
        <v>11</v>
      </c>
      <c r="F24" s="23" t="s">
        <v>96</v>
      </c>
      <c r="G24" s="17" t="s">
        <v>105</v>
      </c>
      <c r="H24" s="19">
        <v>49.2</v>
      </c>
      <c r="I24" s="19">
        <v>0</v>
      </c>
      <c r="J24" s="19" t="s">
        <v>35</v>
      </c>
      <c r="K24" s="19" t="s">
        <v>35</v>
      </c>
      <c r="L24" s="72">
        <v>20.223299999999998</v>
      </c>
      <c r="M24" s="64" t="s">
        <v>298</v>
      </c>
      <c r="N24" s="135"/>
    </row>
    <row r="25" spans="1:14" x14ac:dyDescent="0.25">
      <c r="A25" s="258"/>
      <c r="B25" s="17" t="s">
        <v>107</v>
      </c>
      <c r="C25" s="22" t="s">
        <v>68</v>
      </c>
      <c r="D25" s="17" t="s">
        <v>69</v>
      </c>
      <c r="E25" s="17">
        <v>11</v>
      </c>
      <c r="F25" s="22" t="s">
        <v>96</v>
      </c>
      <c r="G25" s="17" t="s">
        <v>102</v>
      </c>
      <c r="H25" s="19">
        <v>49.2</v>
      </c>
      <c r="I25" s="19">
        <v>0</v>
      </c>
      <c r="J25" s="19" t="s">
        <v>35</v>
      </c>
      <c r="K25" s="19" t="s">
        <v>35</v>
      </c>
      <c r="L25" s="72">
        <v>21.537199999999999</v>
      </c>
      <c r="M25" s="64" t="s">
        <v>299</v>
      </c>
      <c r="N25" s="135"/>
    </row>
    <row r="26" spans="1:14" x14ac:dyDescent="0.25">
      <c r="A26" s="258"/>
      <c r="B26" s="17" t="s">
        <v>107</v>
      </c>
      <c r="C26" s="22" t="s">
        <v>68</v>
      </c>
      <c r="D26" s="17" t="s">
        <v>69</v>
      </c>
      <c r="E26" s="17">
        <v>33</v>
      </c>
      <c r="F26" s="22" t="s">
        <v>97</v>
      </c>
      <c r="G26" s="17" t="s">
        <v>103</v>
      </c>
      <c r="H26" s="19">
        <v>49.2</v>
      </c>
      <c r="I26" s="19">
        <v>0</v>
      </c>
      <c r="J26" s="19" t="s">
        <v>35</v>
      </c>
      <c r="K26" s="19" t="s">
        <v>35</v>
      </c>
      <c r="L26" s="72">
        <v>25.2821</v>
      </c>
      <c r="M26" s="64" t="s">
        <v>300</v>
      </c>
      <c r="N26" s="135"/>
    </row>
    <row r="27" spans="1:14" x14ac:dyDescent="0.25">
      <c r="A27" s="258"/>
      <c r="B27" s="17" t="s">
        <v>107</v>
      </c>
      <c r="C27" s="22" t="s">
        <v>84</v>
      </c>
      <c r="D27" s="17" t="s">
        <v>85</v>
      </c>
      <c r="E27" s="17">
        <v>33</v>
      </c>
      <c r="F27" s="23" t="s">
        <v>98</v>
      </c>
      <c r="G27" s="86" t="s">
        <v>104</v>
      </c>
      <c r="H27" s="19">
        <v>49.2</v>
      </c>
      <c r="I27" s="19">
        <v>0</v>
      </c>
      <c r="J27" s="19" t="s">
        <v>35</v>
      </c>
      <c r="K27" s="19" t="s">
        <v>35</v>
      </c>
      <c r="L27" s="72">
        <v>61.577100000000002</v>
      </c>
      <c r="M27" s="64" t="s">
        <v>320</v>
      </c>
      <c r="N27" s="135"/>
    </row>
    <row r="28" spans="1:14" x14ac:dyDescent="0.25">
      <c r="A28" s="258"/>
      <c r="B28" s="17" t="s">
        <v>107</v>
      </c>
      <c r="C28" s="22" t="s">
        <v>92</v>
      </c>
      <c r="D28" s="17" t="s">
        <v>93</v>
      </c>
      <c r="E28" s="17">
        <v>33</v>
      </c>
      <c r="F28" s="22" t="s">
        <v>97</v>
      </c>
      <c r="G28" s="41" t="s">
        <v>103</v>
      </c>
      <c r="H28" s="19">
        <v>49.2</v>
      </c>
      <c r="I28" s="19">
        <v>0</v>
      </c>
      <c r="J28" s="19" t="s">
        <v>35</v>
      </c>
      <c r="K28" s="19" t="s">
        <v>35</v>
      </c>
      <c r="L28" s="72">
        <v>83.921099999999996</v>
      </c>
      <c r="M28" s="64" t="s">
        <v>311</v>
      </c>
      <c r="N28" s="135"/>
    </row>
    <row r="29" spans="1:14" x14ac:dyDescent="0.25">
      <c r="A29" s="258"/>
      <c r="B29" s="17" t="s">
        <v>45</v>
      </c>
      <c r="C29" s="22" t="s">
        <v>72</v>
      </c>
      <c r="D29" s="17" t="s">
        <v>73</v>
      </c>
      <c r="E29" s="17">
        <v>33</v>
      </c>
      <c r="F29" s="23" t="s">
        <v>95</v>
      </c>
      <c r="G29" s="17" t="s">
        <v>100</v>
      </c>
      <c r="H29" s="19">
        <v>49.2</v>
      </c>
      <c r="I29" s="19">
        <v>0</v>
      </c>
      <c r="J29" s="19" t="s">
        <v>35</v>
      </c>
      <c r="K29" s="19" t="s">
        <v>35</v>
      </c>
      <c r="L29" s="72">
        <v>76.023399999999995</v>
      </c>
      <c r="M29" s="64" t="s">
        <v>302</v>
      </c>
      <c r="N29" s="135"/>
    </row>
    <row r="30" spans="1:14" x14ac:dyDescent="0.25">
      <c r="A30" s="258"/>
      <c r="B30" s="17" t="s">
        <v>651</v>
      </c>
      <c r="C30" s="22" t="s">
        <v>74</v>
      </c>
      <c r="D30" s="17" t="s">
        <v>75</v>
      </c>
      <c r="E30" s="17">
        <v>33</v>
      </c>
      <c r="F30" s="23" t="s">
        <v>95</v>
      </c>
      <c r="G30" s="17" t="s">
        <v>99</v>
      </c>
      <c r="H30" s="19">
        <v>49.2</v>
      </c>
      <c r="I30" s="19">
        <v>0</v>
      </c>
      <c r="J30" s="19" t="s">
        <v>35</v>
      </c>
      <c r="K30" s="19" t="s">
        <v>35</v>
      </c>
      <c r="L30" s="72">
        <v>28.447500000000002</v>
      </c>
      <c r="M30" s="64" t="s">
        <v>303</v>
      </c>
      <c r="N30" s="135"/>
    </row>
    <row r="31" spans="1:14" x14ac:dyDescent="0.25">
      <c r="A31" s="258"/>
      <c r="B31" s="17" t="s">
        <v>651</v>
      </c>
      <c r="C31" s="22" t="s">
        <v>76</v>
      </c>
      <c r="D31" s="17" t="s">
        <v>77</v>
      </c>
      <c r="E31" s="17">
        <v>33</v>
      </c>
      <c r="F31" s="23" t="s">
        <v>95</v>
      </c>
      <c r="G31" s="17" t="s">
        <v>99</v>
      </c>
      <c r="H31" s="19">
        <v>49.2</v>
      </c>
      <c r="I31" s="19">
        <v>0</v>
      </c>
      <c r="J31" s="19" t="s">
        <v>35</v>
      </c>
      <c r="K31" s="19" t="s">
        <v>35</v>
      </c>
      <c r="L31" s="72">
        <v>89.868300000000005</v>
      </c>
      <c r="M31" s="64" t="s">
        <v>304</v>
      </c>
      <c r="N31" s="135"/>
    </row>
    <row r="32" spans="1:14" x14ac:dyDescent="0.25">
      <c r="A32" s="258"/>
      <c r="B32" s="26" t="s">
        <v>651</v>
      </c>
      <c r="C32" s="25" t="s">
        <v>78</v>
      </c>
      <c r="D32" s="26" t="s">
        <v>79</v>
      </c>
      <c r="E32" s="26">
        <v>33</v>
      </c>
      <c r="F32" s="27" t="s">
        <v>95</v>
      </c>
      <c r="G32" s="26" t="s">
        <v>99</v>
      </c>
      <c r="H32" s="28">
        <v>49.2</v>
      </c>
      <c r="I32" s="28">
        <v>0</v>
      </c>
      <c r="J32" s="28" t="s">
        <v>35</v>
      </c>
      <c r="K32" s="28" t="s">
        <v>35</v>
      </c>
      <c r="L32" s="72">
        <v>71.005499999999998</v>
      </c>
      <c r="M32" s="103" t="s">
        <v>305</v>
      </c>
      <c r="N32" s="135"/>
    </row>
    <row r="33" spans="1:14" x14ac:dyDescent="0.25">
      <c r="A33" s="258"/>
      <c r="B33" s="17" t="s">
        <v>651</v>
      </c>
      <c r="C33" s="22" t="s">
        <v>70</v>
      </c>
      <c r="D33" s="17" t="s">
        <v>71</v>
      </c>
      <c r="E33" s="17">
        <v>33</v>
      </c>
      <c r="F33" s="23" t="s">
        <v>95</v>
      </c>
      <c r="G33" s="17" t="s">
        <v>106</v>
      </c>
      <c r="H33" s="19">
        <v>49.2</v>
      </c>
      <c r="I33" s="19">
        <v>0</v>
      </c>
      <c r="J33" s="19" t="s">
        <v>35</v>
      </c>
      <c r="K33" s="19" t="s">
        <v>35</v>
      </c>
      <c r="L33" s="72">
        <v>25.6995</v>
      </c>
      <c r="M33" s="64" t="s">
        <v>301</v>
      </c>
      <c r="N33" s="135"/>
    </row>
    <row r="34" spans="1:14" x14ac:dyDescent="0.25">
      <c r="A34" s="258"/>
      <c r="B34" s="17" t="s">
        <v>651</v>
      </c>
      <c r="C34" s="22" t="s">
        <v>88</v>
      </c>
      <c r="D34" s="17" t="s">
        <v>89</v>
      </c>
      <c r="E34" s="17">
        <v>33</v>
      </c>
      <c r="F34" s="22" t="s">
        <v>109</v>
      </c>
      <c r="G34" s="17" t="s">
        <v>110</v>
      </c>
      <c r="H34" s="19">
        <v>49.2</v>
      </c>
      <c r="I34" s="19">
        <v>0</v>
      </c>
      <c r="J34" s="19" t="s">
        <v>35</v>
      </c>
      <c r="K34" s="19" t="s">
        <v>35</v>
      </c>
      <c r="L34" s="72">
        <v>157.1371</v>
      </c>
      <c r="M34" s="64" t="s">
        <v>309</v>
      </c>
      <c r="N34" s="135"/>
    </row>
    <row r="35" spans="1:14" x14ac:dyDescent="0.25">
      <c r="A35" s="258"/>
      <c r="B35" s="17" t="s">
        <v>651</v>
      </c>
      <c r="C35" s="22" t="s">
        <v>90</v>
      </c>
      <c r="D35" s="17" t="s">
        <v>91</v>
      </c>
      <c r="E35" s="17">
        <v>33</v>
      </c>
      <c r="F35" s="22" t="s">
        <v>97</v>
      </c>
      <c r="G35" s="17" t="s">
        <v>103</v>
      </c>
      <c r="H35" s="19">
        <v>49.2</v>
      </c>
      <c r="I35" s="19">
        <v>0</v>
      </c>
      <c r="J35" s="19" t="s">
        <v>35</v>
      </c>
      <c r="K35" s="19" t="s">
        <v>35</v>
      </c>
      <c r="L35" s="72">
        <v>60.792400000000001</v>
      </c>
      <c r="M35" s="64" t="s">
        <v>310</v>
      </c>
      <c r="N35" s="135"/>
    </row>
    <row r="36" spans="1:14" x14ac:dyDescent="0.25">
      <c r="A36" s="258"/>
      <c r="B36" s="17" t="s">
        <v>655</v>
      </c>
      <c r="C36" s="22" t="s">
        <v>86</v>
      </c>
      <c r="D36" s="17" t="s">
        <v>87</v>
      </c>
      <c r="E36" s="17">
        <v>11</v>
      </c>
      <c r="F36" s="22" t="s">
        <v>96</v>
      </c>
      <c r="G36" s="17" t="s">
        <v>102</v>
      </c>
      <c r="H36" s="19">
        <v>49.2</v>
      </c>
      <c r="I36" s="19">
        <v>0</v>
      </c>
      <c r="J36" s="19" t="s">
        <v>35</v>
      </c>
      <c r="K36" s="19" t="s">
        <v>35</v>
      </c>
      <c r="L36" s="72">
        <v>17.210699999999999</v>
      </c>
      <c r="M36" s="64" t="s">
        <v>308</v>
      </c>
      <c r="N36" s="135"/>
    </row>
    <row r="37" spans="1:14" x14ac:dyDescent="0.25">
      <c r="A37" s="258"/>
      <c r="B37" s="17" t="s">
        <v>655</v>
      </c>
      <c r="C37" s="22" t="s">
        <v>82</v>
      </c>
      <c r="D37" s="17" t="s">
        <v>83</v>
      </c>
      <c r="E37" s="17">
        <v>33</v>
      </c>
      <c r="F37" s="22" t="s">
        <v>95</v>
      </c>
      <c r="G37" s="17" t="s">
        <v>99</v>
      </c>
      <c r="H37" s="19">
        <v>49.2</v>
      </c>
      <c r="I37" s="19">
        <v>0</v>
      </c>
      <c r="J37" s="19" t="s">
        <v>35</v>
      </c>
      <c r="K37" s="19" t="s">
        <v>35</v>
      </c>
      <c r="L37" s="72">
        <v>42.691000000000003</v>
      </c>
      <c r="M37" s="64" t="s">
        <v>307</v>
      </c>
      <c r="N37" s="135"/>
    </row>
    <row r="38" spans="1:14" x14ac:dyDescent="0.25">
      <c r="A38" s="256" t="str">
        <f>CONCATENATE("Stage 2: 49.1Hz " &amp; CHAR(10) &amp;"Total load: ",ROUND(SUM(L38:L56),0),"MW")</f>
        <v>Stage 2: 49.1Hz 
Total load: 801MW</v>
      </c>
      <c r="B38" s="7" t="s">
        <v>107</v>
      </c>
      <c r="C38" s="6" t="s">
        <v>111</v>
      </c>
      <c r="D38" s="7" t="s">
        <v>112</v>
      </c>
      <c r="E38" s="7">
        <v>33</v>
      </c>
      <c r="F38" s="6" t="s">
        <v>97</v>
      </c>
      <c r="G38" s="7" t="s">
        <v>103</v>
      </c>
      <c r="H38" s="8">
        <v>49.1</v>
      </c>
      <c r="I38" s="8">
        <v>0</v>
      </c>
      <c r="J38" s="8" t="s">
        <v>35</v>
      </c>
      <c r="K38" s="8" t="s">
        <v>35</v>
      </c>
      <c r="L38" s="73">
        <v>22.373200000000001</v>
      </c>
      <c r="M38" s="88" t="s">
        <v>313</v>
      </c>
      <c r="N38" s="134"/>
    </row>
    <row r="39" spans="1:14" x14ac:dyDescent="0.25">
      <c r="A39" s="256"/>
      <c r="B39" s="7" t="s">
        <v>107</v>
      </c>
      <c r="C39" s="6" t="s">
        <v>113</v>
      </c>
      <c r="D39" s="7" t="s">
        <v>114</v>
      </c>
      <c r="E39" s="7">
        <v>33</v>
      </c>
      <c r="F39" s="6" t="s">
        <v>97</v>
      </c>
      <c r="G39" s="7" t="s">
        <v>104</v>
      </c>
      <c r="H39" s="8">
        <v>49.1</v>
      </c>
      <c r="I39" s="8">
        <v>0</v>
      </c>
      <c r="J39" s="8" t="s">
        <v>35</v>
      </c>
      <c r="K39" s="8" t="s">
        <v>35</v>
      </c>
      <c r="L39" s="73">
        <v>24.6724</v>
      </c>
      <c r="M39" s="88" t="s">
        <v>314</v>
      </c>
      <c r="N39" s="134"/>
    </row>
    <row r="40" spans="1:14" x14ac:dyDescent="0.25">
      <c r="A40" s="256"/>
      <c r="B40" s="7" t="s">
        <v>107</v>
      </c>
      <c r="C40" s="6" t="s">
        <v>115</v>
      </c>
      <c r="D40" s="7" t="s">
        <v>116</v>
      </c>
      <c r="E40" s="7">
        <v>33</v>
      </c>
      <c r="F40" s="6" t="s">
        <v>95</v>
      </c>
      <c r="G40" s="7" t="s">
        <v>99</v>
      </c>
      <c r="H40" s="8">
        <v>49.1</v>
      </c>
      <c r="I40" s="8">
        <v>0</v>
      </c>
      <c r="J40" s="8" t="s">
        <v>35</v>
      </c>
      <c r="K40" s="8" t="s">
        <v>35</v>
      </c>
      <c r="L40" s="73">
        <v>32.143300000000004</v>
      </c>
      <c r="M40" s="88" t="s">
        <v>315</v>
      </c>
      <c r="N40" s="134"/>
    </row>
    <row r="41" spans="1:14" x14ac:dyDescent="0.25">
      <c r="A41" s="256"/>
      <c r="B41" s="7" t="s">
        <v>107</v>
      </c>
      <c r="C41" s="6" t="s">
        <v>135</v>
      </c>
      <c r="D41" s="7" t="s">
        <v>136</v>
      </c>
      <c r="E41" s="7">
        <v>33</v>
      </c>
      <c r="F41" s="6" t="s">
        <v>147</v>
      </c>
      <c r="G41" s="7" t="s">
        <v>99</v>
      </c>
      <c r="H41" s="8">
        <v>49.1</v>
      </c>
      <c r="I41" s="8">
        <v>0</v>
      </c>
      <c r="J41" s="8" t="s">
        <v>35</v>
      </c>
      <c r="K41" s="8" t="s">
        <v>35</v>
      </c>
      <c r="L41" s="73">
        <v>8.5343</v>
      </c>
      <c r="M41" s="88" t="s">
        <v>331</v>
      </c>
      <c r="N41" s="134"/>
    </row>
    <row r="42" spans="1:14" x14ac:dyDescent="0.25">
      <c r="A42" s="256"/>
      <c r="B42" s="7" t="s">
        <v>651</v>
      </c>
      <c r="C42" s="6" t="s">
        <v>143</v>
      </c>
      <c r="D42" s="7" t="s">
        <v>144</v>
      </c>
      <c r="E42" s="7">
        <v>33</v>
      </c>
      <c r="F42" s="6" t="s">
        <v>148</v>
      </c>
      <c r="G42" s="7" t="s">
        <v>154</v>
      </c>
      <c r="H42" s="8">
        <v>49.1</v>
      </c>
      <c r="I42" s="8">
        <v>0</v>
      </c>
      <c r="J42" s="8" t="s">
        <v>35</v>
      </c>
      <c r="K42" s="8" t="s">
        <v>35</v>
      </c>
      <c r="L42" s="73">
        <v>123.2475</v>
      </c>
      <c r="M42" s="88" t="s">
        <v>327</v>
      </c>
      <c r="N42" s="134"/>
    </row>
    <row r="43" spans="1:14" x14ac:dyDescent="0.25">
      <c r="A43" s="256"/>
      <c r="B43" s="7" t="s">
        <v>651</v>
      </c>
      <c r="C43" s="6" t="s">
        <v>121</v>
      </c>
      <c r="D43" s="7" t="s">
        <v>122</v>
      </c>
      <c r="E43" s="7">
        <v>11</v>
      </c>
      <c r="F43" s="6" t="s">
        <v>96</v>
      </c>
      <c r="G43" s="7" t="s">
        <v>102</v>
      </c>
      <c r="H43" s="8">
        <v>49.1</v>
      </c>
      <c r="I43" s="8">
        <v>0</v>
      </c>
      <c r="J43" s="8" t="s">
        <v>35</v>
      </c>
      <c r="K43" s="8" t="s">
        <v>35</v>
      </c>
      <c r="L43" s="73">
        <v>24.516100000000002</v>
      </c>
      <c r="M43" s="88" t="s">
        <v>318</v>
      </c>
      <c r="N43" s="134"/>
    </row>
    <row r="44" spans="1:14" x14ac:dyDescent="0.25">
      <c r="A44" s="256"/>
      <c r="B44" s="7" t="s">
        <v>650</v>
      </c>
      <c r="C44" s="6" t="s">
        <v>123</v>
      </c>
      <c r="D44" s="7" t="s">
        <v>124</v>
      </c>
      <c r="E44" s="7">
        <v>230</v>
      </c>
      <c r="F44" s="6" t="s">
        <v>781</v>
      </c>
      <c r="G44" s="7" t="s">
        <v>151</v>
      </c>
      <c r="H44" s="8">
        <v>49.1</v>
      </c>
      <c r="I44" s="8">
        <v>0</v>
      </c>
      <c r="J44" s="8" t="s">
        <v>35</v>
      </c>
      <c r="K44" s="8" t="s">
        <v>35</v>
      </c>
      <c r="L44" s="73" t="s">
        <v>692</v>
      </c>
      <c r="M44" s="88" t="s">
        <v>339</v>
      </c>
      <c r="N44" s="134"/>
    </row>
    <row r="45" spans="1:14" x14ac:dyDescent="0.25">
      <c r="A45" s="256"/>
      <c r="B45" s="7" t="s">
        <v>650</v>
      </c>
      <c r="C45" s="6" t="s">
        <v>125</v>
      </c>
      <c r="D45" s="7" t="s">
        <v>126</v>
      </c>
      <c r="E45" s="7">
        <v>22</v>
      </c>
      <c r="F45" s="6" t="s">
        <v>94</v>
      </c>
      <c r="G45" s="7" t="s">
        <v>99</v>
      </c>
      <c r="H45" s="8">
        <v>49.1</v>
      </c>
      <c r="I45" s="8">
        <v>0</v>
      </c>
      <c r="J45" s="8" t="s">
        <v>35</v>
      </c>
      <c r="K45" s="8" t="s">
        <v>35</v>
      </c>
      <c r="L45" s="73">
        <v>29.3428</v>
      </c>
      <c r="M45" s="88" t="s">
        <v>322</v>
      </c>
      <c r="N45" s="134"/>
    </row>
    <row r="46" spans="1:14" x14ac:dyDescent="0.25">
      <c r="A46" s="256"/>
      <c r="B46" s="7" t="s">
        <v>652</v>
      </c>
      <c r="C46" s="6" t="s">
        <v>129</v>
      </c>
      <c r="D46" s="7" t="s">
        <v>130</v>
      </c>
      <c r="E46" s="7">
        <v>132</v>
      </c>
      <c r="F46" s="6" t="s">
        <v>258</v>
      </c>
      <c r="G46" s="7" t="s">
        <v>152</v>
      </c>
      <c r="H46" s="8">
        <v>49.1</v>
      </c>
      <c r="I46" s="8">
        <v>0</v>
      </c>
      <c r="J46" s="8" t="s">
        <v>35</v>
      </c>
      <c r="K46" s="8" t="s">
        <v>35</v>
      </c>
      <c r="L46" s="73">
        <v>30</v>
      </c>
      <c r="M46" s="88" t="s">
        <v>329</v>
      </c>
      <c r="N46" s="134"/>
    </row>
    <row r="47" spans="1:14" x14ac:dyDescent="0.25">
      <c r="A47" s="256"/>
      <c r="B47" s="7" t="s">
        <v>654</v>
      </c>
      <c r="C47" s="6" t="s">
        <v>131</v>
      </c>
      <c r="D47" s="7" t="s">
        <v>132</v>
      </c>
      <c r="E47" s="7">
        <v>132</v>
      </c>
      <c r="F47" s="6" t="s">
        <v>150</v>
      </c>
      <c r="G47" s="7" t="s">
        <v>39</v>
      </c>
      <c r="H47" s="8">
        <v>49.1</v>
      </c>
      <c r="I47" s="8">
        <v>0</v>
      </c>
      <c r="J47" s="8" t="s">
        <v>35</v>
      </c>
      <c r="K47" s="8" t="s">
        <v>35</v>
      </c>
      <c r="L47" s="73">
        <v>36</v>
      </c>
      <c r="M47" s="88" t="s">
        <v>330</v>
      </c>
      <c r="N47" s="134"/>
    </row>
    <row r="48" spans="1:14" x14ac:dyDescent="0.25">
      <c r="A48" s="256"/>
      <c r="B48" s="7" t="s">
        <v>45</v>
      </c>
      <c r="C48" s="6" t="s">
        <v>127</v>
      </c>
      <c r="D48" s="7" t="s">
        <v>128</v>
      </c>
      <c r="E48" s="7">
        <v>33</v>
      </c>
      <c r="F48" s="6" t="s">
        <v>95</v>
      </c>
      <c r="G48" s="7" t="s">
        <v>99</v>
      </c>
      <c r="H48" s="8">
        <v>49.1</v>
      </c>
      <c r="I48" s="8">
        <v>0</v>
      </c>
      <c r="J48" s="8" t="s">
        <v>35</v>
      </c>
      <c r="K48" s="8" t="s">
        <v>35</v>
      </c>
      <c r="L48" s="73">
        <v>77.918000000000006</v>
      </c>
      <c r="M48" s="88" t="s">
        <v>319</v>
      </c>
      <c r="N48" s="134"/>
    </row>
    <row r="49" spans="1:15" x14ac:dyDescent="0.25">
      <c r="A49" s="256"/>
      <c r="B49" s="7" t="s">
        <v>45</v>
      </c>
      <c r="C49" s="6" t="s">
        <v>133</v>
      </c>
      <c r="D49" s="7" t="s">
        <v>134</v>
      </c>
      <c r="E49" s="7">
        <v>33</v>
      </c>
      <c r="F49" s="6" t="s">
        <v>148</v>
      </c>
      <c r="G49" s="7" t="s">
        <v>155</v>
      </c>
      <c r="H49" s="8">
        <v>49.1</v>
      </c>
      <c r="I49" s="8">
        <v>0</v>
      </c>
      <c r="J49" s="8" t="s">
        <v>35</v>
      </c>
      <c r="K49" s="8" t="s">
        <v>35</v>
      </c>
      <c r="L49" s="73">
        <v>72.869799999999998</v>
      </c>
      <c r="M49" s="88" t="s">
        <v>323</v>
      </c>
      <c r="N49" s="134"/>
    </row>
    <row r="50" spans="1:15" x14ac:dyDescent="0.25">
      <c r="A50" s="256"/>
      <c r="B50" s="7" t="s">
        <v>45</v>
      </c>
      <c r="C50" s="6" t="s">
        <v>119</v>
      </c>
      <c r="D50" s="7" t="s">
        <v>120</v>
      </c>
      <c r="E50" s="7">
        <v>33</v>
      </c>
      <c r="F50" s="6" t="s">
        <v>146</v>
      </c>
      <c r="G50" s="7" t="s">
        <v>99</v>
      </c>
      <c r="H50" s="8">
        <v>49.1</v>
      </c>
      <c r="I50" s="8">
        <v>0</v>
      </c>
      <c r="J50" s="8" t="s">
        <v>35</v>
      </c>
      <c r="K50" s="8" t="s">
        <v>35</v>
      </c>
      <c r="L50" s="73">
        <v>64</v>
      </c>
      <c r="M50" s="88" t="s">
        <v>317</v>
      </c>
      <c r="N50" s="134"/>
    </row>
    <row r="51" spans="1:15" s="2" customFormat="1" x14ac:dyDescent="0.25">
      <c r="A51" s="256"/>
      <c r="B51" s="35" t="s">
        <v>195</v>
      </c>
      <c r="C51" s="37" t="s">
        <v>137</v>
      </c>
      <c r="D51" s="35" t="s">
        <v>138</v>
      </c>
      <c r="E51" s="35">
        <v>33</v>
      </c>
      <c r="F51" s="37" t="s">
        <v>340</v>
      </c>
      <c r="G51" s="35" t="s">
        <v>187</v>
      </c>
      <c r="H51" s="36">
        <v>49.1</v>
      </c>
      <c r="I51" s="36">
        <v>0</v>
      </c>
      <c r="J51" s="36" t="s">
        <v>35</v>
      </c>
      <c r="K51" s="36" t="s">
        <v>35</v>
      </c>
      <c r="L51" s="74">
        <v>67.903099999999995</v>
      </c>
      <c r="M51" s="89" t="s">
        <v>324</v>
      </c>
      <c r="N51" s="90" t="s">
        <v>749</v>
      </c>
      <c r="O51" s="38"/>
    </row>
    <row r="52" spans="1:15" x14ac:dyDescent="0.25">
      <c r="A52" s="256"/>
      <c r="B52" s="7" t="s">
        <v>577</v>
      </c>
      <c r="C52" s="6" t="s">
        <v>139</v>
      </c>
      <c r="D52" s="7" t="s">
        <v>140</v>
      </c>
      <c r="E52" s="7">
        <v>11</v>
      </c>
      <c r="F52" s="6" t="s">
        <v>96</v>
      </c>
      <c r="G52" s="7" t="s">
        <v>102</v>
      </c>
      <c r="H52" s="8">
        <v>49.1</v>
      </c>
      <c r="I52" s="8">
        <v>0</v>
      </c>
      <c r="J52" s="8" t="s">
        <v>35</v>
      </c>
      <c r="K52" s="8" t="s">
        <v>35</v>
      </c>
      <c r="L52" s="73">
        <v>20.286300000000001</v>
      </c>
      <c r="M52" s="88" t="s">
        <v>325</v>
      </c>
      <c r="N52" s="134"/>
    </row>
    <row r="53" spans="1:15" x14ac:dyDescent="0.25">
      <c r="A53" s="256"/>
      <c r="B53" s="7" t="s">
        <v>649</v>
      </c>
      <c r="C53" s="6" t="s">
        <v>117</v>
      </c>
      <c r="D53" s="7" t="s">
        <v>118</v>
      </c>
      <c r="E53" s="7">
        <v>33</v>
      </c>
      <c r="F53" s="6" t="s">
        <v>95</v>
      </c>
      <c r="G53" s="10" t="s">
        <v>99</v>
      </c>
      <c r="H53" s="8">
        <v>49.1</v>
      </c>
      <c r="I53" s="8">
        <v>0</v>
      </c>
      <c r="J53" s="8" t="s">
        <v>35</v>
      </c>
      <c r="K53" s="8" t="s">
        <v>35</v>
      </c>
      <c r="L53" s="73">
        <v>74.321299999999994</v>
      </c>
      <c r="M53" s="88" t="s">
        <v>316</v>
      </c>
      <c r="N53" s="134"/>
    </row>
    <row r="54" spans="1:15" x14ac:dyDescent="0.25">
      <c r="A54" s="256"/>
      <c r="B54" s="7" t="s">
        <v>649</v>
      </c>
      <c r="C54" s="6" t="s">
        <v>141</v>
      </c>
      <c r="D54" s="7" t="s">
        <v>142</v>
      </c>
      <c r="E54" s="7">
        <v>33</v>
      </c>
      <c r="F54" s="58" t="s">
        <v>97</v>
      </c>
      <c r="G54" s="7" t="s">
        <v>153</v>
      </c>
      <c r="H54" s="8">
        <v>49.1</v>
      </c>
      <c r="I54" s="8">
        <v>0</v>
      </c>
      <c r="J54" s="8" t="s">
        <v>35</v>
      </c>
      <c r="K54" s="8" t="s">
        <v>35</v>
      </c>
      <c r="L54" s="73">
        <v>51.971400000000003</v>
      </c>
      <c r="M54" s="88" t="s">
        <v>326</v>
      </c>
      <c r="N54" s="134"/>
    </row>
    <row r="55" spans="1:15" x14ac:dyDescent="0.25">
      <c r="A55" s="256"/>
      <c r="B55" s="7" t="s">
        <v>649</v>
      </c>
      <c r="C55" s="6" t="s">
        <v>141</v>
      </c>
      <c r="D55" s="7" t="s">
        <v>142</v>
      </c>
      <c r="E55" s="7">
        <v>11</v>
      </c>
      <c r="F55" s="58" t="s">
        <v>96</v>
      </c>
      <c r="G55" s="7" t="s">
        <v>101</v>
      </c>
      <c r="H55" s="8">
        <v>49.1</v>
      </c>
      <c r="I55" s="8">
        <v>0</v>
      </c>
      <c r="J55" s="8" t="s">
        <v>35</v>
      </c>
      <c r="K55" s="8" t="s">
        <v>35</v>
      </c>
      <c r="L55" s="73">
        <v>31.654699999999998</v>
      </c>
      <c r="M55" s="88" t="s">
        <v>332</v>
      </c>
      <c r="N55" s="134"/>
    </row>
    <row r="56" spans="1:15" x14ac:dyDescent="0.25">
      <c r="A56" s="256"/>
      <c r="B56" s="7" t="s">
        <v>653</v>
      </c>
      <c r="C56" s="6" t="s">
        <v>656</v>
      </c>
      <c r="D56" s="7" t="s">
        <v>145</v>
      </c>
      <c r="E56" s="7">
        <v>11</v>
      </c>
      <c r="F56" s="6" t="s">
        <v>96</v>
      </c>
      <c r="G56" s="7" t="s">
        <v>102</v>
      </c>
      <c r="H56" s="8">
        <v>49.1</v>
      </c>
      <c r="I56" s="8">
        <v>0</v>
      </c>
      <c r="J56" s="8" t="s">
        <v>35</v>
      </c>
      <c r="K56" s="8" t="s">
        <v>35</v>
      </c>
      <c r="L56" s="73">
        <v>9.4039999999999999</v>
      </c>
      <c r="M56" s="88" t="s">
        <v>328</v>
      </c>
      <c r="N56" s="134"/>
    </row>
    <row r="57" spans="1:15" s="147" customFormat="1" ht="30" x14ac:dyDescent="0.2">
      <c r="A57" s="274" t="str">
        <f>CONCATENATE("Stage 3: 49.0Hz " &amp; CHAR(10) &amp;"Total load: ",ROUND(SUM(L57:L73),0),"MW")</f>
        <v>Stage 3: 49.0Hz 
Total load: 977MW</v>
      </c>
      <c r="B57" s="87" t="s">
        <v>195</v>
      </c>
      <c r="C57" s="143" t="s">
        <v>778</v>
      </c>
      <c r="D57" s="87" t="s">
        <v>186</v>
      </c>
      <c r="E57" s="87">
        <v>33</v>
      </c>
      <c r="F57" s="144" t="s">
        <v>95</v>
      </c>
      <c r="G57" s="87" t="s">
        <v>99</v>
      </c>
      <c r="H57" s="145">
        <v>49</v>
      </c>
      <c r="I57" s="145">
        <v>0</v>
      </c>
      <c r="J57" s="145" t="s">
        <v>35</v>
      </c>
      <c r="K57" s="145" t="s">
        <v>35</v>
      </c>
      <c r="L57" s="87">
        <v>60</v>
      </c>
      <c r="M57" s="87" t="s">
        <v>333</v>
      </c>
      <c r="N57" s="144" t="s">
        <v>750</v>
      </c>
      <c r="O57" s="146"/>
    </row>
    <row r="58" spans="1:15" x14ac:dyDescent="0.25">
      <c r="A58" s="274"/>
      <c r="B58" s="17" t="s">
        <v>653</v>
      </c>
      <c r="C58" s="22" t="s">
        <v>163</v>
      </c>
      <c r="D58" s="17" t="s">
        <v>164</v>
      </c>
      <c r="E58" s="17">
        <v>11</v>
      </c>
      <c r="F58" s="22" t="s">
        <v>183</v>
      </c>
      <c r="G58" s="17" t="s">
        <v>102</v>
      </c>
      <c r="H58" s="19">
        <v>49</v>
      </c>
      <c r="I58" s="19">
        <v>0</v>
      </c>
      <c r="J58" s="19" t="s">
        <v>35</v>
      </c>
      <c r="K58" s="19" t="s">
        <v>35</v>
      </c>
      <c r="L58" s="72">
        <v>26.876999999999999</v>
      </c>
      <c r="M58" s="17" t="s">
        <v>337</v>
      </c>
      <c r="N58" s="135"/>
    </row>
    <row r="59" spans="1:15" x14ac:dyDescent="0.25">
      <c r="A59" s="274"/>
      <c r="B59" s="17" t="s">
        <v>653</v>
      </c>
      <c r="C59" s="22" t="s">
        <v>165</v>
      </c>
      <c r="D59" s="17" t="s">
        <v>166</v>
      </c>
      <c r="E59" s="17">
        <v>11</v>
      </c>
      <c r="F59" s="22" t="s">
        <v>184</v>
      </c>
      <c r="G59" s="17" t="s">
        <v>190</v>
      </c>
      <c r="H59" s="19">
        <v>49</v>
      </c>
      <c r="I59" s="19">
        <v>0</v>
      </c>
      <c r="J59" s="19" t="s">
        <v>35</v>
      </c>
      <c r="K59" s="19" t="s">
        <v>35</v>
      </c>
      <c r="L59" s="72">
        <v>32.391599999999997</v>
      </c>
      <c r="M59" s="17" t="s">
        <v>338</v>
      </c>
      <c r="N59" s="135"/>
    </row>
    <row r="60" spans="1:15" x14ac:dyDescent="0.25">
      <c r="A60" s="274"/>
      <c r="B60" s="17" t="s">
        <v>45</v>
      </c>
      <c r="C60" s="22" t="s">
        <v>158</v>
      </c>
      <c r="D60" s="17" t="s">
        <v>25</v>
      </c>
      <c r="E60" s="17">
        <v>11</v>
      </c>
      <c r="F60" s="22" t="s">
        <v>96</v>
      </c>
      <c r="G60" s="17" t="s">
        <v>102</v>
      </c>
      <c r="H60" s="19">
        <v>49</v>
      </c>
      <c r="I60" s="19">
        <v>0</v>
      </c>
      <c r="J60" s="19" t="s">
        <v>35</v>
      </c>
      <c r="K60" s="19" t="s">
        <v>35</v>
      </c>
      <c r="L60" s="72">
        <v>18.985199999999999</v>
      </c>
      <c r="M60" s="17" t="s">
        <v>621</v>
      </c>
      <c r="N60" s="135"/>
    </row>
    <row r="61" spans="1:15" x14ac:dyDescent="0.25">
      <c r="A61" s="274"/>
      <c r="B61" s="17" t="s">
        <v>45</v>
      </c>
      <c r="C61" s="22" t="s">
        <v>167</v>
      </c>
      <c r="D61" s="17" t="s">
        <v>168</v>
      </c>
      <c r="E61" s="17">
        <v>132</v>
      </c>
      <c r="F61" s="22" t="s">
        <v>192</v>
      </c>
      <c r="G61" s="17" t="s">
        <v>191</v>
      </c>
      <c r="H61" s="19">
        <v>49</v>
      </c>
      <c r="I61" s="19">
        <v>0</v>
      </c>
      <c r="J61" s="19" t="s">
        <v>35</v>
      </c>
      <c r="K61" s="19" t="s">
        <v>35</v>
      </c>
      <c r="L61" s="72">
        <v>130</v>
      </c>
      <c r="M61" s="17" t="s">
        <v>622</v>
      </c>
      <c r="N61" s="135"/>
    </row>
    <row r="62" spans="1:15" x14ac:dyDescent="0.25">
      <c r="A62" s="274"/>
      <c r="B62" s="17" t="s">
        <v>45</v>
      </c>
      <c r="C62" s="22" t="s">
        <v>169</v>
      </c>
      <c r="D62" s="17" t="s">
        <v>170</v>
      </c>
      <c r="E62" s="17">
        <v>33</v>
      </c>
      <c r="F62" s="22" t="s">
        <v>97</v>
      </c>
      <c r="G62" s="41" t="s">
        <v>103</v>
      </c>
      <c r="H62" s="19">
        <v>49</v>
      </c>
      <c r="I62" s="19">
        <v>0</v>
      </c>
      <c r="J62" s="19" t="s">
        <v>35</v>
      </c>
      <c r="K62" s="19" t="s">
        <v>35</v>
      </c>
      <c r="L62" s="72">
        <v>41.836399999999998</v>
      </c>
      <c r="M62" s="64" t="s">
        <v>623</v>
      </c>
      <c r="N62" s="135"/>
    </row>
    <row r="63" spans="1:15" x14ac:dyDescent="0.25">
      <c r="A63" s="274"/>
      <c r="B63" s="17" t="s">
        <v>652</v>
      </c>
      <c r="C63" s="22" t="s">
        <v>161</v>
      </c>
      <c r="D63" s="17" t="s">
        <v>162</v>
      </c>
      <c r="E63" s="17">
        <v>11</v>
      </c>
      <c r="F63" s="22" t="s">
        <v>96</v>
      </c>
      <c r="G63" s="17" t="s">
        <v>102</v>
      </c>
      <c r="H63" s="19">
        <v>49</v>
      </c>
      <c r="I63" s="19">
        <v>0</v>
      </c>
      <c r="J63" s="19" t="s">
        <v>35</v>
      </c>
      <c r="K63" s="19" t="s">
        <v>35</v>
      </c>
      <c r="L63" s="72">
        <v>28.040600000000001</v>
      </c>
      <c r="M63" s="17" t="s">
        <v>335</v>
      </c>
      <c r="N63" s="135"/>
    </row>
    <row r="64" spans="1:15" x14ac:dyDescent="0.25">
      <c r="A64" s="274"/>
      <c r="B64" s="17" t="s">
        <v>652</v>
      </c>
      <c r="C64" s="22" t="s">
        <v>161</v>
      </c>
      <c r="D64" s="17" t="s">
        <v>162</v>
      </c>
      <c r="E64" s="17">
        <v>33</v>
      </c>
      <c r="F64" s="22" t="s">
        <v>97</v>
      </c>
      <c r="G64" s="17" t="s">
        <v>189</v>
      </c>
      <c r="H64" s="19">
        <v>49</v>
      </c>
      <c r="I64" s="19">
        <v>0</v>
      </c>
      <c r="J64" s="19" t="s">
        <v>35</v>
      </c>
      <c r="K64" s="19" t="s">
        <v>35</v>
      </c>
      <c r="L64" s="72">
        <v>98.081900000000005</v>
      </c>
      <c r="M64" s="17" t="s">
        <v>336</v>
      </c>
      <c r="N64" s="135"/>
    </row>
    <row r="65" spans="1:15" x14ac:dyDescent="0.25">
      <c r="A65" s="274"/>
      <c r="B65" s="17" t="s">
        <v>652</v>
      </c>
      <c r="C65" s="22" t="s">
        <v>175</v>
      </c>
      <c r="D65" s="17" t="s">
        <v>176</v>
      </c>
      <c r="E65" s="17">
        <v>11</v>
      </c>
      <c r="F65" s="22" t="s">
        <v>96</v>
      </c>
      <c r="G65" s="17" t="s">
        <v>102</v>
      </c>
      <c r="H65" s="19">
        <v>49</v>
      </c>
      <c r="I65" s="19">
        <v>0</v>
      </c>
      <c r="J65" s="19" t="s">
        <v>35</v>
      </c>
      <c r="K65" s="19" t="s">
        <v>35</v>
      </c>
      <c r="L65" s="72">
        <v>23.207999999999998</v>
      </c>
      <c r="M65" s="17" t="s">
        <v>626</v>
      </c>
      <c r="N65" s="135"/>
    </row>
    <row r="66" spans="1:15" s="82" customFormat="1" x14ac:dyDescent="0.25">
      <c r="A66" s="274"/>
      <c r="B66" s="17" t="s">
        <v>649</v>
      </c>
      <c r="C66" s="22" t="s">
        <v>742</v>
      </c>
      <c r="D66" s="17" t="s">
        <v>744</v>
      </c>
      <c r="E66" s="67">
        <v>33</v>
      </c>
      <c r="F66" s="81" t="s">
        <v>743</v>
      </c>
      <c r="G66" s="67" t="s">
        <v>99</v>
      </c>
      <c r="H66" s="19">
        <v>49</v>
      </c>
      <c r="I66" s="19">
        <v>0</v>
      </c>
      <c r="J66" s="19" t="s">
        <v>35</v>
      </c>
      <c r="K66" s="19" t="s">
        <v>35</v>
      </c>
      <c r="L66" s="72">
        <v>92</v>
      </c>
      <c r="M66" s="17" t="s">
        <v>747</v>
      </c>
      <c r="N66" s="135"/>
      <c r="O66" s="5"/>
    </row>
    <row r="67" spans="1:15" s="82" customFormat="1" x14ac:dyDescent="0.25">
      <c r="A67" s="274"/>
      <c r="B67" s="17" t="s">
        <v>649</v>
      </c>
      <c r="C67" s="22" t="s">
        <v>742</v>
      </c>
      <c r="D67" s="17" t="s">
        <v>744</v>
      </c>
      <c r="E67" s="17">
        <v>11</v>
      </c>
      <c r="F67" s="22" t="s">
        <v>745</v>
      </c>
      <c r="G67" s="67">
        <v>35</v>
      </c>
      <c r="H67" s="19">
        <v>49</v>
      </c>
      <c r="I67" s="19">
        <v>0</v>
      </c>
      <c r="J67" s="19" t="s">
        <v>35</v>
      </c>
      <c r="K67" s="19" t="s">
        <v>35</v>
      </c>
      <c r="L67" s="72">
        <v>0</v>
      </c>
      <c r="M67" s="17" t="s">
        <v>746</v>
      </c>
      <c r="N67" s="135"/>
      <c r="O67" s="5"/>
    </row>
    <row r="68" spans="1:15" x14ac:dyDescent="0.25">
      <c r="A68" s="274"/>
      <c r="B68" s="17" t="s">
        <v>649</v>
      </c>
      <c r="C68" s="22" t="s">
        <v>177</v>
      </c>
      <c r="D68" s="17" t="s">
        <v>178</v>
      </c>
      <c r="E68" s="17">
        <v>33</v>
      </c>
      <c r="F68" s="22" t="s">
        <v>97</v>
      </c>
      <c r="G68" s="17" t="s">
        <v>103</v>
      </c>
      <c r="H68" s="19">
        <v>49</v>
      </c>
      <c r="I68" s="19">
        <v>0</v>
      </c>
      <c r="J68" s="19" t="s">
        <v>35</v>
      </c>
      <c r="K68" s="19" t="s">
        <v>35</v>
      </c>
      <c r="L68" s="72">
        <v>61.612099999999998</v>
      </c>
      <c r="M68" s="17" t="s">
        <v>627</v>
      </c>
      <c r="N68" s="135"/>
    </row>
    <row r="69" spans="1:15" x14ac:dyDescent="0.25">
      <c r="A69" s="274"/>
      <c r="B69" s="17" t="s">
        <v>651</v>
      </c>
      <c r="C69" s="22" t="s">
        <v>159</v>
      </c>
      <c r="D69" s="17" t="s">
        <v>160</v>
      </c>
      <c r="E69" s="17">
        <v>33</v>
      </c>
      <c r="F69" s="23" t="s">
        <v>95</v>
      </c>
      <c r="G69" s="17" t="s">
        <v>99</v>
      </c>
      <c r="H69" s="19">
        <v>49</v>
      </c>
      <c r="I69" s="19">
        <v>0</v>
      </c>
      <c r="J69" s="19" t="s">
        <v>35</v>
      </c>
      <c r="K69" s="19" t="s">
        <v>35</v>
      </c>
      <c r="L69" s="72">
        <v>85.188500000000005</v>
      </c>
      <c r="M69" s="64" t="s">
        <v>334</v>
      </c>
      <c r="N69" s="135"/>
    </row>
    <row r="70" spans="1:15" x14ac:dyDescent="0.25">
      <c r="A70" s="274"/>
      <c r="B70" s="17" t="s">
        <v>651</v>
      </c>
      <c r="C70" s="22" t="s">
        <v>171</v>
      </c>
      <c r="D70" s="17" t="s">
        <v>172</v>
      </c>
      <c r="E70" s="17">
        <v>33</v>
      </c>
      <c r="F70" s="22" t="s">
        <v>97</v>
      </c>
      <c r="G70" s="17" t="s">
        <v>103</v>
      </c>
      <c r="H70" s="19">
        <v>49</v>
      </c>
      <c r="I70" s="19">
        <v>0</v>
      </c>
      <c r="J70" s="19" t="s">
        <v>35</v>
      </c>
      <c r="K70" s="19" t="s">
        <v>35</v>
      </c>
      <c r="L70" s="72">
        <v>75.867199999999997</v>
      </c>
      <c r="M70" s="17" t="s">
        <v>624</v>
      </c>
      <c r="N70" s="135"/>
    </row>
    <row r="71" spans="1:15" x14ac:dyDescent="0.25">
      <c r="A71" s="274"/>
      <c r="B71" s="17" t="s">
        <v>651</v>
      </c>
      <c r="C71" s="22" t="s">
        <v>173</v>
      </c>
      <c r="D71" s="17" t="s">
        <v>174</v>
      </c>
      <c r="E71" s="17">
        <v>33</v>
      </c>
      <c r="F71" s="22" t="s">
        <v>95</v>
      </c>
      <c r="G71" s="17" t="s">
        <v>99</v>
      </c>
      <c r="H71" s="19">
        <v>49</v>
      </c>
      <c r="I71" s="19">
        <v>0</v>
      </c>
      <c r="J71" s="19" t="s">
        <v>35</v>
      </c>
      <c r="K71" s="19" t="s">
        <v>35</v>
      </c>
      <c r="L71" s="72">
        <v>65.073499999999996</v>
      </c>
      <c r="M71" s="17" t="s">
        <v>625</v>
      </c>
      <c r="N71" s="135"/>
    </row>
    <row r="72" spans="1:15" x14ac:dyDescent="0.25">
      <c r="A72" s="274"/>
      <c r="B72" s="17" t="s">
        <v>651</v>
      </c>
      <c r="C72" s="22" t="s">
        <v>179</v>
      </c>
      <c r="D72" s="17" t="s">
        <v>180</v>
      </c>
      <c r="E72" s="17">
        <v>33</v>
      </c>
      <c r="F72" s="22" t="s">
        <v>95</v>
      </c>
      <c r="G72" s="17" t="s">
        <v>99</v>
      </c>
      <c r="H72" s="19">
        <v>49</v>
      </c>
      <c r="I72" s="19">
        <v>0</v>
      </c>
      <c r="J72" s="19" t="s">
        <v>35</v>
      </c>
      <c r="K72" s="19" t="s">
        <v>35</v>
      </c>
      <c r="L72" s="72">
        <v>85.680400000000006</v>
      </c>
      <c r="M72" s="17" t="s">
        <v>628</v>
      </c>
      <c r="N72" s="135"/>
    </row>
    <row r="73" spans="1:15" x14ac:dyDescent="0.25">
      <c r="A73" s="274"/>
      <c r="B73" s="17" t="s">
        <v>651</v>
      </c>
      <c r="C73" s="22" t="s">
        <v>181</v>
      </c>
      <c r="D73" s="17" t="s">
        <v>182</v>
      </c>
      <c r="E73" s="17">
        <v>33</v>
      </c>
      <c r="F73" s="22" t="s">
        <v>97</v>
      </c>
      <c r="G73" s="17" t="s">
        <v>103</v>
      </c>
      <c r="H73" s="19">
        <v>49</v>
      </c>
      <c r="I73" s="19">
        <v>0</v>
      </c>
      <c r="J73" s="19" t="s">
        <v>35</v>
      </c>
      <c r="K73" s="19" t="s">
        <v>35</v>
      </c>
      <c r="L73" s="72">
        <v>52.130299999999998</v>
      </c>
      <c r="M73" s="17" t="s">
        <v>629</v>
      </c>
      <c r="N73" s="135"/>
    </row>
    <row r="74" spans="1:15" x14ac:dyDescent="0.25">
      <c r="A74" s="256" t="str">
        <f>CONCATENATE("Stage 4: 48.9Hz " &amp; CHAR(10) &amp;"Total load: ",ROUND(SUM(L74:L86),0),"MW")</f>
        <v>Stage 4: 48.9Hz 
Total load: 754MW</v>
      </c>
      <c r="B74" s="7" t="s">
        <v>195</v>
      </c>
      <c r="C74" s="6" t="s">
        <v>195</v>
      </c>
      <c r="D74" s="7" t="s">
        <v>196</v>
      </c>
      <c r="E74" s="7">
        <v>33</v>
      </c>
      <c r="F74" s="6" t="s">
        <v>216</v>
      </c>
      <c r="G74" s="7" t="s">
        <v>217</v>
      </c>
      <c r="H74" s="8">
        <v>48.9</v>
      </c>
      <c r="I74" s="8">
        <v>0</v>
      </c>
      <c r="J74" s="8" t="s">
        <v>35</v>
      </c>
      <c r="K74" s="8" t="s">
        <v>35</v>
      </c>
      <c r="L74" s="73">
        <v>82.5745</v>
      </c>
      <c r="M74" s="88" t="s">
        <v>271</v>
      </c>
      <c r="N74" s="134"/>
    </row>
    <row r="75" spans="1:15" s="2" customFormat="1" x14ac:dyDescent="0.25">
      <c r="A75" s="256"/>
      <c r="B75" s="35" t="s">
        <v>45</v>
      </c>
      <c r="C75" s="37" t="s">
        <v>782</v>
      </c>
      <c r="D75" s="35" t="s">
        <v>198</v>
      </c>
      <c r="E75" s="35">
        <v>33</v>
      </c>
      <c r="F75" s="37" t="s">
        <v>95</v>
      </c>
      <c r="G75" s="35" t="s">
        <v>99</v>
      </c>
      <c r="H75" s="36">
        <v>48.9</v>
      </c>
      <c r="I75" s="36">
        <v>0</v>
      </c>
      <c r="J75" s="36" t="s">
        <v>35</v>
      </c>
      <c r="K75" s="36" t="s">
        <v>35</v>
      </c>
      <c r="L75" s="74">
        <v>65.720699999999994</v>
      </c>
      <c r="M75" s="89" t="s">
        <v>272</v>
      </c>
      <c r="N75" s="90" t="s">
        <v>751</v>
      </c>
      <c r="O75" s="38"/>
    </row>
    <row r="76" spans="1:15" s="2" customFormat="1" x14ac:dyDescent="0.25">
      <c r="A76" s="256"/>
      <c r="B76" s="35" t="s">
        <v>577</v>
      </c>
      <c r="C76" s="37" t="s">
        <v>199</v>
      </c>
      <c r="D76" s="35" t="s">
        <v>200</v>
      </c>
      <c r="E76" s="35">
        <v>33</v>
      </c>
      <c r="F76" s="37" t="s">
        <v>95</v>
      </c>
      <c r="G76" s="35" t="s">
        <v>99</v>
      </c>
      <c r="H76" s="36">
        <v>48.9</v>
      </c>
      <c r="I76" s="36">
        <v>0</v>
      </c>
      <c r="J76" s="36" t="s">
        <v>35</v>
      </c>
      <c r="K76" s="36" t="s">
        <v>35</v>
      </c>
      <c r="L76" s="74">
        <v>111.12690000000001</v>
      </c>
      <c r="M76" s="89" t="s">
        <v>273</v>
      </c>
      <c r="N76" s="90" t="s">
        <v>752</v>
      </c>
      <c r="O76" s="38"/>
    </row>
    <row r="77" spans="1:15" x14ac:dyDescent="0.25">
      <c r="A77" s="256"/>
      <c r="B77" s="7" t="s">
        <v>650</v>
      </c>
      <c r="C77" s="6" t="s">
        <v>26</v>
      </c>
      <c r="D77" s="7" t="s">
        <v>27</v>
      </c>
      <c r="E77" s="7">
        <v>22</v>
      </c>
      <c r="F77" s="6" t="s">
        <v>94</v>
      </c>
      <c r="G77" s="7" t="s">
        <v>99</v>
      </c>
      <c r="H77" s="8">
        <v>48.9</v>
      </c>
      <c r="I77" s="8">
        <v>0</v>
      </c>
      <c r="J77" s="8" t="s">
        <v>35</v>
      </c>
      <c r="K77" s="8" t="s">
        <v>35</v>
      </c>
      <c r="L77" s="73">
        <v>37.270800000000001</v>
      </c>
      <c r="M77" s="88" t="s">
        <v>274</v>
      </c>
      <c r="N77" s="134"/>
    </row>
    <row r="78" spans="1:15" x14ac:dyDescent="0.25">
      <c r="A78" s="256"/>
      <c r="B78" s="7" t="s">
        <v>650</v>
      </c>
      <c r="C78" s="6" t="s">
        <v>26</v>
      </c>
      <c r="D78" s="7" t="s">
        <v>27</v>
      </c>
      <c r="E78" s="7">
        <v>22</v>
      </c>
      <c r="F78" s="6" t="s">
        <v>214</v>
      </c>
      <c r="G78" s="7" t="s">
        <v>218</v>
      </c>
      <c r="H78" s="8">
        <v>48.9</v>
      </c>
      <c r="I78" s="8">
        <v>0</v>
      </c>
      <c r="J78" s="8" t="s">
        <v>35</v>
      </c>
      <c r="K78" s="8" t="s">
        <v>35</v>
      </c>
      <c r="L78" s="73">
        <v>15.0562</v>
      </c>
      <c r="M78" s="88" t="s">
        <v>274</v>
      </c>
      <c r="N78" s="134"/>
    </row>
    <row r="79" spans="1:15" x14ac:dyDescent="0.25">
      <c r="A79" s="256"/>
      <c r="B79" s="7" t="s">
        <v>45</v>
      </c>
      <c r="C79" s="6" t="s">
        <v>209</v>
      </c>
      <c r="D79" s="7" t="s">
        <v>210</v>
      </c>
      <c r="E79" s="7">
        <v>33</v>
      </c>
      <c r="F79" s="6" t="s">
        <v>95</v>
      </c>
      <c r="G79" s="7" t="s">
        <v>99</v>
      </c>
      <c r="H79" s="8">
        <v>48.9</v>
      </c>
      <c r="I79" s="8">
        <v>0</v>
      </c>
      <c r="J79" s="8" t="s">
        <v>35</v>
      </c>
      <c r="K79" s="8" t="s">
        <v>35</v>
      </c>
      <c r="L79" s="73">
        <v>83.051400000000001</v>
      </c>
      <c r="M79" s="88" t="s">
        <v>279</v>
      </c>
      <c r="N79" s="134"/>
    </row>
    <row r="80" spans="1:15" x14ac:dyDescent="0.25">
      <c r="A80" s="256"/>
      <c r="B80" s="7" t="s">
        <v>45</v>
      </c>
      <c r="C80" s="6" t="s">
        <v>203</v>
      </c>
      <c r="D80" s="7" t="s">
        <v>204</v>
      </c>
      <c r="E80" s="7">
        <v>33</v>
      </c>
      <c r="F80" s="6" t="s">
        <v>95</v>
      </c>
      <c r="G80" s="7" t="s">
        <v>99</v>
      </c>
      <c r="H80" s="8">
        <v>48.9</v>
      </c>
      <c r="I80" s="8">
        <v>0</v>
      </c>
      <c r="J80" s="8" t="s">
        <v>35</v>
      </c>
      <c r="K80" s="8" t="s">
        <v>35</v>
      </c>
      <c r="L80" s="73">
        <v>62.5762</v>
      </c>
      <c r="M80" s="88" t="s">
        <v>276</v>
      </c>
      <c r="N80" s="134"/>
    </row>
    <row r="81" spans="1:15" s="2" customFormat="1" ht="30" x14ac:dyDescent="0.25">
      <c r="A81" s="256"/>
      <c r="B81" s="35" t="s">
        <v>651</v>
      </c>
      <c r="C81" s="37" t="s">
        <v>207</v>
      </c>
      <c r="D81" s="35" t="s">
        <v>208</v>
      </c>
      <c r="E81" s="35">
        <v>33</v>
      </c>
      <c r="F81" s="37" t="s">
        <v>95</v>
      </c>
      <c r="G81" s="35" t="s">
        <v>99</v>
      </c>
      <c r="H81" s="36">
        <v>48.9</v>
      </c>
      <c r="I81" s="36">
        <v>0</v>
      </c>
      <c r="J81" s="36" t="s">
        <v>35</v>
      </c>
      <c r="K81" s="36" t="s">
        <v>35</v>
      </c>
      <c r="L81" s="74">
        <v>67.990499999999997</v>
      </c>
      <c r="M81" s="89" t="s">
        <v>278</v>
      </c>
      <c r="N81" s="90" t="s">
        <v>779</v>
      </c>
      <c r="O81" s="38"/>
    </row>
    <row r="82" spans="1:15" x14ac:dyDescent="0.25">
      <c r="A82" s="256"/>
      <c r="B82" s="7" t="s">
        <v>651</v>
      </c>
      <c r="C82" s="6" t="s">
        <v>201</v>
      </c>
      <c r="D82" s="7" t="s">
        <v>202</v>
      </c>
      <c r="E82" s="7">
        <v>33</v>
      </c>
      <c r="F82" s="6" t="s">
        <v>95</v>
      </c>
      <c r="G82" s="7" t="s">
        <v>99</v>
      </c>
      <c r="H82" s="8">
        <v>48.9</v>
      </c>
      <c r="I82" s="8">
        <v>0</v>
      </c>
      <c r="J82" s="8" t="s">
        <v>35</v>
      </c>
      <c r="K82" s="8" t="s">
        <v>35</v>
      </c>
      <c r="L82" s="73">
        <v>68.1678</v>
      </c>
      <c r="M82" s="88" t="s">
        <v>275</v>
      </c>
      <c r="N82" s="134"/>
    </row>
    <row r="83" spans="1:15" x14ac:dyDescent="0.25">
      <c r="A83" s="256"/>
      <c r="B83" s="7" t="s">
        <v>651</v>
      </c>
      <c r="C83" s="6" t="s">
        <v>193</v>
      </c>
      <c r="D83" s="7" t="s">
        <v>194</v>
      </c>
      <c r="E83" s="7">
        <v>33</v>
      </c>
      <c r="F83" s="58" t="s">
        <v>95</v>
      </c>
      <c r="G83" s="7" t="s">
        <v>188</v>
      </c>
      <c r="H83" s="8">
        <v>48.9</v>
      </c>
      <c r="I83" s="8">
        <v>0</v>
      </c>
      <c r="J83" s="8" t="s">
        <v>35</v>
      </c>
      <c r="K83" s="8" t="s">
        <v>35</v>
      </c>
      <c r="L83" s="73">
        <v>51.941000000000003</v>
      </c>
      <c r="M83" s="88" t="s">
        <v>270</v>
      </c>
      <c r="N83" s="134"/>
    </row>
    <row r="84" spans="1:15" s="2" customFormat="1" ht="30" x14ac:dyDescent="0.25">
      <c r="A84" s="256"/>
      <c r="B84" s="35" t="s">
        <v>654</v>
      </c>
      <c r="C84" s="37" t="s">
        <v>205</v>
      </c>
      <c r="D84" s="35" t="s">
        <v>206</v>
      </c>
      <c r="E84" s="35">
        <v>33</v>
      </c>
      <c r="F84" s="90" t="s">
        <v>95</v>
      </c>
      <c r="G84" s="35" t="s">
        <v>99</v>
      </c>
      <c r="H84" s="36">
        <v>48.9</v>
      </c>
      <c r="I84" s="36">
        <v>0</v>
      </c>
      <c r="J84" s="36" t="s">
        <v>35</v>
      </c>
      <c r="K84" s="36" t="s">
        <v>35</v>
      </c>
      <c r="L84" s="74">
        <v>64.8369</v>
      </c>
      <c r="M84" s="89" t="s">
        <v>277</v>
      </c>
      <c r="N84" s="90" t="s">
        <v>780</v>
      </c>
      <c r="O84" s="38"/>
    </row>
    <row r="85" spans="1:15" x14ac:dyDescent="0.25">
      <c r="A85" s="256"/>
      <c r="B85" s="7" t="s">
        <v>654</v>
      </c>
      <c r="C85" s="6" t="s">
        <v>211</v>
      </c>
      <c r="D85" s="7" t="s">
        <v>212</v>
      </c>
      <c r="E85" s="7">
        <v>11</v>
      </c>
      <c r="F85" s="6" t="s">
        <v>96</v>
      </c>
      <c r="G85" s="10" t="s">
        <v>102</v>
      </c>
      <c r="H85" s="8">
        <v>48.9</v>
      </c>
      <c r="I85" s="8">
        <v>0</v>
      </c>
      <c r="J85" s="8" t="s">
        <v>35</v>
      </c>
      <c r="K85" s="8" t="s">
        <v>35</v>
      </c>
      <c r="L85" s="73">
        <v>17.659600000000001</v>
      </c>
      <c r="M85" s="88" t="s">
        <v>280</v>
      </c>
      <c r="N85" s="134"/>
    </row>
    <row r="86" spans="1:15" x14ac:dyDescent="0.25">
      <c r="A86" s="256"/>
      <c r="B86" s="7" t="s">
        <v>652</v>
      </c>
      <c r="C86" s="6" t="s">
        <v>213</v>
      </c>
      <c r="D86" s="7" t="s">
        <v>21</v>
      </c>
      <c r="E86" s="7">
        <v>11</v>
      </c>
      <c r="F86" s="6" t="s">
        <v>215</v>
      </c>
      <c r="G86" s="10" t="s">
        <v>219</v>
      </c>
      <c r="H86" s="8">
        <v>48.9</v>
      </c>
      <c r="I86" s="8">
        <v>0</v>
      </c>
      <c r="J86" s="8" t="s">
        <v>35</v>
      </c>
      <c r="K86" s="8" t="s">
        <v>35</v>
      </c>
      <c r="L86" s="73">
        <v>25.8429</v>
      </c>
      <c r="M86" s="88" t="s">
        <v>281</v>
      </c>
      <c r="N86" s="134"/>
    </row>
    <row r="87" spans="1:15" x14ac:dyDescent="0.25">
      <c r="A87" s="258" t="str">
        <f>CONCATENATE("Stage 5: 48.8Hz " &amp; CHAR(10) &amp;"Total load: ",ROUND(SUM(L87:L100),0),"MW")</f>
        <v>Stage 5: 48.8Hz 
Total load: 713MW</v>
      </c>
      <c r="B87" s="17" t="s">
        <v>655</v>
      </c>
      <c r="C87" s="22" t="s">
        <v>220</v>
      </c>
      <c r="D87" s="17" t="s">
        <v>221</v>
      </c>
      <c r="E87" s="17">
        <v>11</v>
      </c>
      <c r="F87" s="22" t="s">
        <v>96</v>
      </c>
      <c r="G87" s="17" t="s">
        <v>102</v>
      </c>
      <c r="H87" s="19">
        <v>48.8</v>
      </c>
      <c r="I87" s="19">
        <v>0</v>
      </c>
      <c r="J87" s="19" t="s">
        <v>35</v>
      </c>
      <c r="K87" s="19" t="s">
        <v>35</v>
      </c>
      <c r="L87" s="72">
        <v>25.7531</v>
      </c>
      <c r="M87" s="64" t="s">
        <v>266</v>
      </c>
      <c r="N87" s="135"/>
    </row>
    <row r="88" spans="1:15" x14ac:dyDescent="0.25">
      <c r="A88" s="258"/>
      <c r="B88" s="17" t="s">
        <v>651</v>
      </c>
      <c r="C88" s="22" t="s">
        <v>222</v>
      </c>
      <c r="D88" s="17" t="s">
        <v>223</v>
      </c>
      <c r="E88" s="17">
        <v>33</v>
      </c>
      <c r="F88" s="22" t="s">
        <v>95</v>
      </c>
      <c r="G88" s="17" t="s">
        <v>99</v>
      </c>
      <c r="H88" s="19">
        <v>48.8</v>
      </c>
      <c r="I88" s="19">
        <v>0</v>
      </c>
      <c r="J88" s="19" t="s">
        <v>35</v>
      </c>
      <c r="K88" s="19" t="s">
        <v>35</v>
      </c>
      <c r="L88" s="72">
        <v>71.794799999999995</v>
      </c>
      <c r="M88" s="64" t="s">
        <v>267</v>
      </c>
      <c r="N88" s="135"/>
    </row>
    <row r="89" spans="1:15" x14ac:dyDescent="0.25">
      <c r="A89" s="258"/>
      <c r="B89" s="17" t="s">
        <v>45</v>
      </c>
      <c r="C89" s="22" t="s">
        <v>224</v>
      </c>
      <c r="D89" s="17" t="s">
        <v>225</v>
      </c>
      <c r="E89" s="17">
        <v>33</v>
      </c>
      <c r="F89" s="22" t="s">
        <v>95</v>
      </c>
      <c r="G89" s="17" t="s">
        <v>99</v>
      </c>
      <c r="H89" s="19">
        <v>48.8</v>
      </c>
      <c r="I89" s="19">
        <v>0</v>
      </c>
      <c r="J89" s="19" t="s">
        <v>35</v>
      </c>
      <c r="K89" s="19" t="s">
        <v>35</v>
      </c>
      <c r="L89" s="72">
        <v>74.944999999999993</v>
      </c>
      <c r="M89" s="64" t="s">
        <v>268</v>
      </c>
      <c r="N89" s="135"/>
    </row>
    <row r="90" spans="1:15" x14ac:dyDescent="0.25">
      <c r="A90" s="258"/>
      <c r="B90" s="17" t="s">
        <v>45</v>
      </c>
      <c r="C90" s="22" t="s">
        <v>226</v>
      </c>
      <c r="D90" s="17" t="s">
        <v>227</v>
      </c>
      <c r="E90" s="17">
        <v>33</v>
      </c>
      <c r="F90" s="22" t="s">
        <v>97</v>
      </c>
      <c r="G90" s="17" t="s">
        <v>103</v>
      </c>
      <c r="H90" s="19">
        <v>48.8</v>
      </c>
      <c r="I90" s="19">
        <v>0</v>
      </c>
      <c r="J90" s="19" t="s">
        <v>35</v>
      </c>
      <c r="K90" s="19" t="s">
        <v>35</v>
      </c>
      <c r="L90" s="72">
        <v>69.463099999999997</v>
      </c>
      <c r="M90" s="64" t="s">
        <v>269</v>
      </c>
      <c r="N90" s="135"/>
    </row>
    <row r="91" spans="1:15" x14ac:dyDescent="0.25">
      <c r="A91" s="258"/>
      <c r="B91" s="17" t="s">
        <v>45</v>
      </c>
      <c r="C91" s="22" t="s">
        <v>245</v>
      </c>
      <c r="D91" s="17" t="s">
        <v>246</v>
      </c>
      <c r="E91" s="17">
        <v>33</v>
      </c>
      <c r="F91" s="22" t="s">
        <v>95</v>
      </c>
      <c r="G91" s="17" t="s">
        <v>99</v>
      </c>
      <c r="H91" s="19">
        <v>48.8</v>
      </c>
      <c r="I91" s="19">
        <v>0</v>
      </c>
      <c r="J91" s="19" t="s">
        <v>35</v>
      </c>
      <c r="K91" s="19" t="s">
        <v>35</v>
      </c>
      <c r="L91" s="72">
        <v>60.1524</v>
      </c>
      <c r="M91" s="64" t="s">
        <v>265</v>
      </c>
      <c r="N91" s="135"/>
    </row>
    <row r="92" spans="1:15" x14ac:dyDescent="0.25">
      <c r="A92" s="258"/>
      <c r="B92" s="17" t="s">
        <v>653</v>
      </c>
      <c r="C92" s="22" t="s">
        <v>228</v>
      </c>
      <c r="D92" s="17" t="s">
        <v>229</v>
      </c>
      <c r="E92" s="17">
        <v>132</v>
      </c>
      <c r="F92" s="22" t="s">
        <v>247</v>
      </c>
      <c r="G92" s="41" t="s">
        <v>44</v>
      </c>
      <c r="H92" s="19">
        <v>48.8</v>
      </c>
      <c r="I92" s="19">
        <v>0</v>
      </c>
      <c r="J92" s="19" t="s">
        <v>35</v>
      </c>
      <c r="K92" s="19" t="s">
        <v>35</v>
      </c>
      <c r="L92" s="270">
        <v>49</v>
      </c>
      <c r="M92" s="270" t="s">
        <v>259</v>
      </c>
      <c r="N92" s="135"/>
    </row>
    <row r="93" spans="1:15" x14ac:dyDescent="0.25">
      <c r="A93" s="258"/>
      <c r="B93" s="17" t="s">
        <v>654</v>
      </c>
      <c r="C93" s="22" t="s">
        <v>230</v>
      </c>
      <c r="D93" s="17" t="s">
        <v>231</v>
      </c>
      <c r="E93" s="17">
        <v>132</v>
      </c>
      <c r="F93" s="22" t="s">
        <v>248</v>
      </c>
      <c r="G93" s="41" t="s">
        <v>44</v>
      </c>
      <c r="H93" s="19">
        <v>48.8</v>
      </c>
      <c r="I93" s="19">
        <v>0</v>
      </c>
      <c r="J93" s="19" t="s">
        <v>35</v>
      </c>
      <c r="K93" s="19" t="s">
        <v>35</v>
      </c>
      <c r="L93" s="270"/>
      <c r="M93" s="270"/>
      <c r="N93" s="135"/>
    </row>
    <row r="94" spans="1:15" x14ac:dyDescent="0.25">
      <c r="A94" s="258"/>
      <c r="B94" s="17" t="s">
        <v>654</v>
      </c>
      <c r="C94" s="22" t="s">
        <v>232</v>
      </c>
      <c r="D94" s="17" t="s">
        <v>233</v>
      </c>
      <c r="E94" s="17">
        <v>132</v>
      </c>
      <c r="F94" s="22" t="s">
        <v>249</v>
      </c>
      <c r="G94" s="17" t="s">
        <v>44</v>
      </c>
      <c r="H94" s="19">
        <v>48.8</v>
      </c>
      <c r="I94" s="19">
        <v>0</v>
      </c>
      <c r="J94" s="19" t="s">
        <v>35</v>
      </c>
      <c r="K94" s="19" t="s">
        <v>35</v>
      </c>
      <c r="L94" s="270">
        <v>140</v>
      </c>
      <c r="M94" s="270" t="s">
        <v>260</v>
      </c>
      <c r="N94" s="135"/>
    </row>
    <row r="95" spans="1:15" x14ac:dyDescent="0.25">
      <c r="A95" s="258"/>
      <c r="B95" s="17" t="s">
        <v>654</v>
      </c>
      <c r="C95" s="22" t="s">
        <v>234</v>
      </c>
      <c r="D95" s="17" t="s">
        <v>235</v>
      </c>
      <c r="E95" s="17">
        <v>132</v>
      </c>
      <c r="F95" s="22" t="s">
        <v>250</v>
      </c>
      <c r="G95" s="17" t="s">
        <v>39</v>
      </c>
      <c r="H95" s="19">
        <v>48.8</v>
      </c>
      <c r="I95" s="19">
        <v>0</v>
      </c>
      <c r="J95" s="19" t="s">
        <v>35</v>
      </c>
      <c r="K95" s="19" t="s">
        <v>35</v>
      </c>
      <c r="L95" s="270"/>
      <c r="M95" s="270"/>
      <c r="N95" s="135"/>
    </row>
    <row r="96" spans="1:15" x14ac:dyDescent="0.25">
      <c r="A96" s="258"/>
      <c r="B96" s="17" t="s">
        <v>652</v>
      </c>
      <c r="C96" s="22" t="s">
        <v>236</v>
      </c>
      <c r="D96" s="17" t="s">
        <v>237</v>
      </c>
      <c r="E96" s="17">
        <v>132</v>
      </c>
      <c r="F96" s="22" t="s">
        <v>252</v>
      </c>
      <c r="G96" s="17" t="s">
        <v>251</v>
      </c>
      <c r="H96" s="19">
        <v>48.8</v>
      </c>
      <c r="I96" s="19">
        <v>0</v>
      </c>
      <c r="J96" s="19" t="s">
        <v>35</v>
      </c>
      <c r="K96" s="19" t="s">
        <v>35</v>
      </c>
      <c r="L96" s="270">
        <v>133</v>
      </c>
      <c r="M96" s="270" t="s">
        <v>261</v>
      </c>
      <c r="N96" s="271" t="s">
        <v>755</v>
      </c>
    </row>
    <row r="97" spans="1:15" s="2" customFormat="1" x14ac:dyDescent="0.25">
      <c r="A97" s="258"/>
      <c r="B97" s="46" t="s">
        <v>652</v>
      </c>
      <c r="C97" s="45" t="s">
        <v>238</v>
      </c>
      <c r="D97" s="46" t="s">
        <v>130</v>
      </c>
      <c r="E97" s="46">
        <v>132</v>
      </c>
      <c r="F97" s="45" t="s">
        <v>253</v>
      </c>
      <c r="G97" s="46" t="s">
        <v>254</v>
      </c>
      <c r="H97" s="47">
        <v>48.8</v>
      </c>
      <c r="I97" s="47">
        <v>0</v>
      </c>
      <c r="J97" s="47" t="s">
        <v>35</v>
      </c>
      <c r="K97" s="47" t="s">
        <v>35</v>
      </c>
      <c r="L97" s="270"/>
      <c r="M97" s="270"/>
      <c r="N97" s="271"/>
      <c r="O97" s="38"/>
    </row>
    <row r="98" spans="1:15" x14ac:dyDescent="0.25">
      <c r="A98" s="258"/>
      <c r="B98" s="17" t="s">
        <v>649</v>
      </c>
      <c r="C98" s="22" t="s">
        <v>239</v>
      </c>
      <c r="D98" s="17" t="s">
        <v>240</v>
      </c>
      <c r="E98" s="17">
        <v>33</v>
      </c>
      <c r="F98" s="22" t="s">
        <v>97</v>
      </c>
      <c r="G98" s="41" t="s">
        <v>103</v>
      </c>
      <c r="H98" s="19">
        <v>48.8</v>
      </c>
      <c r="I98" s="19">
        <v>0</v>
      </c>
      <c r="J98" s="19" t="s">
        <v>35</v>
      </c>
      <c r="K98" s="19" t="s">
        <v>35</v>
      </c>
      <c r="L98" s="72">
        <v>56.750300000000003</v>
      </c>
      <c r="M98" s="64" t="s">
        <v>262</v>
      </c>
      <c r="N98" s="135"/>
    </row>
    <row r="99" spans="1:15" x14ac:dyDescent="0.25">
      <c r="A99" s="258"/>
      <c r="B99" s="17" t="s">
        <v>649</v>
      </c>
      <c r="C99" s="22" t="s">
        <v>241</v>
      </c>
      <c r="D99" s="17" t="s">
        <v>242</v>
      </c>
      <c r="E99" s="17">
        <v>11</v>
      </c>
      <c r="F99" s="22" t="s">
        <v>96</v>
      </c>
      <c r="G99" s="17" t="s">
        <v>102</v>
      </c>
      <c r="H99" s="19">
        <v>48.8</v>
      </c>
      <c r="I99" s="19">
        <v>0</v>
      </c>
      <c r="J99" s="19" t="s">
        <v>35</v>
      </c>
      <c r="K99" s="19" t="s">
        <v>35</v>
      </c>
      <c r="L99" s="72">
        <v>9.3911999999999995</v>
      </c>
      <c r="M99" s="64" t="s">
        <v>263</v>
      </c>
      <c r="N99" s="135"/>
    </row>
    <row r="100" spans="1:15" x14ac:dyDescent="0.25">
      <c r="A100" s="258"/>
      <c r="B100" s="17" t="s">
        <v>649</v>
      </c>
      <c r="C100" s="22" t="s">
        <v>243</v>
      </c>
      <c r="D100" s="17" t="s">
        <v>244</v>
      </c>
      <c r="E100" s="17">
        <v>33</v>
      </c>
      <c r="F100" s="22" t="s">
        <v>95</v>
      </c>
      <c r="G100" s="17" t="s">
        <v>99</v>
      </c>
      <c r="H100" s="19">
        <v>48.8</v>
      </c>
      <c r="I100" s="19">
        <v>0</v>
      </c>
      <c r="J100" s="19" t="s">
        <v>35</v>
      </c>
      <c r="K100" s="19" t="s">
        <v>35</v>
      </c>
      <c r="L100" s="72">
        <v>22.799900000000001</v>
      </c>
      <c r="M100" s="64" t="s">
        <v>264</v>
      </c>
      <c r="N100" s="135"/>
    </row>
    <row r="101" spans="1:15" x14ac:dyDescent="0.25">
      <c r="A101" s="256" t="str">
        <f>CONCATENATE("Stage 6: 48.7Hz " &amp; CHAR(10) &amp;"Total load: ",ROUND(SUM(L101:L116),0),"MW")</f>
        <v>Stage 6: 48.7Hz 
Total load: 931MW</v>
      </c>
      <c r="B101" s="7" t="s">
        <v>107</v>
      </c>
      <c r="C101" s="6" t="s">
        <v>341</v>
      </c>
      <c r="D101" s="7" t="s">
        <v>342</v>
      </c>
      <c r="E101" s="7">
        <v>33</v>
      </c>
      <c r="F101" s="6" t="s">
        <v>95</v>
      </c>
      <c r="G101" s="7" t="s">
        <v>99</v>
      </c>
      <c r="H101" s="8">
        <v>48.7</v>
      </c>
      <c r="I101" s="8">
        <v>0</v>
      </c>
      <c r="J101" s="8" t="s">
        <v>35</v>
      </c>
      <c r="K101" s="8" t="s">
        <v>35</v>
      </c>
      <c r="L101" s="73">
        <v>58.122599999999998</v>
      </c>
      <c r="M101" s="88" t="s">
        <v>372</v>
      </c>
      <c r="N101" s="134"/>
    </row>
    <row r="102" spans="1:15" x14ac:dyDescent="0.25">
      <c r="A102" s="256"/>
      <c r="B102" s="7" t="s">
        <v>107</v>
      </c>
      <c r="C102" s="6" t="s">
        <v>360</v>
      </c>
      <c r="D102" s="7" t="s">
        <v>361</v>
      </c>
      <c r="E102" s="7">
        <v>33</v>
      </c>
      <c r="F102" s="6" t="s">
        <v>97</v>
      </c>
      <c r="G102" s="7" t="s">
        <v>103</v>
      </c>
      <c r="H102" s="8">
        <v>48.7</v>
      </c>
      <c r="I102" s="8">
        <v>0</v>
      </c>
      <c r="J102" s="8" t="s">
        <v>35</v>
      </c>
      <c r="K102" s="8" t="s">
        <v>35</v>
      </c>
      <c r="L102" s="73">
        <v>72.3964</v>
      </c>
      <c r="M102" s="7" t="s">
        <v>381</v>
      </c>
      <c r="N102" s="134"/>
    </row>
    <row r="103" spans="1:15" x14ac:dyDescent="0.25">
      <c r="A103" s="256"/>
      <c r="B103" s="7" t="s">
        <v>651</v>
      </c>
      <c r="C103" s="6" t="s">
        <v>364</v>
      </c>
      <c r="D103" s="7" t="s">
        <v>365</v>
      </c>
      <c r="E103" s="7">
        <v>33</v>
      </c>
      <c r="F103" s="58" t="s">
        <v>95</v>
      </c>
      <c r="G103" s="7" t="s">
        <v>99</v>
      </c>
      <c r="H103" s="8">
        <v>48.7</v>
      </c>
      <c r="I103" s="8">
        <v>0</v>
      </c>
      <c r="J103" s="8" t="s">
        <v>35</v>
      </c>
      <c r="K103" s="8" t="s">
        <v>35</v>
      </c>
      <c r="L103" s="73">
        <v>38.901899999999998</v>
      </c>
      <c r="M103" s="88" t="s">
        <v>383</v>
      </c>
      <c r="N103" s="134"/>
    </row>
    <row r="104" spans="1:15" x14ac:dyDescent="0.25">
      <c r="A104" s="256"/>
      <c r="B104" s="7" t="s">
        <v>651</v>
      </c>
      <c r="C104" s="6" t="s">
        <v>345</v>
      </c>
      <c r="D104" s="7" t="s">
        <v>346</v>
      </c>
      <c r="E104" s="7">
        <v>33</v>
      </c>
      <c r="F104" s="6" t="s">
        <v>97</v>
      </c>
      <c r="G104" s="7" t="s">
        <v>103</v>
      </c>
      <c r="H104" s="8">
        <v>48.7</v>
      </c>
      <c r="I104" s="8">
        <v>0</v>
      </c>
      <c r="J104" s="8" t="s">
        <v>35</v>
      </c>
      <c r="K104" s="8" t="s">
        <v>35</v>
      </c>
      <c r="L104" s="73">
        <v>84.959900000000005</v>
      </c>
      <c r="M104" s="88" t="s">
        <v>374</v>
      </c>
      <c r="N104" s="134"/>
    </row>
    <row r="105" spans="1:15" x14ac:dyDescent="0.25">
      <c r="A105" s="256"/>
      <c r="B105" s="7" t="s">
        <v>577</v>
      </c>
      <c r="C105" s="6" t="s">
        <v>366</v>
      </c>
      <c r="D105" s="7" t="s">
        <v>367</v>
      </c>
      <c r="E105" s="7">
        <v>11</v>
      </c>
      <c r="F105" s="6" t="s">
        <v>96</v>
      </c>
      <c r="G105" s="7" t="s">
        <v>102</v>
      </c>
      <c r="H105" s="8">
        <v>48.7</v>
      </c>
      <c r="I105" s="8">
        <v>0</v>
      </c>
      <c r="J105" s="8" t="s">
        <v>35</v>
      </c>
      <c r="K105" s="8" t="s">
        <v>35</v>
      </c>
      <c r="L105" s="73">
        <v>17.323799999999999</v>
      </c>
      <c r="M105" s="7" t="s">
        <v>384</v>
      </c>
      <c r="N105" s="134"/>
    </row>
    <row r="106" spans="1:15" x14ac:dyDescent="0.25">
      <c r="A106" s="256"/>
      <c r="B106" s="7" t="s">
        <v>577</v>
      </c>
      <c r="C106" s="6" t="s">
        <v>347</v>
      </c>
      <c r="D106" s="7" t="s">
        <v>348</v>
      </c>
      <c r="E106" s="7">
        <v>132</v>
      </c>
      <c r="F106" s="6" t="s">
        <v>369</v>
      </c>
      <c r="G106" s="7" t="s">
        <v>44</v>
      </c>
      <c r="H106" s="8">
        <v>48.7</v>
      </c>
      <c r="I106" s="8">
        <v>0</v>
      </c>
      <c r="J106" s="8" t="s">
        <v>35</v>
      </c>
      <c r="K106" s="8" t="s">
        <v>35</v>
      </c>
      <c r="L106" s="261">
        <v>298</v>
      </c>
      <c r="M106" s="256" t="s">
        <v>371</v>
      </c>
      <c r="N106" s="272" t="s">
        <v>756</v>
      </c>
    </row>
    <row r="107" spans="1:15" x14ac:dyDescent="0.25">
      <c r="A107" s="256"/>
      <c r="B107" s="7" t="s">
        <v>654</v>
      </c>
      <c r="C107" s="6" t="s">
        <v>232</v>
      </c>
      <c r="D107" s="7" t="s">
        <v>233</v>
      </c>
      <c r="E107" s="7">
        <v>132</v>
      </c>
      <c r="F107" s="6" t="s">
        <v>370</v>
      </c>
      <c r="G107" s="7" t="s">
        <v>191</v>
      </c>
      <c r="H107" s="8">
        <v>48.7</v>
      </c>
      <c r="I107" s="8">
        <v>0</v>
      </c>
      <c r="J107" s="8" t="s">
        <v>35</v>
      </c>
      <c r="K107" s="8" t="s">
        <v>35</v>
      </c>
      <c r="L107" s="261"/>
      <c r="M107" s="256"/>
      <c r="N107" s="272"/>
    </row>
    <row r="108" spans="1:15" s="2" customFormat="1" x14ac:dyDescent="0.25">
      <c r="A108" s="256"/>
      <c r="B108" s="35" t="s">
        <v>653</v>
      </c>
      <c r="C108" s="37" t="s">
        <v>351</v>
      </c>
      <c r="D108" s="35" t="s">
        <v>352</v>
      </c>
      <c r="E108" s="35">
        <v>132</v>
      </c>
      <c r="F108" s="37" t="s">
        <v>353</v>
      </c>
      <c r="G108" s="35" t="s">
        <v>39</v>
      </c>
      <c r="H108" s="36">
        <v>48.7</v>
      </c>
      <c r="I108" s="36">
        <v>0</v>
      </c>
      <c r="J108" s="36" t="s">
        <v>35</v>
      </c>
      <c r="K108" s="36" t="s">
        <v>35</v>
      </c>
      <c r="L108" s="261"/>
      <c r="M108" s="256"/>
      <c r="N108" s="272"/>
      <c r="O108" s="38"/>
    </row>
    <row r="109" spans="1:15" s="147" customFormat="1" ht="30" x14ac:dyDescent="0.2">
      <c r="A109" s="256"/>
      <c r="B109" s="89" t="s">
        <v>653</v>
      </c>
      <c r="C109" s="148" t="s">
        <v>349</v>
      </c>
      <c r="D109" s="89" t="s">
        <v>350</v>
      </c>
      <c r="E109" s="89">
        <v>11</v>
      </c>
      <c r="F109" s="148" t="s">
        <v>96</v>
      </c>
      <c r="G109" s="89" t="s">
        <v>102</v>
      </c>
      <c r="H109" s="149">
        <v>48.7</v>
      </c>
      <c r="I109" s="149">
        <v>0</v>
      </c>
      <c r="J109" s="149" t="s">
        <v>35</v>
      </c>
      <c r="K109" s="149" t="s">
        <v>35</v>
      </c>
      <c r="L109" s="77">
        <v>18</v>
      </c>
      <c r="M109" s="89" t="s">
        <v>375</v>
      </c>
      <c r="N109" s="150" t="s">
        <v>756</v>
      </c>
      <c r="O109" s="146"/>
    </row>
    <row r="110" spans="1:15" s="147" customFormat="1" ht="30" x14ac:dyDescent="0.2">
      <c r="A110" s="256"/>
      <c r="B110" s="89" t="s">
        <v>653</v>
      </c>
      <c r="C110" s="148" t="s">
        <v>349</v>
      </c>
      <c r="D110" s="89" t="s">
        <v>350</v>
      </c>
      <c r="E110" s="89">
        <v>33</v>
      </c>
      <c r="F110" s="148" t="s">
        <v>97</v>
      </c>
      <c r="G110" s="89" t="s">
        <v>103</v>
      </c>
      <c r="H110" s="149">
        <v>48.7</v>
      </c>
      <c r="I110" s="149">
        <v>0</v>
      </c>
      <c r="J110" s="149" t="s">
        <v>35</v>
      </c>
      <c r="K110" s="149" t="s">
        <v>35</v>
      </c>
      <c r="L110" s="77">
        <v>60</v>
      </c>
      <c r="M110" s="89" t="s">
        <v>376</v>
      </c>
      <c r="N110" s="150" t="s">
        <v>756</v>
      </c>
      <c r="O110" s="146"/>
    </row>
    <row r="111" spans="1:15" s="147" customFormat="1" ht="30" x14ac:dyDescent="0.2">
      <c r="A111" s="256"/>
      <c r="B111" s="89" t="s">
        <v>653</v>
      </c>
      <c r="C111" s="148" t="s">
        <v>354</v>
      </c>
      <c r="D111" s="89" t="s">
        <v>355</v>
      </c>
      <c r="E111" s="89">
        <v>11</v>
      </c>
      <c r="F111" s="148" t="s">
        <v>96</v>
      </c>
      <c r="G111" s="89" t="s">
        <v>102</v>
      </c>
      <c r="H111" s="149">
        <v>48.7</v>
      </c>
      <c r="I111" s="149">
        <v>0</v>
      </c>
      <c r="J111" s="149" t="s">
        <v>35</v>
      </c>
      <c r="K111" s="149" t="s">
        <v>35</v>
      </c>
      <c r="L111" s="77">
        <v>30</v>
      </c>
      <c r="M111" s="89" t="s">
        <v>377</v>
      </c>
      <c r="N111" s="150" t="s">
        <v>756</v>
      </c>
      <c r="O111" s="146"/>
    </row>
    <row r="112" spans="1:15" s="147" customFormat="1" ht="30" x14ac:dyDescent="0.2">
      <c r="A112" s="256"/>
      <c r="B112" s="89" t="s">
        <v>653</v>
      </c>
      <c r="C112" s="148" t="s">
        <v>354</v>
      </c>
      <c r="D112" s="89" t="s">
        <v>355</v>
      </c>
      <c r="E112" s="89">
        <v>33</v>
      </c>
      <c r="F112" s="148" t="s">
        <v>97</v>
      </c>
      <c r="G112" s="89" t="s">
        <v>103</v>
      </c>
      <c r="H112" s="149">
        <v>48.7</v>
      </c>
      <c r="I112" s="149">
        <v>0</v>
      </c>
      <c r="J112" s="149" t="s">
        <v>35</v>
      </c>
      <c r="K112" s="149" t="s">
        <v>35</v>
      </c>
      <c r="L112" s="77">
        <v>61</v>
      </c>
      <c r="M112" s="89" t="s">
        <v>378</v>
      </c>
      <c r="N112" s="150" t="s">
        <v>756</v>
      </c>
      <c r="O112" s="146"/>
    </row>
    <row r="113" spans="1:15" s="2" customFormat="1" x14ac:dyDescent="0.25">
      <c r="A113" s="256"/>
      <c r="B113" s="35" t="s">
        <v>654</v>
      </c>
      <c r="C113" s="37" t="s">
        <v>356</v>
      </c>
      <c r="D113" s="35" t="s">
        <v>357</v>
      </c>
      <c r="E113" s="35">
        <v>11</v>
      </c>
      <c r="F113" s="37" t="s">
        <v>96</v>
      </c>
      <c r="G113" s="35" t="s">
        <v>102</v>
      </c>
      <c r="H113" s="36">
        <v>48.7</v>
      </c>
      <c r="I113" s="36">
        <v>0</v>
      </c>
      <c r="J113" s="36" t="s">
        <v>35</v>
      </c>
      <c r="K113" s="36" t="s">
        <v>35</v>
      </c>
      <c r="L113" s="74">
        <v>22.8675</v>
      </c>
      <c r="M113" s="35" t="s">
        <v>379</v>
      </c>
      <c r="N113" s="90" t="s">
        <v>757</v>
      </c>
      <c r="O113" s="38"/>
    </row>
    <row r="114" spans="1:15" x14ac:dyDescent="0.25">
      <c r="A114" s="256"/>
      <c r="B114" s="7" t="s">
        <v>45</v>
      </c>
      <c r="C114" s="6" t="s">
        <v>358</v>
      </c>
      <c r="D114" s="7" t="s">
        <v>359</v>
      </c>
      <c r="E114" s="7">
        <v>33</v>
      </c>
      <c r="F114" s="6" t="s">
        <v>385</v>
      </c>
      <c r="G114" s="7" t="s">
        <v>110</v>
      </c>
      <c r="H114" s="8">
        <v>48.7</v>
      </c>
      <c r="I114" s="8">
        <v>0</v>
      </c>
      <c r="J114" s="8" t="s">
        <v>35</v>
      </c>
      <c r="K114" s="8" t="s">
        <v>35</v>
      </c>
      <c r="L114" s="73">
        <v>71.397199999999998</v>
      </c>
      <c r="M114" s="7" t="s">
        <v>380</v>
      </c>
      <c r="N114" s="134"/>
    </row>
    <row r="115" spans="1:15" x14ac:dyDescent="0.25">
      <c r="A115" s="256"/>
      <c r="B115" s="7" t="s">
        <v>45</v>
      </c>
      <c r="C115" s="6" t="s">
        <v>343</v>
      </c>
      <c r="D115" s="7" t="s">
        <v>344</v>
      </c>
      <c r="E115" s="7">
        <v>33</v>
      </c>
      <c r="F115" s="6" t="s">
        <v>95</v>
      </c>
      <c r="G115" s="7" t="s">
        <v>368</v>
      </c>
      <c r="H115" s="8">
        <v>48.7</v>
      </c>
      <c r="I115" s="8">
        <v>0</v>
      </c>
      <c r="J115" s="8" t="s">
        <v>35</v>
      </c>
      <c r="K115" s="8" t="s">
        <v>35</v>
      </c>
      <c r="L115" s="73">
        <v>66.698800000000006</v>
      </c>
      <c r="M115" s="88" t="s">
        <v>373</v>
      </c>
      <c r="N115" s="134"/>
    </row>
    <row r="116" spans="1:15" x14ac:dyDescent="0.25">
      <c r="A116" s="256"/>
      <c r="B116" s="7" t="s">
        <v>45</v>
      </c>
      <c r="C116" s="6" t="s">
        <v>362</v>
      </c>
      <c r="D116" s="7" t="s">
        <v>363</v>
      </c>
      <c r="E116" s="7">
        <v>11</v>
      </c>
      <c r="F116" s="6" t="s">
        <v>96</v>
      </c>
      <c r="G116" s="7" t="s">
        <v>102</v>
      </c>
      <c r="H116" s="8">
        <v>48.7</v>
      </c>
      <c r="I116" s="8">
        <v>0</v>
      </c>
      <c r="J116" s="8" t="s">
        <v>35</v>
      </c>
      <c r="K116" s="8" t="s">
        <v>35</v>
      </c>
      <c r="L116" s="73">
        <v>31.760899999999999</v>
      </c>
      <c r="M116" s="7" t="s">
        <v>382</v>
      </c>
      <c r="N116" s="134"/>
    </row>
    <row r="117" spans="1:15" x14ac:dyDescent="0.25">
      <c r="A117" s="258" t="str">
        <f>CONCATENATE("Stage 7: 48.6Hz " &amp; CHAR(10) &amp;"Total load: ",ROUND(SUM(L117:L136),0),"MW")</f>
        <v>Stage 7: 48.6Hz 
Total load: 906MW</v>
      </c>
      <c r="B117" s="17" t="s">
        <v>653</v>
      </c>
      <c r="C117" s="22" t="s">
        <v>386</v>
      </c>
      <c r="D117" s="17" t="s">
        <v>387</v>
      </c>
      <c r="E117" s="17">
        <v>11</v>
      </c>
      <c r="F117" s="22" t="s">
        <v>96</v>
      </c>
      <c r="G117" s="41" t="s">
        <v>102</v>
      </c>
      <c r="H117" s="19">
        <v>48.6</v>
      </c>
      <c r="I117" s="19">
        <v>0</v>
      </c>
      <c r="J117" s="19" t="s">
        <v>35</v>
      </c>
      <c r="K117" s="19" t="s">
        <v>35</v>
      </c>
      <c r="L117" s="72">
        <v>21.392700000000001</v>
      </c>
      <c r="M117" s="17" t="s">
        <v>426</v>
      </c>
      <c r="N117" s="135"/>
    </row>
    <row r="118" spans="1:15" x14ac:dyDescent="0.25">
      <c r="A118" s="258"/>
      <c r="B118" s="17" t="s">
        <v>650</v>
      </c>
      <c r="C118" s="22" t="s">
        <v>388</v>
      </c>
      <c r="D118" s="17" t="s">
        <v>389</v>
      </c>
      <c r="E118" s="17">
        <v>22</v>
      </c>
      <c r="F118" s="22" t="s">
        <v>94</v>
      </c>
      <c r="G118" s="17" t="s">
        <v>99</v>
      </c>
      <c r="H118" s="19">
        <v>48.6</v>
      </c>
      <c r="I118" s="19">
        <v>0</v>
      </c>
      <c r="J118" s="19" t="s">
        <v>35</v>
      </c>
      <c r="K118" s="19" t="s">
        <v>35</v>
      </c>
      <c r="L118" s="72">
        <v>35.081299999999999</v>
      </c>
      <c r="M118" s="17" t="s">
        <v>427</v>
      </c>
      <c r="N118" s="135"/>
    </row>
    <row r="119" spans="1:15" s="147" customFormat="1" ht="30" x14ac:dyDescent="0.2">
      <c r="A119" s="258"/>
      <c r="B119" s="87" t="s">
        <v>650</v>
      </c>
      <c r="C119" s="143" t="s">
        <v>409</v>
      </c>
      <c r="D119" s="87" t="s">
        <v>410</v>
      </c>
      <c r="E119" s="87">
        <v>22</v>
      </c>
      <c r="F119" s="143" t="s">
        <v>411</v>
      </c>
      <c r="G119" s="87" t="s">
        <v>425</v>
      </c>
      <c r="H119" s="145">
        <v>48.6</v>
      </c>
      <c r="I119" s="145">
        <v>0</v>
      </c>
      <c r="J119" s="145" t="s">
        <v>35</v>
      </c>
      <c r="K119" s="145" t="s">
        <v>35</v>
      </c>
      <c r="L119" s="142">
        <v>1.4469000000000001</v>
      </c>
      <c r="M119" s="87" t="s">
        <v>439</v>
      </c>
      <c r="N119" s="144" t="s">
        <v>758</v>
      </c>
      <c r="O119" s="146"/>
    </row>
    <row r="120" spans="1:15" x14ac:dyDescent="0.25">
      <c r="A120" s="258"/>
      <c r="B120" s="17" t="s">
        <v>650</v>
      </c>
      <c r="C120" s="22" t="s">
        <v>395</v>
      </c>
      <c r="D120" s="17" t="s">
        <v>396</v>
      </c>
      <c r="E120" s="17">
        <v>22</v>
      </c>
      <c r="F120" s="22" t="s">
        <v>94</v>
      </c>
      <c r="G120" s="17" t="s">
        <v>99</v>
      </c>
      <c r="H120" s="19">
        <v>48.6</v>
      </c>
      <c r="I120" s="19">
        <v>0</v>
      </c>
      <c r="J120" s="19" t="s">
        <v>35</v>
      </c>
      <c r="K120" s="19" t="s">
        <v>35</v>
      </c>
      <c r="L120" s="72">
        <v>33.332500000000003</v>
      </c>
      <c r="M120" s="17" t="s">
        <v>432</v>
      </c>
      <c r="N120" s="135"/>
    </row>
    <row r="121" spans="1:15" x14ac:dyDescent="0.25">
      <c r="A121" s="258"/>
      <c r="B121" s="17" t="s">
        <v>652</v>
      </c>
      <c r="C121" s="22" t="s">
        <v>238</v>
      </c>
      <c r="D121" s="17" t="s">
        <v>130</v>
      </c>
      <c r="E121" s="17">
        <v>132</v>
      </c>
      <c r="F121" s="22" t="s">
        <v>429</v>
      </c>
      <c r="G121" s="17">
        <v>605</v>
      </c>
      <c r="H121" s="19">
        <v>48.6</v>
      </c>
      <c r="I121" s="19">
        <v>0</v>
      </c>
      <c r="J121" s="19" t="s">
        <v>35</v>
      </c>
      <c r="K121" s="19" t="s">
        <v>35</v>
      </c>
      <c r="L121" s="263">
        <v>90</v>
      </c>
      <c r="M121" s="270" t="s">
        <v>431</v>
      </c>
      <c r="N121" s="267"/>
    </row>
    <row r="122" spans="1:15" x14ac:dyDescent="0.25">
      <c r="A122" s="258"/>
      <c r="B122" s="17" t="s">
        <v>652</v>
      </c>
      <c r="C122" s="22" t="s">
        <v>393</v>
      </c>
      <c r="D122" s="17" t="s">
        <v>394</v>
      </c>
      <c r="E122" s="17">
        <v>132</v>
      </c>
      <c r="F122" s="22" t="s">
        <v>430</v>
      </c>
      <c r="G122" s="17">
        <v>205</v>
      </c>
      <c r="H122" s="19">
        <v>48.6</v>
      </c>
      <c r="I122" s="19">
        <v>0</v>
      </c>
      <c r="J122" s="19" t="s">
        <v>35</v>
      </c>
      <c r="K122" s="19" t="s">
        <v>35</v>
      </c>
      <c r="L122" s="263"/>
      <c r="M122" s="270"/>
      <c r="N122" s="267"/>
    </row>
    <row r="123" spans="1:15" x14ac:dyDescent="0.25">
      <c r="A123" s="258"/>
      <c r="B123" s="17" t="s">
        <v>649</v>
      </c>
      <c r="C123" s="22" t="s">
        <v>399</v>
      </c>
      <c r="D123" s="17" t="s">
        <v>400</v>
      </c>
      <c r="E123" s="17">
        <v>33</v>
      </c>
      <c r="F123" s="22" t="s">
        <v>445</v>
      </c>
      <c r="G123" s="17" t="s">
        <v>110</v>
      </c>
      <c r="H123" s="19">
        <v>48.6</v>
      </c>
      <c r="I123" s="19">
        <v>0</v>
      </c>
      <c r="J123" s="19" t="s">
        <v>35</v>
      </c>
      <c r="K123" s="19" t="s">
        <v>35</v>
      </c>
      <c r="L123" s="72">
        <v>61.133400000000002</v>
      </c>
      <c r="M123" s="17" t="s">
        <v>630</v>
      </c>
      <c r="N123" s="135"/>
    </row>
    <row r="124" spans="1:15" x14ac:dyDescent="0.25">
      <c r="A124" s="258"/>
      <c r="B124" s="17" t="s">
        <v>649</v>
      </c>
      <c r="C124" s="22" t="s">
        <v>403</v>
      </c>
      <c r="D124" s="17" t="s">
        <v>404</v>
      </c>
      <c r="E124" s="17">
        <v>33</v>
      </c>
      <c r="F124" s="23" t="s">
        <v>95</v>
      </c>
      <c r="G124" s="17" t="s">
        <v>99</v>
      </c>
      <c r="H124" s="19">
        <v>48.6</v>
      </c>
      <c r="I124" s="19">
        <v>0</v>
      </c>
      <c r="J124" s="19" t="s">
        <v>35</v>
      </c>
      <c r="K124" s="19" t="s">
        <v>35</v>
      </c>
      <c r="L124" s="72">
        <v>105.8642</v>
      </c>
      <c r="M124" s="64" t="s">
        <v>436</v>
      </c>
      <c r="N124" s="135"/>
    </row>
    <row r="125" spans="1:15" x14ac:dyDescent="0.25">
      <c r="A125" s="258"/>
      <c r="B125" s="17" t="s">
        <v>649</v>
      </c>
      <c r="C125" s="22" t="s">
        <v>405</v>
      </c>
      <c r="D125" s="17" t="s">
        <v>406</v>
      </c>
      <c r="E125" s="17">
        <v>33</v>
      </c>
      <c r="F125" s="23" t="s">
        <v>95</v>
      </c>
      <c r="G125" s="17" t="s">
        <v>99</v>
      </c>
      <c r="H125" s="19">
        <v>48.6</v>
      </c>
      <c r="I125" s="19">
        <v>0</v>
      </c>
      <c r="J125" s="19" t="s">
        <v>35</v>
      </c>
      <c r="K125" s="19" t="s">
        <v>35</v>
      </c>
      <c r="L125" s="72">
        <v>52.4377</v>
      </c>
      <c r="M125" s="64" t="s">
        <v>437</v>
      </c>
      <c r="N125" s="135"/>
    </row>
    <row r="126" spans="1:15" x14ac:dyDescent="0.25">
      <c r="A126" s="258"/>
      <c r="B126" s="17" t="s">
        <v>447</v>
      </c>
      <c r="C126" s="22" t="s">
        <v>407</v>
      </c>
      <c r="D126" s="17" t="s">
        <v>408</v>
      </c>
      <c r="E126" s="17">
        <v>33</v>
      </c>
      <c r="F126" s="22" t="s">
        <v>97</v>
      </c>
      <c r="G126" s="17" t="s">
        <v>103</v>
      </c>
      <c r="H126" s="19">
        <v>48.6</v>
      </c>
      <c r="I126" s="19">
        <v>0</v>
      </c>
      <c r="J126" s="19" t="s">
        <v>35</v>
      </c>
      <c r="K126" s="19" t="s">
        <v>35</v>
      </c>
      <c r="L126" s="72">
        <v>14.2995</v>
      </c>
      <c r="M126" s="17" t="s">
        <v>438</v>
      </c>
      <c r="N126" s="135"/>
    </row>
    <row r="127" spans="1:15" x14ac:dyDescent="0.25">
      <c r="A127" s="258"/>
      <c r="B127" s="17" t="s">
        <v>45</v>
      </c>
      <c r="C127" s="22" t="s">
        <v>401</v>
      </c>
      <c r="D127" s="17" t="s">
        <v>402</v>
      </c>
      <c r="E127" s="17">
        <v>33</v>
      </c>
      <c r="F127" s="23" t="s">
        <v>97</v>
      </c>
      <c r="G127" s="17" t="s">
        <v>103</v>
      </c>
      <c r="H127" s="19">
        <v>48.6</v>
      </c>
      <c r="I127" s="19">
        <v>0</v>
      </c>
      <c r="J127" s="19" t="s">
        <v>35</v>
      </c>
      <c r="K127" s="19" t="s">
        <v>35</v>
      </c>
      <c r="L127" s="72">
        <v>69.050399999999996</v>
      </c>
      <c r="M127" s="64" t="s">
        <v>434</v>
      </c>
      <c r="N127" s="135"/>
    </row>
    <row r="128" spans="1:15" x14ac:dyDescent="0.25">
      <c r="A128" s="258"/>
      <c r="B128" s="17" t="s">
        <v>45</v>
      </c>
      <c r="C128" s="22" t="s">
        <v>401</v>
      </c>
      <c r="D128" s="17" t="s">
        <v>402</v>
      </c>
      <c r="E128" s="17">
        <v>11</v>
      </c>
      <c r="F128" s="23" t="s">
        <v>96</v>
      </c>
      <c r="G128" s="17" t="s">
        <v>102</v>
      </c>
      <c r="H128" s="19">
        <v>48.6</v>
      </c>
      <c r="I128" s="19">
        <v>0</v>
      </c>
      <c r="J128" s="19" t="s">
        <v>35</v>
      </c>
      <c r="K128" s="19" t="s">
        <v>35</v>
      </c>
      <c r="L128" s="72">
        <v>15.0282</v>
      </c>
      <c r="M128" s="64" t="s">
        <v>435</v>
      </c>
      <c r="N128" s="135"/>
    </row>
    <row r="129" spans="1:15" s="80" customFormat="1" x14ac:dyDescent="0.25">
      <c r="A129" s="258"/>
      <c r="B129" s="17" t="s">
        <v>45</v>
      </c>
      <c r="C129" s="22" t="s">
        <v>397</v>
      </c>
      <c r="D129" s="17" t="s">
        <v>398</v>
      </c>
      <c r="E129" s="17">
        <v>33</v>
      </c>
      <c r="F129" s="22" t="s">
        <v>97</v>
      </c>
      <c r="G129" s="41" t="s">
        <v>103</v>
      </c>
      <c r="H129" s="19">
        <v>48.6</v>
      </c>
      <c r="I129" s="19">
        <v>0</v>
      </c>
      <c r="J129" s="19" t="s">
        <v>35</v>
      </c>
      <c r="K129" s="19" t="s">
        <v>35</v>
      </c>
      <c r="L129" s="78">
        <v>98.751000000000005</v>
      </c>
      <c r="M129" s="17" t="s">
        <v>433</v>
      </c>
      <c r="N129" s="23"/>
      <c r="O129" s="79"/>
    </row>
    <row r="130" spans="1:15" x14ac:dyDescent="0.25">
      <c r="A130" s="258"/>
      <c r="B130" s="17" t="s">
        <v>45</v>
      </c>
      <c r="C130" s="22" t="s">
        <v>390</v>
      </c>
      <c r="D130" s="17" t="s">
        <v>391</v>
      </c>
      <c r="E130" s="17">
        <v>11</v>
      </c>
      <c r="F130" s="22" t="s">
        <v>392</v>
      </c>
      <c r="G130" s="17" t="s">
        <v>424</v>
      </c>
      <c r="H130" s="19">
        <v>48.6</v>
      </c>
      <c r="I130" s="19">
        <v>0</v>
      </c>
      <c r="J130" s="19" t="s">
        <v>35</v>
      </c>
      <c r="K130" s="19" t="s">
        <v>35</v>
      </c>
      <c r="L130" s="72">
        <v>4.0548999999999999</v>
      </c>
      <c r="M130" s="17" t="s">
        <v>428</v>
      </c>
      <c r="N130" s="135"/>
    </row>
    <row r="131" spans="1:15" s="2" customFormat="1" x14ac:dyDescent="0.25">
      <c r="A131" s="258"/>
      <c r="B131" s="46" t="s">
        <v>45</v>
      </c>
      <c r="C131" s="45" t="s">
        <v>412</v>
      </c>
      <c r="D131" s="46" t="s">
        <v>413</v>
      </c>
      <c r="E131" s="46">
        <v>33</v>
      </c>
      <c r="F131" s="136" t="s">
        <v>95</v>
      </c>
      <c r="G131" s="46" t="s">
        <v>99</v>
      </c>
      <c r="H131" s="47">
        <v>48.6</v>
      </c>
      <c r="I131" s="47">
        <v>0</v>
      </c>
      <c r="J131" s="47" t="s">
        <v>35</v>
      </c>
      <c r="K131" s="47" t="s">
        <v>35</v>
      </c>
      <c r="L131" s="75">
        <v>77.169499999999999</v>
      </c>
      <c r="M131" s="87" t="s">
        <v>440</v>
      </c>
      <c r="N131" s="136" t="s">
        <v>759</v>
      </c>
      <c r="O131" s="38"/>
    </row>
    <row r="132" spans="1:15" s="147" customFormat="1" ht="30" x14ac:dyDescent="0.2">
      <c r="A132" s="258"/>
      <c r="B132" s="87" t="s">
        <v>45</v>
      </c>
      <c r="C132" s="143" t="s">
        <v>418</v>
      </c>
      <c r="D132" s="87" t="s">
        <v>419</v>
      </c>
      <c r="E132" s="87">
        <v>33</v>
      </c>
      <c r="F132" s="143" t="s">
        <v>95</v>
      </c>
      <c r="G132" s="87" t="s">
        <v>99</v>
      </c>
      <c r="H132" s="145">
        <v>48.6</v>
      </c>
      <c r="I132" s="145">
        <v>0</v>
      </c>
      <c r="J132" s="145" t="s">
        <v>35</v>
      </c>
      <c r="K132" s="145" t="s">
        <v>35</v>
      </c>
      <c r="L132" s="142">
        <v>81.886700000000005</v>
      </c>
      <c r="M132" s="87" t="s">
        <v>442</v>
      </c>
      <c r="N132" s="144" t="s">
        <v>760</v>
      </c>
      <c r="O132" s="146"/>
    </row>
    <row r="133" spans="1:15" s="2" customFormat="1" x14ac:dyDescent="0.25">
      <c r="A133" s="258"/>
      <c r="B133" s="46" t="s">
        <v>649</v>
      </c>
      <c r="C133" s="45" t="s">
        <v>414</v>
      </c>
      <c r="D133" s="46" t="s">
        <v>415</v>
      </c>
      <c r="E133" s="46">
        <v>33</v>
      </c>
      <c r="F133" s="45" t="s">
        <v>95</v>
      </c>
      <c r="G133" s="46" t="s">
        <v>99</v>
      </c>
      <c r="H133" s="47">
        <v>48.6</v>
      </c>
      <c r="I133" s="47">
        <v>0</v>
      </c>
      <c r="J133" s="47" t="s">
        <v>35</v>
      </c>
      <c r="K133" s="47" t="s">
        <v>35</v>
      </c>
      <c r="L133" s="75">
        <v>45.098500000000001</v>
      </c>
      <c r="M133" s="46" t="s">
        <v>441</v>
      </c>
      <c r="N133" s="136" t="s">
        <v>761</v>
      </c>
      <c r="O133" s="38"/>
    </row>
    <row r="134" spans="1:15" x14ac:dyDescent="0.25">
      <c r="A134" s="258"/>
      <c r="B134" s="17" t="s">
        <v>651</v>
      </c>
      <c r="C134" s="22" t="s">
        <v>416</v>
      </c>
      <c r="D134" s="17" t="s">
        <v>417</v>
      </c>
      <c r="E134" s="17">
        <v>33</v>
      </c>
      <c r="F134" s="22" t="s">
        <v>95</v>
      </c>
      <c r="G134" s="17" t="s">
        <v>99</v>
      </c>
      <c r="H134" s="19">
        <v>48.6</v>
      </c>
      <c r="I134" s="19">
        <v>0</v>
      </c>
      <c r="J134" s="19" t="s">
        <v>35</v>
      </c>
      <c r="K134" s="19" t="s">
        <v>35</v>
      </c>
      <c r="L134" s="72">
        <v>71.665499999999994</v>
      </c>
      <c r="M134" s="17" t="s">
        <v>446</v>
      </c>
      <c r="N134" s="135"/>
    </row>
    <row r="135" spans="1:15" x14ac:dyDescent="0.25">
      <c r="A135" s="258"/>
      <c r="B135" s="17" t="s">
        <v>448</v>
      </c>
      <c r="C135" s="22" t="s">
        <v>420</v>
      </c>
      <c r="D135" s="17" t="s">
        <v>421</v>
      </c>
      <c r="E135" s="17">
        <v>11</v>
      </c>
      <c r="F135" s="22" t="s">
        <v>96</v>
      </c>
      <c r="G135" s="17" t="s">
        <v>102</v>
      </c>
      <c r="H135" s="19">
        <v>48.6</v>
      </c>
      <c r="I135" s="19">
        <v>0</v>
      </c>
      <c r="J135" s="19" t="s">
        <v>35</v>
      </c>
      <c r="K135" s="19" t="s">
        <v>35</v>
      </c>
      <c r="L135" s="72">
        <v>9.9041999999999994</v>
      </c>
      <c r="M135" s="17" t="s">
        <v>443</v>
      </c>
      <c r="N135" s="135"/>
    </row>
    <row r="136" spans="1:15" x14ac:dyDescent="0.25">
      <c r="A136" s="258"/>
      <c r="B136" s="17" t="s">
        <v>448</v>
      </c>
      <c r="C136" s="22" t="s">
        <v>422</v>
      </c>
      <c r="D136" s="17" t="s">
        <v>423</v>
      </c>
      <c r="E136" s="17">
        <v>11</v>
      </c>
      <c r="F136" s="22" t="s">
        <v>96</v>
      </c>
      <c r="G136" s="17" t="s">
        <v>102</v>
      </c>
      <c r="H136" s="19">
        <v>48.6</v>
      </c>
      <c r="I136" s="19">
        <v>0</v>
      </c>
      <c r="J136" s="19" t="s">
        <v>35</v>
      </c>
      <c r="K136" s="19" t="s">
        <v>35</v>
      </c>
      <c r="L136" s="72">
        <v>18.441099999999999</v>
      </c>
      <c r="M136" s="17" t="s">
        <v>444</v>
      </c>
      <c r="N136" s="135"/>
    </row>
    <row r="137" spans="1:15" x14ac:dyDescent="0.25">
      <c r="A137" s="256" t="str">
        <f>CONCATENATE("Stage 8: 48.5Hz " &amp; CHAR(10) &amp;"Total load: ",ROUND(SUM(L137:L152),0),"MW")</f>
        <v>Stage 8: 48.5Hz 
Total load: 916MW</v>
      </c>
      <c r="B137" s="7" t="s">
        <v>577</v>
      </c>
      <c r="C137" s="6" t="s">
        <v>449</v>
      </c>
      <c r="D137" s="7" t="s">
        <v>450</v>
      </c>
      <c r="E137" s="7">
        <v>11</v>
      </c>
      <c r="F137" s="6" t="s">
        <v>96</v>
      </c>
      <c r="G137" s="7" t="s">
        <v>102</v>
      </c>
      <c r="H137" s="8">
        <v>48.5</v>
      </c>
      <c r="I137" s="8">
        <v>0</v>
      </c>
      <c r="J137" s="8" t="s">
        <v>35</v>
      </c>
      <c r="K137" s="8" t="s">
        <v>35</v>
      </c>
      <c r="L137" s="73">
        <v>20.343399999999999</v>
      </c>
      <c r="M137" s="7" t="s">
        <v>478</v>
      </c>
      <c r="N137" s="134"/>
    </row>
    <row r="138" spans="1:15" x14ac:dyDescent="0.25">
      <c r="A138" s="256"/>
      <c r="B138" s="7" t="s">
        <v>650</v>
      </c>
      <c r="C138" s="6" t="s">
        <v>451</v>
      </c>
      <c r="D138" s="7" t="s">
        <v>452</v>
      </c>
      <c r="E138" s="7">
        <v>22</v>
      </c>
      <c r="F138" s="6" t="s">
        <v>94</v>
      </c>
      <c r="G138" s="7" t="s">
        <v>99</v>
      </c>
      <c r="H138" s="8">
        <v>48.5</v>
      </c>
      <c r="I138" s="8">
        <v>0</v>
      </c>
      <c r="J138" s="8" t="s">
        <v>35</v>
      </c>
      <c r="K138" s="8" t="s">
        <v>35</v>
      </c>
      <c r="L138" s="73">
        <v>34.6464</v>
      </c>
      <c r="M138" s="7" t="s">
        <v>479</v>
      </c>
      <c r="N138" s="134"/>
    </row>
    <row r="139" spans="1:15" x14ac:dyDescent="0.25">
      <c r="A139" s="256"/>
      <c r="B139" s="7" t="s">
        <v>448</v>
      </c>
      <c r="C139" s="6" t="s">
        <v>453</v>
      </c>
      <c r="D139" s="7" t="s">
        <v>454</v>
      </c>
      <c r="E139" s="7">
        <v>33</v>
      </c>
      <c r="F139" s="58" t="s">
        <v>95</v>
      </c>
      <c r="G139" s="7" t="s">
        <v>99</v>
      </c>
      <c r="H139" s="8">
        <v>48.5</v>
      </c>
      <c r="I139" s="8">
        <v>0</v>
      </c>
      <c r="J139" s="8" t="s">
        <v>35</v>
      </c>
      <c r="K139" s="8" t="s">
        <v>35</v>
      </c>
      <c r="L139" s="73">
        <v>17.764500000000002</v>
      </c>
      <c r="M139" s="88" t="s">
        <v>480</v>
      </c>
      <c r="N139" s="134"/>
    </row>
    <row r="140" spans="1:15" x14ac:dyDescent="0.25">
      <c r="A140" s="256"/>
      <c r="B140" s="7" t="s">
        <v>448</v>
      </c>
      <c r="C140" s="6" t="s">
        <v>455</v>
      </c>
      <c r="D140" s="7" t="s">
        <v>456</v>
      </c>
      <c r="E140" s="7">
        <v>33</v>
      </c>
      <c r="F140" s="58" t="s">
        <v>96</v>
      </c>
      <c r="G140" s="7" t="s">
        <v>102</v>
      </c>
      <c r="H140" s="8">
        <v>48.5</v>
      </c>
      <c r="I140" s="8">
        <v>0</v>
      </c>
      <c r="J140" s="8" t="s">
        <v>35</v>
      </c>
      <c r="K140" s="8" t="s">
        <v>35</v>
      </c>
      <c r="L140" s="73">
        <v>16.510000000000002</v>
      </c>
      <c r="M140" s="88" t="s">
        <v>481</v>
      </c>
      <c r="N140" s="134"/>
    </row>
    <row r="141" spans="1:15" x14ac:dyDescent="0.25">
      <c r="A141" s="256"/>
      <c r="B141" s="7" t="s">
        <v>655</v>
      </c>
      <c r="C141" s="6" t="s">
        <v>460</v>
      </c>
      <c r="D141" s="7" t="s">
        <v>83</v>
      </c>
      <c r="E141" s="7">
        <v>11</v>
      </c>
      <c r="F141" s="6" t="s">
        <v>461</v>
      </c>
      <c r="G141" s="7" t="s">
        <v>476</v>
      </c>
      <c r="H141" s="8">
        <v>48.5</v>
      </c>
      <c r="I141" s="8">
        <v>0</v>
      </c>
      <c r="J141" s="8" t="s">
        <v>35</v>
      </c>
      <c r="K141" s="8" t="s">
        <v>35</v>
      </c>
      <c r="L141" s="73">
        <v>20.203499999999998</v>
      </c>
      <c r="M141" s="7" t="s">
        <v>483</v>
      </c>
      <c r="N141" s="134"/>
    </row>
    <row r="142" spans="1:15" x14ac:dyDescent="0.25">
      <c r="A142" s="256"/>
      <c r="B142" s="7" t="s">
        <v>649</v>
      </c>
      <c r="C142" s="6" t="s">
        <v>462</v>
      </c>
      <c r="D142" s="7" t="s">
        <v>463</v>
      </c>
      <c r="E142" s="7">
        <v>11</v>
      </c>
      <c r="F142" s="6" t="s">
        <v>96</v>
      </c>
      <c r="G142" s="7" t="s">
        <v>102</v>
      </c>
      <c r="H142" s="8">
        <v>48.5</v>
      </c>
      <c r="I142" s="8">
        <v>0</v>
      </c>
      <c r="J142" s="8" t="s">
        <v>35</v>
      </c>
      <c r="K142" s="8" t="s">
        <v>35</v>
      </c>
      <c r="L142" s="73">
        <v>40.494399999999999</v>
      </c>
      <c r="M142" s="7" t="s">
        <v>484</v>
      </c>
      <c r="N142" s="134"/>
    </row>
    <row r="143" spans="1:15" x14ac:dyDescent="0.25">
      <c r="A143" s="256"/>
      <c r="B143" s="7" t="s">
        <v>649</v>
      </c>
      <c r="C143" s="6" t="s">
        <v>462</v>
      </c>
      <c r="D143" s="7" t="s">
        <v>463</v>
      </c>
      <c r="E143" s="7">
        <v>33</v>
      </c>
      <c r="F143" s="6" t="s">
        <v>97</v>
      </c>
      <c r="G143" s="7" t="s">
        <v>103</v>
      </c>
      <c r="H143" s="8">
        <v>48.5</v>
      </c>
      <c r="I143" s="8">
        <v>0</v>
      </c>
      <c r="J143" s="8" t="s">
        <v>35</v>
      </c>
      <c r="K143" s="8" t="s">
        <v>35</v>
      </c>
      <c r="L143" s="73">
        <v>99.606800000000007</v>
      </c>
      <c r="M143" s="7" t="s">
        <v>485</v>
      </c>
      <c r="N143" s="134"/>
    </row>
    <row r="144" spans="1:15" x14ac:dyDescent="0.25">
      <c r="A144" s="256"/>
      <c r="B144" s="7" t="s">
        <v>649</v>
      </c>
      <c r="C144" s="6" t="s">
        <v>464</v>
      </c>
      <c r="D144" s="7" t="s">
        <v>31</v>
      </c>
      <c r="E144" s="7">
        <v>33</v>
      </c>
      <c r="F144" s="6" t="s">
        <v>645</v>
      </c>
      <c r="G144" s="7" t="s">
        <v>99</v>
      </c>
      <c r="H144" s="8">
        <v>48.5</v>
      </c>
      <c r="I144" s="8">
        <v>0</v>
      </c>
      <c r="J144" s="8" t="s">
        <v>35</v>
      </c>
      <c r="K144" s="8" t="s">
        <v>35</v>
      </c>
      <c r="L144" s="73">
        <v>70.498400000000004</v>
      </c>
      <c r="M144" s="268" t="s">
        <v>491</v>
      </c>
      <c r="N144" s="260"/>
    </row>
    <row r="145" spans="1:15" x14ac:dyDescent="0.25">
      <c r="A145" s="256"/>
      <c r="B145" s="7" t="s">
        <v>649</v>
      </c>
      <c r="C145" s="6" t="s">
        <v>464</v>
      </c>
      <c r="D145" s="7" t="s">
        <v>31</v>
      </c>
      <c r="E145" s="7">
        <v>33</v>
      </c>
      <c r="F145" s="6" t="s">
        <v>98</v>
      </c>
      <c r="G145" s="7" t="s">
        <v>103</v>
      </c>
      <c r="H145" s="8">
        <v>48.5</v>
      </c>
      <c r="I145" s="8">
        <v>0</v>
      </c>
      <c r="J145" s="8" t="s">
        <v>35</v>
      </c>
      <c r="K145" s="8" t="s">
        <v>35</v>
      </c>
      <c r="L145" s="73">
        <v>99.120699999999999</v>
      </c>
      <c r="M145" s="268"/>
      <c r="N145" s="260"/>
    </row>
    <row r="146" spans="1:15" x14ac:dyDescent="0.25">
      <c r="A146" s="256"/>
      <c r="B146" s="7" t="s">
        <v>45</v>
      </c>
      <c r="C146" s="6" t="s">
        <v>473</v>
      </c>
      <c r="D146" s="7" t="s">
        <v>474</v>
      </c>
      <c r="E146" s="7">
        <v>33</v>
      </c>
      <c r="F146" s="6" t="s">
        <v>475</v>
      </c>
      <c r="G146" s="7" t="s">
        <v>477</v>
      </c>
      <c r="H146" s="8">
        <v>48.5</v>
      </c>
      <c r="I146" s="8">
        <v>0</v>
      </c>
      <c r="J146" s="8" t="s">
        <v>35</v>
      </c>
      <c r="K146" s="8" t="s">
        <v>35</v>
      </c>
      <c r="L146" s="73">
        <v>96.674700000000001</v>
      </c>
      <c r="M146" s="7" t="s">
        <v>489</v>
      </c>
      <c r="N146" s="134"/>
    </row>
    <row r="147" spans="1:15" x14ac:dyDescent="0.25">
      <c r="A147" s="256"/>
      <c r="B147" s="7" t="s">
        <v>45</v>
      </c>
      <c r="C147" s="6" t="s">
        <v>465</v>
      </c>
      <c r="D147" s="7" t="s">
        <v>466</v>
      </c>
      <c r="E147" s="7">
        <v>33</v>
      </c>
      <c r="F147" s="6" t="s">
        <v>97</v>
      </c>
      <c r="G147" s="7" t="s">
        <v>103</v>
      </c>
      <c r="H147" s="8">
        <v>48.5</v>
      </c>
      <c r="I147" s="8">
        <v>0</v>
      </c>
      <c r="J147" s="8" t="s">
        <v>35</v>
      </c>
      <c r="K147" s="8" t="s">
        <v>35</v>
      </c>
      <c r="L147" s="73">
        <v>127.7547</v>
      </c>
      <c r="M147" s="7" t="s">
        <v>492</v>
      </c>
      <c r="N147" s="134"/>
    </row>
    <row r="148" spans="1:15" s="2" customFormat="1" x14ac:dyDescent="0.25">
      <c r="A148" s="256"/>
      <c r="B148" s="35" t="s">
        <v>45</v>
      </c>
      <c r="C148" s="37" t="s">
        <v>469</v>
      </c>
      <c r="D148" s="35" t="s">
        <v>470</v>
      </c>
      <c r="E148" s="35">
        <v>33</v>
      </c>
      <c r="F148" s="37" t="s">
        <v>95</v>
      </c>
      <c r="G148" s="35" t="s">
        <v>99</v>
      </c>
      <c r="H148" s="36">
        <v>48.5</v>
      </c>
      <c r="I148" s="36">
        <v>0</v>
      </c>
      <c r="J148" s="36" t="s">
        <v>35</v>
      </c>
      <c r="K148" s="36" t="s">
        <v>35</v>
      </c>
      <c r="L148" s="74">
        <v>90.917599999999993</v>
      </c>
      <c r="M148" s="35" t="s">
        <v>487</v>
      </c>
      <c r="N148" s="90" t="s">
        <v>762</v>
      </c>
      <c r="O148" s="38"/>
    </row>
    <row r="149" spans="1:15" x14ac:dyDescent="0.25">
      <c r="A149" s="256"/>
      <c r="B149" s="7" t="s">
        <v>651</v>
      </c>
      <c r="C149" s="6" t="s">
        <v>467</v>
      </c>
      <c r="D149" s="7" t="s">
        <v>468</v>
      </c>
      <c r="E149" s="7">
        <v>33</v>
      </c>
      <c r="F149" s="6" t="s">
        <v>95</v>
      </c>
      <c r="G149" s="7" t="s">
        <v>99</v>
      </c>
      <c r="H149" s="8">
        <v>48.5</v>
      </c>
      <c r="I149" s="8">
        <v>0</v>
      </c>
      <c r="J149" s="8" t="s">
        <v>35</v>
      </c>
      <c r="K149" s="8" t="s">
        <v>35</v>
      </c>
      <c r="L149" s="73">
        <v>81.433099999999996</v>
      </c>
      <c r="M149" s="7" t="s">
        <v>486</v>
      </c>
      <c r="N149" s="134"/>
    </row>
    <row r="150" spans="1:15" x14ac:dyDescent="0.25">
      <c r="A150" s="256"/>
      <c r="B150" s="7" t="s">
        <v>195</v>
      </c>
      <c r="C150" s="6" t="s">
        <v>457</v>
      </c>
      <c r="D150" s="7" t="s">
        <v>458</v>
      </c>
      <c r="E150" s="7">
        <v>33</v>
      </c>
      <c r="F150" s="6" t="s">
        <v>459</v>
      </c>
      <c r="G150" s="7" t="s">
        <v>100</v>
      </c>
      <c r="H150" s="8">
        <v>48.5</v>
      </c>
      <c r="I150" s="8">
        <v>0</v>
      </c>
      <c r="J150" s="8" t="s">
        <v>35</v>
      </c>
      <c r="K150" s="8" t="s">
        <v>35</v>
      </c>
      <c r="L150" s="73">
        <v>16.6814</v>
      </c>
      <c r="M150" s="7" t="s">
        <v>482</v>
      </c>
      <c r="N150" s="134"/>
    </row>
    <row r="151" spans="1:15" x14ac:dyDescent="0.25">
      <c r="A151" s="256"/>
      <c r="B151" s="7" t="s">
        <v>195</v>
      </c>
      <c r="C151" s="6" t="s">
        <v>156</v>
      </c>
      <c r="D151" s="7" t="s">
        <v>157</v>
      </c>
      <c r="E151" s="7">
        <v>132</v>
      </c>
      <c r="F151" s="6" t="s">
        <v>490</v>
      </c>
      <c r="G151" s="7" t="s">
        <v>152</v>
      </c>
      <c r="H151" s="8">
        <v>48.5</v>
      </c>
      <c r="I151" s="8">
        <v>0</v>
      </c>
      <c r="J151" s="8" t="s">
        <v>35</v>
      </c>
      <c r="K151" s="8" t="s">
        <v>35</v>
      </c>
      <c r="L151" s="259">
        <v>83</v>
      </c>
      <c r="M151" s="268" t="s">
        <v>488</v>
      </c>
      <c r="N151" s="134"/>
    </row>
    <row r="152" spans="1:15" x14ac:dyDescent="0.25">
      <c r="A152" s="256"/>
      <c r="B152" s="7" t="s">
        <v>195</v>
      </c>
      <c r="C152" s="6" t="s">
        <v>471</v>
      </c>
      <c r="D152" s="7" t="s">
        <v>472</v>
      </c>
      <c r="E152" s="7">
        <v>132</v>
      </c>
      <c r="F152" s="6" t="s">
        <v>490</v>
      </c>
      <c r="G152" s="7" t="s">
        <v>39</v>
      </c>
      <c r="H152" s="8">
        <v>48.5</v>
      </c>
      <c r="I152" s="8">
        <v>0</v>
      </c>
      <c r="J152" s="8" t="s">
        <v>35</v>
      </c>
      <c r="K152" s="8" t="s">
        <v>35</v>
      </c>
      <c r="L152" s="259"/>
      <c r="M152" s="268"/>
      <c r="N152" s="134"/>
    </row>
    <row r="153" spans="1:15" x14ac:dyDescent="0.25">
      <c r="A153" s="258" t="str">
        <f>CONCATENATE("Stage 9: 48.4Hz " &amp; CHAR(10) &amp;"Total load: ",ROUND(SUM(L153:L164),0),"MW")</f>
        <v>Stage 9: 48.4Hz 
Total load: 858MW</v>
      </c>
      <c r="B153" s="17" t="s">
        <v>653</v>
      </c>
      <c r="C153" s="22" t="s">
        <v>228</v>
      </c>
      <c r="D153" s="17" t="s">
        <v>229</v>
      </c>
      <c r="E153" s="17">
        <v>132</v>
      </c>
      <c r="F153" s="22" t="s">
        <v>506</v>
      </c>
      <c r="G153" s="41" t="s">
        <v>503</v>
      </c>
      <c r="H153" s="19">
        <v>48.4</v>
      </c>
      <c r="I153" s="19">
        <v>0</v>
      </c>
      <c r="J153" s="19" t="s">
        <v>35</v>
      </c>
      <c r="K153" s="19" t="s">
        <v>35</v>
      </c>
      <c r="L153" s="263">
        <v>268</v>
      </c>
      <c r="M153" s="258" t="s">
        <v>511</v>
      </c>
      <c r="N153" s="267"/>
    </row>
    <row r="154" spans="1:15" x14ac:dyDescent="0.25">
      <c r="A154" s="258"/>
      <c r="B154" s="17" t="s">
        <v>653</v>
      </c>
      <c r="C154" s="22" t="s">
        <v>163</v>
      </c>
      <c r="D154" s="17" t="s">
        <v>164</v>
      </c>
      <c r="E154" s="17">
        <v>132</v>
      </c>
      <c r="F154" s="22" t="s">
        <v>507</v>
      </c>
      <c r="G154" s="17" t="s">
        <v>191</v>
      </c>
      <c r="H154" s="19">
        <v>48.4</v>
      </c>
      <c r="I154" s="19">
        <v>0</v>
      </c>
      <c r="J154" s="19" t="s">
        <v>35</v>
      </c>
      <c r="K154" s="19" t="s">
        <v>35</v>
      </c>
      <c r="L154" s="263"/>
      <c r="M154" s="258"/>
      <c r="N154" s="267"/>
    </row>
    <row r="155" spans="1:15" x14ac:dyDescent="0.25">
      <c r="A155" s="258"/>
      <c r="B155" s="17" t="s">
        <v>653</v>
      </c>
      <c r="C155" s="22" t="s">
        <v>657</v>
      </c>
      <c r="D155" s="17" t="s">
        <v>495</v>
      </c>
      <c r="E155" s="17">
        <v>132</v>
      </c>
      <c r="F155" s="22" t="s">
        <v>508</v>
      </c>
      <c r="G155" s="17" t="s">
        <v>191</v>
      </c>
      <c r="H155" s="19">
        <v>48.4</v>
      </c>
      <c r="I155" s="19">
        <v>0</v>
      </c>
      <c r="J155" s="19" t="s">
        <v>35</v>
      </c>
      <c r="K155" s="19" t="s">
        <v>35</v>
      </c>
      <c r="L155" s="263"/>
      <c r="M155" s="258"/>
      <c r="N155" s="267"/>
    </row>
    <row r="156" spans="1:15" x14ac:dyDescent="0.25">
      <c r="A156" s="258"/>
      <c r="B156" s="17" t="s">
        <v>653</v>
      </c>
      <c r="C156" s="22" t="s">
        <v>657</v>
      </c>
      <c r="D156" s="17" t="s">
        <v>495</v>
      </c>
      <c r="E156" s="17">
        <v>132</v>
      </c>
      <c r="F156" s="22" t="s">
        <v>509</v>
      </c>
      <c r="G156" s="17" t="s">
        <v>38</v>
      </c>
      <c r="H156" s="19">
        <v>48.4</v>
      </c>
      <c r="I156" s="19">
        <v>0</v>
      </c>
      <c r="J156" s="19" t="s">
        <v>35</v>
      </c>
      <c r="K156" s="19" t="s">
        <v>35</v>
      </c>
      <c r="L156" s="263"/>
      <c r="M156" s="258"/>
      <c r="N156" s="267"/>
    </row>
    <row r="157" spans="1:15" s="2" customFormat="1" x14ac:dyDescent="0.25">
      <c r="A157" s="258"/>
      <c r="B157" s="46" t="s">
        <v>448</v>
      </c>
      <c r="C157" s="45" t="s">
        <v>518</v>
      </c>
      <c r="D157" s="46" t="s">
        <v>519</v>
      </c>
      <c r="E157" s="46">
        <v>132</v>
      </c>
      <c r="F157" s="45" t="s">
        <v>517</v>
      </c>
      <c r="G157" s="46" t="s">
        <v>521</v>
      </c>
      <c r="H157" s="47">
        <v>48.4</v>
      </c>
      <c r="I157" s="47">
        <v>0</v>
      </c>
      <c r="J157" s="47" t="s">
        <v>35</v>
      </c>
      <c r="K157" s="47" t="s">
        <v>35</v>
      </c>
      <c r="L157" s="269">
        <v>153</v>
      </c>
      <c r="M157" s="265" t="s">
        <v>512</v>
      </c>
      <c r="N157" s="266" t="s">
        <v>522</v>
      </c>
      <c r="O157" s="38"/>
    </row>
    <row r="158" spans="1:15" x14ac:dyDescent="0.25">
      <c r="A158" s="258"/>
      <c r="B158" s="17" t="s">
        <v>448</v>
      </c>
      <c r="C158" s="22" t="s">
        <v>422</v>
      </c>
      <c r="D158" s="17" t="s">
        <v>423</v>
      </c>
      <c r="E158" s="17">
        <v>132</v>
      </c>
      <c r="F158" s="22" t="s">
        <v>520</v>
      </c>
      <c r="G158" s="17" t="s">
        <v>504</v>
      </c>
      <c r="H158" s="19">
        <v>48.4</v>
      </c>
      <c r="I158" s="19">
        <v>0</v>
      </c>
      <c r="J158" s="19" t="s">
        <v>35</v>
      </c>
      <c r="K158" s="19" t="s">
        <v>35</v>
      </c>
      <c r="L158" s="269"/>
      <c r="M158" s="265"/>
      <c r="N158" s="266"/>
    </row>
    <row r="159" spans="1:15" x14ac:dyDescent="0.25">
      <c r="A159" s="258"/>
      <c r="B159" s="17" t="s">
        <v>577</v>
      </c>
      <c r="C159" s="22" t="s">
        <v>496</v>
      </c>
      <c r="D159" s="17" t="s">
        <v>497</v>
      </c>
      <c r="E159" s="17">
        <v>132</v>
      </c>
      <c r="F159" s="22" t="s">
        <v>523</v>
      </c>
      <c r="G159" s="17" t="s">
        <v>505</v>
      </c>
      <c r="H159" s="19">
        <v>48.4</v>
      </c>
      <c r="I159" s="19">
        <v>0</v>
      </c>
      <c r="J159" s="19" t="s">
        <v>35</v>
      </c>
      <c r="K159" s="19" t="s">
        <v>35</v>
      </c>
      <c r="L159" s="263">
        <v>232</v>
      </c>
      <c r="M159" s="265" t="s">
        <v>513</v>
      </c>
      <c r="N159" s="267"/>
    </row>
    <row r="160" spans="1:15" x14ac:dyDescent="0.25">
      <c r="A160" s="258"/>
      <c r="B160" s="17" t="s">
        <v>650</v>
      </c>
      <c r="C160" s="22" t="s">
        <v>409</v>
      </c>
      <c r="D160" s="17" t="s">
        <v>410</v>
      </c>
      <c r="E160" s="17">
        <v>132</v>
      </c>
      <c r="F160" s="22" t="s">
        <v>523</v>
      </c>
      <c r="G160" s="17" t="s">
        <v>152</v>
      </c>
      <c r="H160" s="19">
        <v>48.4</v>
      </c>
      <c r="I160" s="19">
        <v>0</v>
      </c>
      <c r="J160" s="19" t="s">
        <v>35</v>
      </c>
      <c r="K160" s="19" t="s">
        <v>35</v>
      </c>
      <c r="L160" s="263"/>
      <c r="M160" s="265"/>
      <c r="N160" s="267"/>
    </row>
    <row r="161" spans="1:15" x14ac:dyDescent="0.25">
      <c r="A161" s="258"/>
      <c r="B161" s="17" t="s">
        <v>45</v>
      </c>
      <c r="C161" s="22" t="s">
        <v>498</v>
      </c>
      <c r="D161" s="17" t="s">
        <v>499</v>
      </c>
      <c r="E161" s="17">
        <v>33</v>
      </c>
      <c r="F161" s="22" t="s">
        <v>95</v>
      </c>
      <c r="G161" s="17" t="s">
        <v>99</v>
      </c>
      <c r="H161" s="19">
        <v>48.4</v>
      </c>
      <c r="I161" s="19">
        <v>0</v>
      </c>
      <c r="J161" s="19" t="s">
        <v>35</v>
      </c>
      <c r="K161" s="19" t="s">
        <v>35</v>
      </c>
      <c r="L161" s="72">
        <v>14.7682</v>
      </c>
      <c r="M161" s="17" t="s">
        <v>514</v>
      </c>
      <c r="N161" s="135"/>
    </row>
    <row r="162" spans="1:15" x14ac:dyDescent="0.25">
      <c r="A162" s="258"/>
      <c r="B162" s="17" t="s">
        <v>651</v>
      </c>
      <c r="C162" s="22" t="s">
        <v>493</v>
      </c>
      <c r="D162" s="17" t="s">
        <v>494</v>
      </c>
      <c r="E162" s="17">
        <v>33</v>
      </c>
      <c r="F162" s="22" t="s">
        <v>95</v>
      </c>
      <c r="G162" s="17" t="s">
        <v>99</v>
      </c>
      <c r="H162" s="19">
        <v>48.4</v>
      </c>
      <c r="I162" s="19">
        <v>0</v>
      </c>
      <c r="J162" s="19" t="s">
        <v>35</v>
      </c>
      <c r="K162" s="19" t="s">
        <v>35</v>
      </c>
      <c r="L162" s="72">
        <v>61.635300000000001</v>
      </c>
      <c r="M162" s="17" t="s">
        <v>510</v>
      </c>
      <c r="N162" s="135"/>
    </row>
    <row r="163" spans="1:15" x14ac:dyDescent="0.25">
      <c r="A163" s="258"/>
      <c r="B163" s="17" t="s">
        <v>651</v>
      </c>
      <c r="C163" s="22" t="s">
        <v>543</v>
      </c>
      <c r="D163" s="17" t="s">
        <v>500</v>
      </c>
      <c r="E163" s="17">
        <v>33</v>
      </c>
      <c r="F163" s="23" t="s">
        <v>95</v>
      </c>
      <c r="G163" s="17" t="s">
        <v>99</v>
      </c>
      <c r="H163" s="19">
        <v>48.4</v>
      </c>
      <c r="I163" s="19">
        <v>0</v>
      </c>
      <c r="J163" s="19" t="s">
        <v>35</v>
      </c>
      <c r="K163" s="19" t="s">
        <v>35</v>
      </c>
      <c r="L163" s="72">
        <v>68.786900000000003</v>
      </c>
      <c r="M163" s="64" t="s">
        <v>516</v>
      </c>
      <c r="N163" s="135"/>
    </row>
    <row r="164" spans="1:15" x14ac:dyDescent="0.25">
      <c r="A164" s="258"/>
      <c r="B164" s="17" t="s">
        <v>649</v>
      </c>
      <c r="C164" s="22" t="s">
        <v>501</v>
      </c>
      <c r="D164" s="17" t="s">
        <v>502</v>
      </c>
      <c r="E164" s="17">
        <v>33</v>
      </c>
      <c r="F164" s="22" t="s">
        <v>95</v>
      </c>
      <c r="G164" s="17" t="s">
        <v>99</v>
      </c>
      <c r="H164" s="19">
        <v>48.4</v>
      </c>
      <c r="I164" s="19">
        <v>0</v>
      </c>
      <c r="J164" s="19" t="s">
        <v>35</v>
      </c>
      <c r="K164" s="19" t="s">
        <v>35</v>
      </c>
      <c r="L164" s="72">
        <v>60.301600000000001</v>
      </c>
      <c r="M164" s="17" t="s">
        <v>515</v>
      </c>
      <c r="N164" s="135"/>
    </row>
    <row r="165" spans="1:15" x14ac:dyDescent="0.25">
      <c r="A165" s="256" t="str">
        <f>CONCATENATE("Stage 10: 48.3Hz " &amp; CHAR(10) &amp;"Total load: ",ROUND(SUM(L165:L178),0),"MW")</f>
        <v>Stage 10: 48.3Hz 
Total load: 852MW</v>
      </c>
      <c r="B165" s="7" t="s">
        <v>650</v>
      </c>
      <c r="C165" s="6" t="s">
        <v>524</v>
      </c>
      <c r="D165" s="7" t="s">
        <v>525</v>
      </c>
      <c r="E165" s="7">
        <v>22</v>
      </c>
      <c r="F165" s="6" t="s">
        <v>526</v>
      </c>
      <c r="G165" s="7" t="s">
        <v>477</v>
      </c>
      <c r="H165" s="8">
        <v>48.3</v>
      </c>
      <c r="I165" s="8">
        <v>0</v>
      </c>
      <c r="J165" s="8">
        <v>49.3</v>
      </c>
      <c r="K165" s="8">
        <v>120</v>
      </c>
      <c r="L165" s="76">
        <v>35.934699999999999</v>
      </c>
      <c r="M165" s="7" t="s">
        <v>558</v>
      </c>
      <c r="N165" s="134"/>
    </row>
    <row r="166" spans="1:15" x14ac:dyDescent="0.25">
      <c r="A166" s="256"/>
      <c r="B166" s="7" t="s">
        <v>577</v>
      </c>
      <c r="C166" s="6" t="s">
        <v>527</v>
      </c>
      <c r="D166" s="7" t="s">
        <v>528</v>
      </c>
      <c r="E166" s="7">
        <v>132</v>
      </c>
      <c r="F166" s="6" t="s">
        <v>555</v>
      </c>
      <c r="G166" s="7" t="s">
        <v>152</v>
      </c>
      <c r="H166" s="8">
        <v>48.3</v>
      </c>
      <c r="I166" s="8">
        <v>0</v>
      </c>
      <c r="J166" s="8">
        <v>49.3</v>
      </c>
      <c r="K166" s="8">
        <v>120</v>
      </c>
      <c r="L166" s="259">
        <v>41</v>
      </c>
      <c r="M166" s="268" t="s">
        <v>559</v>
      </c>
      <c r="N166" s="260"/>
    </row>
    <row r="167" spans="1:15" x14ac:dyDescent="0.25">
      <c r="A167" s="256"/>
      <c r="B167" s="7" t="s">
        <v>577</v>
      </c>
      <c r="C167" s="6" t="s">
        <v>529</v>
      </c>
      <c r="D167" s="7" t="s">
        <v>530</v>
      </c>
      <c r="E167" s="7">
        <v>132</v>
      </c>
      <c r="F167" s="6" t="s">
        <v>556</v>
      </c>
      <c r="G167" s="7" t="s">
        <v>44</v>
      </c>
      <c r="H167" s="8">
        <v>48.3</v>
      </c>
      <c r="I167" s="8">
        <v>0</v>
      </c>
      <c r="J167" s="8">
        <v>49.3</v>
      </c>
      <c r="K167" s="8">
        <v>120</v>
      </c>
      <c r="L167" s="259"/>
      <c r="M167" s="268"/>
      <c r="N167" s="260"/>
    </row>
    <row r="168" spans="1:15" x14ac:dyDescent="0.25">
      <c r="A168" s="256"/>
      <c r="B168" s="7" t="s">
        <v>577</v>
      </c>
      <c r="C168" s="6" t="s">
        <v>529</v>
      </c>
      <c r="D168" s="7" t="s">
        <v>530</v>
      </c>
      <c r="E168" s="7">
        <v>11</v>
      </c>
      <c r="F168" s="6" t="s">
        <v>96</v>
      </c>
      <c r="G168" s="7" t="s">
        <v>102</v>
      </c>
      <c r="H168" s="8">
        <v>48.3</v>
      </c>
      <c r="I168" s="8">
        <v>0</v>
      </c>
      <c r="J168" s="8">
        <v>49.3</v>
      </c>
      <c r="K168" s="8">
        <v>120</v>
      </c>
      <c r="L168" s="76" t="s">
        <v>692</v>
      </c>
      <c r="M168" s="7" t="s">
        <v>560</v>
      </c>
      <c r="N168" s="90"/>
    </row>
    <row r="169" spans="1:15" x14ac:dyDescent="0.25">
      <c r="A169" s="256"/>
      <c r="B169" s="7" t="s">
        <v>45</v>
      </c>
      <c r="C169" s="6" t="s">
        <v>533</v>
      </c>
      <c r="D169" s="7" t="s">
        <v>534</v>
      </c>
      <c r="E169" s="7">
        <v>33</v>
      </c>
      <c r="F169" s="6" t="s">
        <v>97</v>
      </c>
      <c r="G169" s="7" t="s">
        <v>103</v>
      </c>
      <c r="H169" s="8">
        <v>48.3</v>
      </c>
      <c r="I169" s="8">
        <v>0</v>
      </c>
      <c r="J169" s="8">
        <v>49.3</v>
      </c>
      <c r="K169" s="8">
        <v>120</v>
      </c>
      <c r="L169" s="76">
        <v>100.9312</v>
      </c>
      <c r="M169" s="7" t="s">
        <v>562</v>
      </c>
      <c r="N169" s="134"/>
    </row>
    <row r="170" spans="1:15" x14ac:dyDescent="0.25">
      <c r="A170" s="256"/>
      <c r="B170" s="7" t="s">
        <v>45</v>
      </c>
      <c r="C170" s="6" t="s">
        <v>535</v>
      </c>
      <c r="D170" s="7" t="s">
        <v>536</v>
      </c>
      <c r="E170" s="7">
        <v>33</v>
      </c>
      <c r="F170" s="6" t="s">
        <v>646</v>
      </c>
      <c r="G170" s="7" t="s">
        <v>647</v>
      </c>
      <c r="H170" s="8">
        <v>48.3</v>
      </c>
      <c r="I170" s="8">
        <v>0</v>
      </c>
      <c r="J170" s="8">
        <v>49.3</v>
      </c>
      <c r="K170" s="8">
        <v>120</v>
      </c>
      <c r="L170" s="76">
        <v>115.40560000000001</v>
      </c>
      <c r="M170" s="7" t="s">
        <v>648</v>
      </c>
      <c r="N170" s="134"/>
    </row>
    <row r="171" spans="1:15" x14ac:dyDescent="0.25">
      <c r="A171" s="256"/>
      <c r="B171" s="7" t="s">
        <v>654</v>
      </c>
      <c r="C171" s="6" t="s">
        <v>537</v>
      </c>
      <c r="D171" s="7" t="s">
        <v>538</v>
      </c>
      <c r="E171" s="7">
        <v>11</v>
      </c>
      <c r="F171" s="6" t="s">
        <v>96</v>
      </c>
      <c r="G171" s="7" t="s">
        <v>102</v>
      </c>
      <c r="H171" s="8">
        <v>48.3</v>
      </c>
      <c r="I171" s="8">
        <v>0</v>
      </c>
      <c r="J171" s="8">
        <v>49.3</v>
      </c>
      <c r="K171" s="8">
        <v>120</v>
      </c>
      <c r="L171" s="76">
        <v>21.521000000000001</v>
      </c>
      <c r="M171" s="7" t="s">
        <v>563</v>
      </c>
      <c r="N171" s="134"/>
    </row>
    <row r="172" spans="1:15" x14ac:dyDescent="0.25">
      <c r="A172" s="256"/>
      <c r="B172" s="7" t="s">
        <v>655</v>
      </c>
      <c r="C172" s="6" t="s">
        <v>539</v>
      </c>
      <c r="D172" s="7" t="s">
        <v>540</v>
      </c>
      <c r="E172" s="7">
        <v>132</v>
      </c>
      <c r="F172" s="6" t="s">
        <v>557</v>
      </c>
      <c r="G172" s="7">
        <v>705</v>
      </c>
      <c r="H172" s="8">
        <v>48.3</v>
      </c>
      <c r="I172" s="8">
        <v>0</v>
      </c>
      <c r="J172" s="8">
        <v>49.3</v>
      </c>
      <c r="K172" s="8">
        <v>120</v>
      </c>
      <c r="L172" s="259">
        <v>96</v>
      </c>
      <c r="M172" s="261" t="s">
        <v>566</v>
      </c>
      <c r="N172" s="260"/>
    </row>
    <row r="173" spans="1:15" x14ac:dyDescent="0.25">
      <c r="A173" s="256"/>
      <c r="B173" s="7" t="s">
        <v>655</v>
      </c>
      <c r="C173" s="6" t="s">
        <v>541</v>
      </c>
      <c r="D173" s="7" t="s">
        <v>542</v>
      </c>
      <c r="E173" s="7">
        <v>132</v>
      </c>
      <c r="F173" s="6" t="s">
        <v>564</v>
      </c>
      <c r="G173" s="7" t="s">
        <v>152</v>
      </c>
      <c r="H173" s="8">
        <v>48.3</v>
      </c>
      <c r="I173" s="8">
        <v>0</v>
      </c>
      <c r="J173" s="8">
        <v>49.3</v>
      </c>
      <c r="K173" s="8">
        <v>120</v>
      </c>
      <c r="L173" s="259"/>
      <c r="M173" s="261"/>
      <c r="N173" s="260"/>
    </row>
    <row r="174" spans="1:15" x14ac:dyDescent="0.25">
      <c r="A174" s="256"/>
      <c r="B174" s="7" t="s">
        <v>651</v>
      </c>
      <c r="C174" s="6" t="s">
        <v>531</v>
      </c>
      <c r="D174" s="7" t="s">
        <v>532</v>
      </c>
      <c r="E174" s="7">
        <v>33</v>
      </c>
      <c r="F174" s="6" t="s">
        <v>148</v>
      </c>
      <c r="G174" s="7" t="s">
        <v>544</v>
      </c>
      <c r="H174" s="8">
        <v>48.3</v>
      </c>
      <c r="I174" s="8">
        <v>0</v>
      </c>
      <c r="J174" s="8">
        <v>49.3</v>
      </c>
      <c r="K174" s="8">
        <v>120</v>
      </c>
      <c r="L174" s="76">
        <v>91.951700000000002</v>
      </c>
      <c r="M174" s="7" t="s">
        <v>561</v>
      </c>
      <c r="N174" s="134"/>
    </row>
    <row r="175" spans="1:15" x14ac:dyDescent="0.25">
      <c r="A175" s="256"/>
      <c r="B175" s="7" t="s">
        <v>651</v>
      </c>
      <c r="C175" s="6" t="s">
        <v>553</v>
      </c>
      <c r="D175" s="7" t="s">
        <v>554</v>
      </c>
      <c r="E175" s="7">
        <v>33</v>
      </c>
      <c r="F175" s="6" t="s">
        <v>148</v>
      </c>
      <c r="G175" s="7" t="s">
        <v>544</v>
      </c>
      <c r="H175" s="8">
        <v>48.3</v>
      </c>
      <c r="I175" s="8">
        <v>0</v>
      </c>
      <c r="J175" s="8">
        <v>49.3</v>
      </c>
      <c r="K175" s="8">
        <v>120</v>
      </c>
      <c r="L175" s="76">
        <v>148.42449999999999</v>
      </c>
      <c r="M175" s="71" t="s">
        <v>694</v>
      </c>
      <c r="N175" s="134"/>
    </row>
    <row r="176" spans="1:15" s="147" customFormat="1" ht="30" x14ac:dyDescent="0.2">
      <c r="A176" s="256"/>
      <c r="B176" s="89" t="s">
        <v>651</v>
      </c>
      <c r="C176" s="148" t="s">
        <v>545</v>
      </c>
      <c r="D176" s="89" t="s">
        <v>546</v>
      </c>
      <c r="E176" s="89">
        <v>33</v>
      </c>
      <c r="F176" s="148" t="s">
        <v>95</v>
      </c>
      <c r="G176" s="89" t="s">
        <v>99</v>
      </c>
      <c r="H176" s="149">
        <v>48.3</v>
      </c>
      <c r="I176" s="149">
        <v>0</v>
      </c>
      <c r="J176" s="149">
        <v>49.3</v>
      </c>
      <c r="K176" s="149">
        <v>120</v>
      </c>
      <c r="L176" s="77">
        <v>57.145600000000002</v>
      </c>
      <c r="M176" s="151" t="s">
        <v>693</v>
      </c>
      <c r="N176" s="150" t="s">
        <v>763</v>
      </c>
      <c r="O176" s="146"/>
    </row>
    <row r="177" spans="1:15" x14ac:dyDescent="0.25">
      <c r="A177" s="256"/>
      <c r="B177" s="7" t="s">
        <v>649</v>
      </c>
      <c r="C177" s="6" t="s">
        <v>547</v>
      </c>
      <c r="D177" s="7" t="s">
        <v>548</v>
      </c>
      <c r="E177" s="7">
        <v>132</v>
      </c>
      <c r="F177" s="6" t="s">
        <v>549</v>
      </c>
      <c r="G177" s="7" t="s">
        <v>44</v>
      </c>
      <c r="H177" s="8">
        <v>48.3</v>
      </c>
      <c r="I177" s="8">
        <v>0</v>
      </c>
      <c r="J177" s="8">
        <v>49.3</v>
      </c>
      <c r="K177" s="8">
        <v>120</v>
      </c>
      <c r="L177" s="259">
        <v>144</v>
      </c>
      <c r="M177" s="261" t="s">
        <v>565</v>
      </c>
      <c r="N177" s="262" t="s">
        <v>764</v>
      </c>
    </row>
    <row r="178" spans="1:15" s="2" customFormat="1" x14ac:dyDescent="0.25">
      <c r="A178" s="256"/>
      <c r="B178" s="35" t="s">
        <v>649</v>
      </c>
      <c r="C178" s="37" t="s">
        <v>550</v>
      </c>
      <c r="D178" s="35" t="s">
        <v>551</v>
      </c>
      <c r="E178" s="35">
        <v>132</v>
      </c>
      <c r="F178" s="37" t="s">
        <v>552</v>
      </c>
      <c r="G178" s="35" t="s">
        <v>44</v>
      </c>
      <c r="H178" s="36">
        <v>48.3</v>
      </c>
      <c r="I178" s="36">
        <v>0</v>
      </c>
      <c r="J178" s="36">
        <v>49.3</v>
      </c>
      <c r="K178" s="36">
        <v>120</v>
      </c>
      <c r="L178" s="259"/>
      <c r="M178" s="261"/>
      <c r="N178" s="262"/>
      <c r="O178" s="38"/>
    </row>
    <row r="179" spans="1:15" x14ac:dyDescent="0.25">
      <c r="A179" s="257" t="str">
        <f>CONCATENATE("Stage 11: 48.2Hz " &amp; CHAR(10) &amp;"Total load: ",ROUND(SUM(L179:L188),0),"MW")</f>
        <v>Stage 11: 48.2Hz 
Total load: 688MW</v>
      </c>
      <c r="B179" s="17" t="s">
        <v>649</v>
      </c>
      <c r="C179" s="22" t="s">
        <v>567</v>
      </c>
      <c r="D179" s="17" t="s">
        <v>568</v>
      </c>
      <c r="E179" s="17">
        <v>33</v>
      </c>
      <c r="F179" s="22" t="s">
        <v>95</v>
      </c>
      <c r="G179" s="17" t="s">
        <v>99</v>
      </c>
      <c r="H179" s="19">
        <v>48.2</v>
      </c>
      <c r="I179" s="19">
        <v>0</v>
      </c>
      <c r="J179" s="19">
        <v>49.3</v>
      </c>
      <c r="K179" s="19">
        <v>90</v>
      </c>
      <c r="L179" s="72">
        <v>80.565700000000007</v>
      </c>
      <c r="M179" s="17" t="s">
        <v>582</v>
      </c>
      <c r="N179" s="135"/>
    </row>
    <row r="180" spans="1:15" x14ac:dyDescent="0.25">
      <c r="A180" s="258"/>
      <c r="B180" s="17" t="s">
        <v>654</v>
      </c>
      <c r="C180" s="22" t="s">
        <v>356</v>
      </c>
      <c r="D180" s="17" t="s">
        <v>357</v>
      </c>
      <c r="E180" s="17">
        <v>132</v>
      </c>
      <c r="F180" s="22" t="s">
        <v>579</v>
      </c>
      <c r="G180" s="17" t="s">
        <v>39</v>
      </c>
      <c r="H180" s="19">
        <v>48.2</v>
      </c>
      <c r="I180" s="19">
        <v>0</v>
      </c>
      <c r="J180" s="19">
        <v>49.3</v>
      </c>
      <c r="K180" s="19">
        <v>90</v>
      </c>
      <c r="L180" s="263">
        <v>285</v>
      </c>
      <c r="M180" s="258" t="s">
        <v>776</v>
      </c>
      <c r="N180" s="135"/>
    </row>
    <row r="181" spans="1:15" x14ac:dyDescent="0.25">
      <c r="A181" s="258"/>
      <c r="B181" s="17" t="s">
        <v>654</v>
      </c>
      <c r="C181" s="22" t="s">
        <v>232</v>
      </c>
      <c r="D181" s="17" t="s">
        <v>233</v>
      </c>
      <c r="E181" s="17">
        <v>132</v>
      </c>
      <c r="F181" s="22" t="s">
        <v>580</v>
      </c>
      <c r="G181" s="17" t="s">
        <v>152</v>
      </c>
      <c r="H181" s="19">
        <v>48.2</v>
      </c>
      <c r="I181" s="19">
        <v>0</v>
      </c>
      <c r="J181" s="19">
        <v>49.3</v>
      </c>
      <c r="K181" s="19">
        <v>90</v>
      </c>
      <c r="L181" s="263"/>
      <c r="M181" s="258"/>
      <c r="N181" s="135"/>
    </row>
    <row r="182" spans="1:15" x14ac:dyDescent="0.25">
      <c r="A182" s="258"/>
      <c r="B182" s="17" t="s">
        <v>651</v>
      </c>
      <c r="C182" s="22" t="s">
        <v>571</v>
      </c>
      <c r="D182" s="17" t="s">
        <v>572</v>
      </c>
      <c r="E182" s="17">
        <v>132</v>
      </c>
      <c r="F182" s="22" t="s">
        <v>581</v>
      </c>
      <c r="G182" s="17" t="s">
        <v>44</v>
      </c>
      <c r="H182" s="19">
        <v>48.2</v>
      </c>
      <c r="I182" s="19">
        <v>0</v>
      </c>
      <c r="J182" s="19">
        <v>49.3</v>
      </c>
      <c r="K182" s="19">
        <v>90</v>
      </c>
      <c r="L182" s="263"/>
      <c r="M182" s="258"/>
      <c r="N182" s="135"/>
    </row>
    <row r="183" spans="1:15" x14ac:dyDescent="0.25">
      <c r="A183" s="258"/>
      <c r="B183" s="17" t="s">
        <v>651</v>
      </c>
      <c r="C183" s="22" t="s">
        <v>121</v>
      </c>
      <c r="D183" s="17" t="s">
        <v>122</v>
      </c>
      <c r="E183" s="17">
        <v>132</v>
      </c>
      <c r="F183" s="22" t="s">
        <v>578</v>
      </c>
      <c r="G183" s="17" t="s">
        <v>152</v>
      </c>
      <c r="H183" s="19">
        <v>48.2</v>
      </c>
      <c r="I183" s="19">
        <v>0</v>
      </c>
      <c r="J183" s="19">
        <v>49.3</v>
      </c>
      <c r="K183" s="19">
        <v>90</v>
      </c>
      <c r="L183" s="263"/>
      <c r="M183" s="258"/>
      <c r="N183" s="135"/>
    </row>
    <row r="184" spans="1:15" x14ac:dyDescent="0.25">
      <c r="A184" s="258"/>
      <c r="B184" s="17" t="s">
        <v>651</v>
      </c>
      <c r="C184" s="22" t="s">
        <v>569</v>
      </c>
      <c r="D184" s="17" t="s">
        <v>570</v>
      </c>
      <c r="E184" s="17">
        <v>33</v>
      </c>
      <c r="F184" s="22" t="s">
        <v>95</v>
      </c>
      <c r="G184" s="17" t="s">
        <v>99</v>
      </c>
      <c r="H184" s="19">
        <v>48.2</v>
      </c>
      <c r="I184" s="19">
        <v>0</v>
      </c>
      <c r="J184" s="19">
        <v>49.3</v>
      </c>
      <c r="K184" s="19">
        <v>90</v>
      </c>
      <c r="L184" s="72">
        <v>51.731200000000001</v>
      </c>
      <c r="M184" s="17" t="s">
        <v>583</v>
      </c>
      <c r="N184" s="135"/>
    </row>
    <row r="185" spans="1:15" s="2" customFormat="1" x14ac:dyDescent="0.25">
      <c r="A185" s="258"/>
      <c r="B185" s="46" t="s">
        <v>650</v>
      </c>
      <c r="C185" s="45" t="s">
        <v>125</v>
      </c>
      <c r="D185" s="46" t="s">
        <v>126</v>
      </c>
      <c r="E185" s="46">
        <v>132</v>
      </c>
      <c r="F185" s="45" t="s">
        <v>589</v>
      </c>
      <c r="G185" s="46" t="s">
        <v>38</v>
      </c>
      <c r="H185" s="47">
        <v>48.2</v>
      </c>
      <c r="I185" s="47">
        <v>0</v>
      </c>
      <c r="J185" s="47">
        <v>49.3</v>
      </c>
      <c r="K185" s="47">
        <v>90</v>
      </c>
      <c r="L185" s="264">
        <v>152</v>
      </c>
      <c r="M185" s="265" t="s">
        <v>584</v>
      </c>
      <c r="N185" s="266" t="s">
        <v>590</v>
      </c>
      <c r="O185" s="38"/>
    </row>
    <row r="186" spans="1:15" x14ac:dyDescent="0.25">
      <c r="A186" s="258"/>
      <c r="B186" s="17" t="s">
        <v>650</v>
      </c>
      <c r="C186" s="22" t="s">
        <v>573</v>
      </c>
      <c r="D186" s="17" t="s">
        <v>574</v>
      </c>
      <c r="E186" s="17">
        <v>132</v>
      </c>
      <c r="F186" s="22" t="s">
        <v>588</v>
      </c>
      <c r="G186" s="17" t="s">
        <v>39</v>
      </c>
      <c r="H186" s="19">
        <v>48.2</v>
      </c>
      <c r="I186" s="19">
        <v>0</v>
      </c>
      <c r="J186" s="19">
        <v>49.3</v>
      </c>
      <c r="K186" s="19">
        <v>90</v>
      </c>
      <c r="L186" s="264"/>
      <c r="M186" s="265"/>
      <c r="N186" s="266"/>
    </row>
    <row r="187" spans="1:15" x14ac:dyDescent="0.25">
      <c r="A187" s="258"/>
      <c r="B187" s="17" t="s">
        <v>577</v>
      </c>
      <c r="C187" s="22" t="s">
        <v>575</v>
      </c>
      <c r="D187" s="17" t="s">
        <v>576</v>
      </c>
      <c r="E187" s="17">
        <v>11</v>
      </c>
      <c r="F187" s="22" t="s">
        <v>96</v>
      </c>
      <c r="G187" s="17" t="s">
        <v>102</v>
      </c>
      <c r="H187" s="19">
        <v>48.2</v>
      </c>
      <c r="I187" s="19">
        <v>0</v>
      </c>
      <c r="J187" s="19">
        <v>49.3</v>
      </c>
      <c r="K187" s="19">
        <v>90</v>
      </c>
      <c r="L187" s="78">
        <v>7.3648999999999996</v>
      </c>
      <c r="M187" s="17" t="s">
        <v>585</v>
      </c>
      <c r="N187" s="135"/>
    </row>
    <row r="188" spans="1:15" x14ac:dyDescent="0.25">
      <c r="A188" s="258"/>
      <c r="B188" s="17" t="s">
        <v>577</v>
      </c>
      <c r="C188" s="22" t="s">
        <v>577</v>
      </c>
      <c r="D188" s="17" t="s">
        <v>450</v>
      </c>
      <c r="E188" s="17">
        <v>132</v>
      </c>
      <c r="F188" s="22" t="s">
        <v>586</v>
      </c>
      <c r="G188" s="17" t="s">
        <v>44</v>
      </c>
      <c r="H188" s="19">
        <v>48.2</v>
      </c>
      <c r="I188" s="19">
        <v>0</v>
      </c>
      <c r="J188" s="19">
        <v>49.3</v>
      </c>
      <c r="K188" s="19">
        <v>90</v>
      </c>
      <c r="L188" s="78">
        <v>111</v>
      </c>
      <c r="M188" s="17" t="s">
        <v>587</v>
      </c>
      <c r="N188" s="135"/>
    </row>
    <row r="189" spans="1:15" x14ac:dyDescent="0.25">
      <c r="A189" s="256" t="str">
        <f>CONCATENATE("Stage 12: 48.1Hz " &amp; CHAR(10) &amp;"Total load: ",ROUND(SUM(L189:L199),0),"MW")</f>
        <v>Stage 12: 48.1Hz 
Total load: 466MW</v>
      </c>
      <c r="B189" s="7" t="s">
        <v>655</v>
      </c>
      <c r="C189" s="6" t="s">
        <v>407</v>
      </c>
      <c r="D189" s="7" t="s">
        <v>408</v>
      </c>
      <c r="E189" s="7">
        <v>11</v>
      </c>
      <c r="F189" s="6" t="s">
        <v>96</v>
      </c>
      <c r="G189" s="7" t="s">
        <v>102</v>
      </c>
      <c r="H189" s="8">
        <v>48.1</v>
      </c>
      <c r="I189" s="8">
        <v>0</v>
      </c>
      <c r="J189" s="8">
        <v>49.3</v>
      </c>
      <c r="K189" s="8">
        <v>60</v>
      </c>
      <c r="L189" s="76">
        <v>33.894399999999997</v>
      </c>
      <c r="M189" s="7" t="s">
        <v>609</v>
      </c>
      <c r="N189" s="134"/>
    </row>
    <row r="190" spans="1:15" x14ac:dyDescent="0.25">
      <c r="A190" s="256"/>
      <c r="B190" s="7" t="s">
        <v>107</v>
      </c>
      <c r="C190" s="6" t="s">
        <v>591</v>
      </c>
      <c r="D190" s="7" t="s">
        <v>592</v>
      </c>
      <c r="E190" s="7">
        <v>33</v>
      </c>
      <c r="F190" s="6" t="s">
        <v>97</v>
      </c>
      <c r="G190" s="7" t="s">
        <v>608</v>
      </c>
      <c r="H190" s="8">
        <v>48.1</v>
      </c>
      <c r="I190" s="8">
        <v>0</v>
      </c>
      <c r="J190" s="8">
        <v>49.3</v>
      </c>
      <c r="K190" s="8">
        <v>60</v>
      </c>
      <c r="L190" s="76">
        <v>30.6965</v>
      </c>
      <c r="M190" s="7" t="s">
        <v>610</v>
      </c>
      <c r="N190" s="134"/>
    </row>
    <row r="191" spans="1:15" x14ac:dyDescent="0.25">
      <c r="A191" s="256"/>
      <c r="B191" s="7" t="s">
        <v>45</v>
      </c>
      <c r="C191" s="6" t="s">
        <v>593</v>
      </c>
      <c r="D191" s="7" t="s">
        <v>594</v>
      </c>
      <c r="E191" s="7">
        <v>33</v>
      </c>
      <c r="F191" s="6" t="s">
        <v>97</v>
      </c>
      <c r="G191" s="10" t="s">
        <v>103</v>
      </c>
      <c r="H191" s="8">
        <v>48.1</v>
      </c>
      <c r="I191" s="8">
        <v>0</v>
      </c>
      <c r="J191" s="8">
        <v>49.3</v>
      </c>
      <c r="K191" s="8">
        <v>60</v>
      </c>
      <c r="L191" s="76">
        <v>36.762500000000003</v>
      </c>
      <c r="M191" s="7" t="s">
        <v>611</v>
      </c>
      <c r="N191" s="134"/>
    </row>
    <row r="192" spans="1:15" x14ac:dyDescent="0.25">
      <c r="A192" s="256"/>
      <c r="B192" s="7" t="s">
        <v>45</v>
      </c>
      <c r="C192" s="6" t="s">
        <v>603</v>
      </c>
      <c r="D192" s="7" t="s">
        <v>604</v>
      </c>
      <c r="E192" s="7">
        <v>33</v>
      </c>
      <c r="F192" s="58" t="s">
        <v>95</v>
      </c>
      <c r="G192" s="7" t="s">
        <v>188</v>
      </c>
      <c r="H192" s="8">
        <v>48.1</v>
      </c>
      <c r="I192" s="8">
        <v>0</v>
      </c>
      <c r="J192" s="8">
        <v>49.3</v>
      </c>
      <c r="K192" s="8">
        <v>60</v>
      </c>
      <c r="L192" s="76">
        <v>54.002299999999998</v>
      </c>
      <c r="M192" s="88" t="s">
        <v>617</v>
      </c>
      <c r="N192" s="134"/>
    </row>
    <row r="193" spans="1:14" x14ac:dyDescent="0.25">
      <c r="A193" s="256"/>
      <c r="B193" s="7" t="s">
        <v>649</v>
      </c>
      <c r="C193" s="6" t="s">
        <v>597</v>
      </c>
      <c r="D193" s="7" t="s">
        <v>598</v>
      </c>
      <c r="E193" s="7">
        <v>33</v>
      </c>
      <c r="F193" s="6" t="s">
        <v>95</v>
      </c>
      <c r="G193" s="10" t="s">
        <v>99</v>
      </c>
      <c r="H193" s="8">
        <v>48.1</v>
      </c>
      <c r="I193" s="8">
        <v>0</v>
      </c>
      <c r="J193" s="8">
        <v>49.3</v>
      </c>
      <c r="K193" s="8">
        <v>60</v>
      </c>
      <c r="L193" s="76">
        <v>98.395499999999998</v>
      </c>
      <c r="M193" s="7" t="s">
        <v>613</v>
      </c>
      <c r="N193" s="134"/>
    </row>
    <row r="194" spans="1:14" x14ac:dyDescent="0.25">
      <c r="A194" s="256"/>
      <c r="B194" s="7" t="s">
        <v>654</v>
      </c>
      <c r="C194" s="6" t="s">
        <v>599</v>
      </c>
      <c r="D194" s="7" t="s">
        <v>600</v>
      </c>
      <c r="E194" s="7">
        <v>11</v>
      </c>
      <c r="F194" s="6" t="s">
        <v>96</v>
      </c>
      <c r="G194" s="7" t="s">
        <v>102</v>
      </c>
      <c r="H194" s="8">
        <v>48.1</v>
      </c>
      <c r="I194" s="8">
        <v>0</v>
      </c>
      <c r="J194" s="8">
        <v>49.3</v>
      </c>
      <c r="K194" s="8">
        <v>60</v>
      </c>
      <c r="L194" s="76">
        <v>22.989899999999999</v>
      </c>
      <c r="M194" s="7" t="s">
        <v>614</v>
      </c>
      <c r="N194" s="134"/>
    </row>
    <row r="195" spans="1:14" x14ac:dyDescent="0.25">
      <c r="A195" s="256"/>
      <c r="B195" s="7" t="s">
        <v>654</v>
      </c>
      <c r="C195" s="6" t="s">
        <v>599</v>
      </c>
      <c r="D195" s="7" t="s">
        <v>600</v>
      </c>
      <c r="E195" s="7">
        <v>132</v>
      </c>
      <c r="F195" s="6" t="s">
        <v>607</v>
      </c>
      <c r="G195" s="10">
        <v>505605705</v>
      </c>
      <c r="H195" s="8">
        <v>48.1</v>
      </c>
      <c r="I195" s="8">
        <v>0</v>
      </c>
      <c r="J195" s="8">
        <v>49.3</v>
      </c>
      <c r="K195" s="8">
        <v>60</v>
      </c>
      <c r="L195" s="76">
        <v>40</v>
      </c>
      <c r="M195" s="7" t="s">
        <v>615</v>
      </c>
      <c r="N195" s="134"/>
    </row>
    <row r="196" spans="1:14" x14ac:dyDescent="0.25">
      <c r="A196" s="256"/>
      <c r="B196" s="7" t="s">
        <v>650</v>
      </c>
      <c r="C196" s="6" t="s">
        <v>601</v>
      </c>
      <c r="D196" s="7" t="s">
        <v>602</v>
      </c>
      <c r="E196" s="7">
        <v>11</v>
      </c>
      <c r="F196" s="6" t="s">
        <v>96</v>
      </c>
      <c r="G196" s="10" t="s">
        <v>102</v>
      </c>
      <c r="H196" s="8">
        <v>48.1</v>
      </c>
      <c r="I196" s="8">
        <v>0</v>
      </c>
      <c r="J196" s="8">
        <v>49.3</v>
      </c>
      <c r="K196" s="8">
        <v>60</v>
      </c>
      <c r="L196" s="76">
        <v>21.477900000000002</v>
      </c>
      <c r="M196" s="7" t="s">
        <v>616</v>
      </c>
      <c r="N196" s="134"/>
    </row>
    <row r="197" spans="1:14" x14ac:dyDescent="0.25">
      <c r="A197" s="256"/>
      <c r="B197" s="7" t="s">
        <v>650</v>
      </c>
      <c r="C197" s="6" t="s">
        <v>595</v>
      </c>
      <c r="D197" s="7" t="s">
        <v>596</v>
      </c>
      <c r="E197" s="7">
        <v>22</v>
      </c>
      <c r="F197" s="6" t="s">
        <v>94</v>
      </c>
      <c r="G197" s="10" t="s">
        <v>99</v>
      </c>
      <c r="H197" s="8">
        <v>48.1</v>
      </c>
      <c r="I197" s="8">
        <v>0</v>
      </c>
      <c r="J197" s="8">
        <v>49.3</v>
      </c>
      <c r="K197" s="8">
        <v>60</v>
      </c>
      <c r="L197" s="76">
        <v>22.8338</v>
      </c>
      <c r="M197" s="7" t="s">
        <v>612</v>
      </c>
      <c r="N197" s="134"/>
    </row>
    <row r="198" spans="1:14" x14ac:dyDescent="0.25">
      <c r="A198" s="256"/>
      <c r="B198" s="7" t="s">
        <v>577</v>
      </c>
      <c r="C198" s="6" t="s">
        <v>527</v>
      </c>
      <c r="D198" s="7" t="s">
        <v>528</v>
      </c>
      <c r="E198" s="7">
        <v>132</v>
      </c>
      <c r="F198" s="6" t="s">
        <v>618</v>
      </c>
      <c r="G198" s="7" t="s">
        <v>44</v>
      </c>
      <c r="H198" s="8">
        <v>48.1</v>
      </c>
      <c r="I198" s="8">
        <v>0</v>
      </c>
      <c r="J198" s="8">
        <v>49.3</v>
      </c>
      <c r="K198" s="8">
        <v>60</v>
      </c>
      <c r="L198" s="259">
        <v>105</v>
      </c>
      <c r="M198" s="256" t="s">
        <v>619</v>
      </c>
      <c r="N198" s="260"/>
    </row>
    <row r="199" spans="1:14" x14ac:dyDescent="0.25">
      <c r="A199" s="256"/>
      <c r="B199" s="7" t="s">
        <v>653</v>
      </c>
      <c r="C199" s="6" t="s">
        <v>605</v>
      </c>
      <c r="D199" s="7" t="s">
        <v>606</v>
      </c>
      <c r="E199" s="7">
        <v>132</v>
      </c>
      <c r="F199" s="6" t="s">
        <v>620</v>
      </c>
      <c r="G199" s="7" t="s">
        <v>152</v>
      </c>
      <c r="H199" s="8">
        <v>48.1</v>
      </c>
      <c r="I199" s="8">
        <v>0</v>
      </c>
      <c r="J199" s="8">
        <v>49.3</v>
      </c>
      <c r="K199" s="8">
        <v>60</v>
      </c>
      <c r="L199" s="259"/>
      <c r="M199" s="256"/>
      <c r="N199" s="260"/>
    </row>
  </sheetData>
  <autoFilter ref="A2:N199" xr:uid="{722A4A62-F3D1-4577-AFDB-10AA26B12C9A}"/>
  <mergeCells count="57">
    <mergeCell ref="A1:N1"/>
    <mergeCell ref="L92:L93"/>
    <mergeCell ref="M92:M93"/>
    <mergeCell ref="L94:L95"/>
    <mergeCell ref="M94:M95"/>
    <mergeCell ref="A3:A16"/>
    <mergeCell ref="A17:A37"/>
    <mergeCell ref="A38:A56"/>
    <mergeCell ref="A57:A73"/>
    <mergeCell ref="L151:L152"/>
    <mergeCell ref="M151:M152"/>
    <mergeCell ref="L96:L97"/>
    <mergeCell ref="M96:M97"/>
    <mergeCell ref="N96:N97"/>
    <mergeCell ref="L106:L108"/>
    <mergeCell ref="M106:M108"/>
    <mergeCell ref="N106:N108"/>
    <mergeCell ref="L121:L122"/>
    <mergeCell ref="M121:M122"/>
    <mergeCell ref="N121:N122"/>
    <mergeCell ref="M144:M145"/>
    <mergeCell ref="N144:N145"/>
    <mergeCell ref="L153:L156"/>
    <mergeCell ref="M153:M156"/>
    <mergeCell ref="N153:N156"/>
    <mergeCell ref="L157:L158"/>
    <mergeCell ref="M157:M158"/>
    <mergeCell ref="N157:N158"/>
    <mergeCell ref="L159:L160"/>
    <mergeCell ref="M159:M160"/>
    <mergeCell ref="N159:N160"/>
    <mergeCell ref="L166:L167"/>
    <mergeCell ref="M166:M167"/>
    <mergeCell ref="N166:N167"/>
    <mergeCell ref="L198:L199"/>
    <mergeCell ref="M198:M199"/>
    <mergeCell ref="N198:N199"/>
    <mergeCell ref="L172:L173"/>
    <mergeCell ref="M172:M173"/>
    <mergeCell ref="N172:N173"/>
    <mergeCell ref="L177:L178"/>
    <mergeCell ref="M177:M178"/>
    <mergeCell ref="N177:N178"/>
    <mergeCell ref="L180:L183"/>
    <mergeCell ref="M180:M183"/>
    <mergeCell ref="L185:L186"/>
    <mergeCell ref="M185:M186"/>
    <mergeCell ref="N185:N186"/>
    <mergeCell ref="A165:A178"/>
    <mergeCell ref="A179:A188"/>
    <mergeCell ref="A189:A199"/>
    <mergeCell ref="A74:A86"/>
    <mergeCell ref="A87:A100"/>
    <mergeCell ref="A101:A116"/>
    <mergeCell ref="A117:A136"/>
    <mergeCell ref="A137:A152"/>
    <mergeCell ref="A153:A164"/>
  </mergeCells>
  <pageMargins left="0.70866141732283472" right="0.70866141732283472" top="0.74803149606299213" bottom="0.74803149606299213" header="0.31496062992125984" footer="0.31496062992125984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4580-02AC-41F3-983D-4187C2F89B80}">
  <sheetPr>
    <pageSetUpPr fitToPage="1"/>
  </sheetPr>
  <dimension ref="A1:N30"/>
  <sheetViews>
    <sheetView zoomScale="60" zoomScaleNormal="60" workbookViewId="0">
      <selection activeCell="C24" sqref="C24"/>
    </sheetView>
  </sheetViews>
  <sheetFormatPr defaultColWidth="8.625" defaultRowHeight="15" x14ac:dyDescent="0.25"/>
  <cols>
    <col min="1" max="1" width="15.25" style="5" customWidth="1"/>
    <col min="2" max="2" width="18.5" style="5" customWidth="1"/>
    <col min="3" max="3" width="11.125" style="5" customWidth="1"/>
    <col min="4" max="4" width="7.875" style="59" customWidth="1"/>
    <col min="5" max="5" width="20" style="5" customWidth="1"/>
    <col min="6" max="6" width="16" style="5" customWidth="1"/>
    <col min="7" max="7" width="94.75" style="5" customWidth="1"/>
    <col min="8" max="8" width="8.625" style="5"/>
    <col min="9" max="16384" width="8.625" style="1"/>
  </cols>
  <sheetData>
    <row r="1" spans="1:14" ht="36" customHeight="1" x14ac:dyDescent="0.2">
      <c r="A1" s="275" t="s">
        <v>777</v>
      </c>
      <c r="B1" s="275"/>
      <c r="C1" s="275"/>
      <c r="D1" s="275"/>
      <c r="E1" s="275"/>
      <c r="F1" s="275"/>
      <c r="G1" s="275"/>
      <c r="H1" s="141"/>
      <c r="I1" s="141"/>
      <c r="J1" s="141"/>
      <c r="K1" s="141"/>
      <c r="L1" s="141"/>
      <c r="M1" s="141"/>
      <c r="N1" s="141"/>
    </row>
    <row r="2" spans="1:14" s="3" customFormat="1" ht="15.75" x14ac:dyDescent="0.2">
      <c r="A2" s="139" t="s">
        <v>108</v>
      </c>
      <c r="B2" s="139" t="s">
        <v>0</v>
      </c>
      <c r="C2" s="139" t="s">
        <v>1</v>
      </c>
      <c r="D2" s="139" t="s">
        <v>34</v>
      </c>
      <c r="E2" s="139" t="s">
        <v>2</v>
      </c>
      <c r="F2" s="139" t="s">
        <v>3</v>
      </c>
      <c r="G2" s="138" t="s">
        <v>631</v>
      </c>
      <c r="H2" s="4"/>
    </row>
    <row r="3" spans="1:14" s="5" customFormat="1" x14ac:dyDescent="0.25">
      <c r="A3" s="17" t="s">
        <v>420</v>
      </c>
      <c r="B3" s="17" t="s">
        <v>740</v>
      </c>
      <c r="C3" s="17" t="s">
        <v>736</v>
      </c>
      <c r="D3" s="17">
        <v>275</v>
      </c>
      <c r="E3" s="17" t="s">
        <v>739</v>
      </c>
      <c r="F3" s="17" t="s">
        <v>741</v>
      </c>
      <c r="G3" s="20" t="s">
        <v>771</v>
      </c>
    </row>
    <row r="4" spans="1:14" s="5" customFormat="1" x14ac:dyDescent="0.25">
      <c r="A4" s="17" t="s">
        <v>195</v>
      </c>
      <c r="B4" s="17" t="s">
        <v>156</v>
      </c>
      <c r="C4" s="17" t="s">
        <v>157</v>
      </c>
      <c r="D4" s="17">
        <v>132</v>
      </c>
      <c r="E4" s="17" t="s">
        <v>765</v>
      </c>
      <c r="F4" s="17" t="s">
        <v>39</v>
      </c>
      <c r="G4" s="20" t="s">
        <v>769</v>
      </c>
    </row>
    <row r="5" spans="1:14" s="5" customFormat="1" x14ac:dyDescent="0.25">
      <c r="A5" s="17" t="s">
        <v>766</v>
      </c>
      <c r="B5" s="17" t="s">
        <v>349</v>
      </c>
      <c r="C5" s="17" t="s">
        <v>350</v>
      </c>
      <c r="D5" s="17">
        <v>132</v>
      </c>
      <c r="E5" s="17" t="s">
        <v>767</v>
      </c>
      <c r="F5" s="17" t="s">
        <v>44</v>
      </c>
      <c r="G5" s="20" t="s">
        <v>770</v>
      </c>
    </row>
    <row r="6" spans="1:14" s="5" customFormat="1" x14ac:dyDescent="0.25">
      <c r="A6" s="17" t="s">
        <v>651</v>
      </c>
      <c r="B6" s="17" t="s">
        <v>698</v>
      </c>
      <c r="C6" s="17" t="s">
        <v>699</v>
      </c>
      <c r="D6" s="17">
        <v>33</v>
      </c>
      <c r="E6" s="17" t="s">
        <v>97</v>
      </c>
      <c r="F6" s="17" t="s">
        <v>608</v>
      </c>
      <c r="G6" s="20" t="s">
        <v>772</v>
      </c>
    </row>
    <row r="7" spans="1:14" x14ac:dyDescent="0.25">
      <c r="A7" s="17" t="s">
        <v>651</v>
      </c>
      <c r="B7" s="17" t="s">
        <v>701</v>
      </c>
      <c r="C7" s="17" t="s">
        <v>700</v>
      </c>
      <c r="D7" s="17">
        <v>11</v>
      </c>
      <c r="E7" s="17" t="s">
        <v>96</v>
      </c>
      <c r="F7" s="17" t="s">
        <v>102</v>
      </c>
      <c r="G7" s="20" t="s">
        <v>772</v>
      </c>
    </row>
    <row r="8" spans="1:14" x14ac:dyDescent="0.25">
      <c r="A8" s="17" t="s">
        <v>651</v>
      </c>
      <c r="B8" s="17" t="s">
        <v>734</v>
      </c>
      <c r="C8" s="17" t="s">
        <v>735</v>
      </c>
      <c r="D8" s="17">
        <v>33</v>
      </c>
      <c r="E8" s="17" t="s">
        <v>95</v>
      </c>
      <c r="F8" s="17" t="s">
        <v>99</v>
      </c>
      <c r="G8" s="20" t="s">
        <v>773</v>
      </c>
    </row>
    <row r="9" spans="1:14" x14ac:dyDescent="0.25">
      <c r="A9" s="17" t="s">
        <v>649</v>
      </c>
      <c r="B9" s="17" t="s">
        <v>715</v>
      </c>
      <c r="C9" s="17" t="s">
        <v>716</v>
      </c>
      <c r="D9" s="17">
        <v>132</v>
      </c>
      <c r="E9" s="17" t="s">
        <v>768</v>
      </c>
      <c r="F9" s="17" t="s">
        <v>152</v>
      </c>
      <c r="G9" s="20" t="s">
        <v>774</v>
      </c>
    </row>
    <row r="10" spans="1:14" x14ac:dyDescent="0.25">
      <c r="A10" s="17" t="s">
        <v>649</v>
      </c>
      <c r="B10" s="66" t="s">
        <v>677</v>
      </c>
      <c r="C10" s="66" t="s">
        <v>676</v>
      </c>
      <c r="D10" s="66">
        <v>33</v>
      </c>
      <c r="E10" s="66" t="s">
        <v>95</v>
      </c>
      <c r="F10" s="66" t="s">
        <v>99</v>
      </c>
      <c r="G10" s="20" t="s">
        <v>772</v>
      </c>
    </row>
    <row r="11" spans="1:14" x14ac:dyDescent="0.25">
      <c r="A11" s="17" t="s">
        <v>649</v>
      </c>
      <c r="B11" s="66" t="s">
        <v>677</v>
      </c>
      <c r="C11" s="66" t="s">
        <v>676</v>
      </c>
      <c r="D11" s="66">
        <v>33</v>
      </c>
      <c r="E11" s="66" t="s">
        <v>702</v>
      </c>
      <c r="F11" s="66" t="s">
        <v>103</v>
      </c>
      <c r="G11" s="20" t="s">
        <v>772</v>
      </c>
    </row>
    <row r="12" spans="1:14" x14ac:dyDescent="0.25">
      <c r="A12" s="17" t="s">
        <v>649</v>
      </c>
      <c r="B12" s="66" t="s">
        <v>597</v>
      </c>
      <c r="C12" s="66" t="s">
        <v>598</v>
      </c>
      <c r="D12" s="66">
        <v>33</v>
      </c>
      <c r="E12" s="66" t="s">
        <v>95</v>
      </c>
      <c r="F12" s="66" t="s">
        <v>99</v>
      </c>
      <c r="G12" s="20" t="s">
        <v>772</v>
      </c>
    </row>
    <row r="13" spans="1:14" x14ac:dyDescent="0.25">
      <c r="A13" s="17" t="s">
        <v>649</v>
      </c>
      <c r="B13" s="66" t="s">
        <v>414</v>
      </c>
      <c r="C13" s="66" t="s">
        <v>415</v>
      </c>
      <c r="D13" s="66">
        <v>132</v>
      </c>
      <c r="E13" s="66" t="s">
        <v>703</v>
      </c>
      <c r="F13" s="66" t="s">
        <v>44</v>
      </c>
      <c r="G13" s="20" t="s">
        <v>772</v>
      </c>
    </row>
    <row r="14" spans="1:14" x14ac:dyDescent="0.25">
      <c r="A14" s="66" t="s">
        <v>651</v>
      </c>
      <c r="B14" s="66" t="s">
        <v>571</v>
      </c>
      <c r="C14" s="66" t="s">
        <v>572</v>
      </c>
      <c r="D14" s="66">
        <v>33</v>
      </c>
      <c r="E14" s="66" t="s">
        <v>97</v>
      </c>
      <c r="F14" s="66" t="s">
        <v>704</v>
      </c>
      <c r="G14" s="20" t="s">
        <v>775</v>
      </c>
    </row>
    <row r="15" spans="1:14" x14ac:dyDescent="0.25">
      <c r="A15" s="66" t="s">
        <v>651</v>
      </c>
      <c r="B15" s="66" t="s">
        <v>705</v>
      </c>
      <c r="C15" s="66" t="s">
        <v>706</v>
      </c>
      <c r="D15" s="66">
        <v>33</v>
      </c>
      <c r="E15" s="66" t="s">
        <v>97</v>
      </c>
      <c r="F15" s="66" t="s">
        <v>103</v>
      </c>
      <c r="G15" s="20" t="s">
        <v>775</v>
      </c>
    </row>
    <row r="16" spans="1:14" x14ac:dyDescent="0.25">
      <c r="A16" s="66" t="s">
        <v>651</v>
      </c>
      <c r="B16" s="66" t="s">
        <v>705</v>
      </c>
      <c r="C16" s="66" t="s">
        <v>706</v>
      </c>
      <c r="D16" s="66">
        <v>33</v>
      </c>
      <c r="E16" s="66" t="s">
        <v>707</v>
      </c>
      <c r="F16" s="66" t="s">
        <v>708</v>
      </c>
      <c r="G16" s="20" t="s">
        <v>775</v>
      </c>
    </row>
    <row r="17" spans="1:7" x14ac:dyDescent="0.25">
      <c r="A17" s="66" t="s">
        <v>45</v>
      </c>
      <c r="B17" s="66" t="s">
        <v>709</v>
      </c>
      <c r="C17" s="66" t="s">
        <v>710</v>
      </c>
      <c r="D17" s="66">
        <v>132</v>
      </c>
      <c r="E17" s="66" t="s">
        <v>711</v>
      </c>
      <c r="F17" s="66" t="s">
        <v>39</v>
      </c>
      <c r="G17" s="20" t="s">
        <v>775</v>
      </c>
    </row>
    <row r="18" spans="1:7" x14ac:dyDescent="0.25">
      <c r="A18" s="66" t="s">
        <v>45</v>
      </c>
      <c r="B18" s="66" t="s">
        <v>712</v>
      </c>
      <c r="C18" s="66" t="s">
        <v>713</v>
      </c>
      <c r="D18" s="66">
        <v>132</v>
      </c>
      <c r="E18" s="66" t="s">
        <v>714</v>
      </c>
      <c r="F18" s="66" t="s">
        <v>44</v>
      </c>
      <c r="G18" s="20" t="s">
        <v>775</v>
      </c>
    </row>
    <row r="19" spans="1:7" x14ac:dyDescent="0.25">
      <c r="A19" s="66" t="s">
        <v>45</v>
      </c>
      <c r="B19" s="66" t="s">
        <v>167</v>
      </c>
      <c r="C19" s="66" t="s">
        <v>168</v>
      </c>
      <c r="D19" s="66">
        <v>132</v>
      </c>
      <c r="E19" s="66" t="s">
        <v>721</v>
      </c>
      <c r="F19" s="66" t="s">
        <v>36</v>
      </c>
      <c r="G19" s="20" t="s">
        <v>775</v>
      </c>
    </row>
    <row r="20" spans="1:7" x14ac:dyDescent="0.25">
      <c r="A20" s="66" t="s">
        <v>107</v>
      </c>
      <c r="B20" s="66" t="s">
        <v>111</v>
      </c>
      <c r="C20" s="66" t="s">
        <v>112</v>
      </c>
      <c r="D20" s="66">
        <v>132</v>
      </c>
      <c r="E20" s="66" t="s">
        <v>722</v>
      </c>
      <c r="F20" s="66" t="s">
        <v>44</v>
      </c>
      <c r="G20" s="20" t="s">
        <v>775</v>
      </c>
    </row>
    <row r="21" spans="1:7" x14ac:dyDescent="0.25">
      <c r="A21" s="66" t="s">
        <v>107</v>
      </c>
      <c r="B21" s="66" t="s">
        <v>341</v>
      </c>
      <c r="C21" s="66" t="s">
        <v>342</v>
      </c>
      <c r="D21" s="66">
        <v>132</v>
      </c>
      <c r="E21" s="66" t="s">
        <v>722</v>
      </c>
      <c r="F21" s="66" t="s">
        <v>152</v>
      </c>
      <c r="G21" s="20" t="s">
        <v>775</v>
      </c>
    </row>
    <row r="22" spans="1:7" x14ac:dyDescent="0.25">
      <c r="A22" s="66" t="s">
        <v>107</v>
      </c>
      <c r="B22" s="66" t="s">
        <v>715</v>
      </c>
      <c r="C22" s="66" t="s">
        <v>716</v>
      </c>
      <c r="D22" s="66">
        <v>132</v>
      </c>
      <c r="E22" s="66" t="s">
        <v>717</v>
      </c>
      <c r="F22" s="66" t="s">
        <v>44</v>
      </c>
      <c r="G22" s="20" t="s">
        <v>775</v>
      </c>
    </row>
    <row r="23" spans="1:7" x14ac:dyDescent="0.25">
      <c r="A23" s="66" t="s">
        <v>107</v>
      </c>
      <c r="B23" s="17" t="s">
        <v>718</v>
      </c>
      <c r="C23" s="17" t="s">
        <v>719</v>
      </c>
      <c r="D23" s="17">
        <v>132</v>
      </c>
      <c r="E23" s="66" t="s">
        <v>720</v>
      </c>
      <c r="F23" s="66" t="s">
        <v>38</v>
      </c>
      <c r="G23" s="20" t="s">
        <v>775</v>
      </c>
    </row>
    <row r="24" spans="1:7" x14ac:dyDescent="0.25">
      <c r="A24" s="66" t="s">
        <v>655</v>
      </c>
      <c r="B24" s="66" t="s">
        <v>723</v>
      </c>
      <c r="C24" s="66" t="s">
        <v>678</v>
      </c>
      <c r="D24" s="66">
        <v>33</v>
      </c>
      <c r="E24" s="66" t="s">
        <v>97</v>
      </c>
      <c r="F24" s="66" t="s">
        <v>103</v>
      </c>
      <c r="G24" s="20" t="s">
        <v>775</v>
      </c>
    </row>
    <row r="25" spans="1:7" x14ac:dyDescent="0.25">
      <c r="A25" s="66" t="s">
        <v>577</v>
      </c>
      <c r="B25" s="66" t="s">
        <v>527</v>
      </c>
      <c r="C25" s="66" t="s">
        <v>528</v>
      </c>
      <c r="D25" s="66">
        <v>132</v>
      </c>
      <c r="E25" s="66" t="s">
        <v>724</v>
      </c>
      <c r="F25" s="66" t="s">
        <v>725</v>
      </c>
      <c r="G25" s="20" t="s">
        <v>775</v>
      </c>
    </row>
    <row r="26" spans="1:7" x14ac:dyDescent="0.25">
      <c r="A26" s="66" t="s">
        <v>650</v>
      </c>
      <c r="B26" s="66" t="s">
        <v>726</v>
      </c>
      <c r="C26" s="66" t="s">
        <v>727</v>
      </c>
      <c r="D26" s="66">
        <v>132</v>
      </c>
      <c r="E26" s="66" t="s">
        <v>728</v>
      </c>
      <c r="F26" s="66" t="s">
        <v>152</v>
      </c>
      <c r="G26" s="20" t="s">
        <v>775</v>
      </c>
    </row>
    <row r="27" spans="1:7" x14ac:dyDescent="0.25">
      <c r="A27" s="66" t="s">
        <v>650</v>
      </c>
      <c r="B27" s="66" t="s">
        <v>409</v>
      </c>
      <c r="C27" s="66" t="s">
        <v>410</v>
      </c>
      <c r="D27" s="66">
        <v>132</v>
      </c>
      <c r="E27" s="66" t="s">
        <v>729</v>
      </c>
      <c r="F27" s="66" t="s">
        <v>38</v>
      </c>
      <c r="G27" s="20" t="s">
        <v>775</v>
      </c>
    </row>
    <row r="28" spans="1:7" x14ac:dyDescent="0.25">
      <c r="A28" s="66" t="s">
        <v>654</v>
      </c>
      <c r="B28" s="66" t="s">
        <v>234</v>
      </c>
      <c r="C28" s="66" t="s">
        <v>235</v>
      </c>
      <c r="D28" s="66">
        <v>11</v>
      </c>
      <c r="E28" s="66" t="s">
        <v>730</v>
      </c>
      <c r="F28" s="66" t="s">
        <v>102</v>
      </c>
      <c r="G28" s="20" t="s">
        <v>775</v>
      </c>
    </row>
    <row r="29" spans="1:7" x14ac:dyDescent="0.25">
      <c r="A29" s="66" t="s">
        <v>652</v>
      </c>
      <c r="B29" s="66" t="s">
        <v>129</v>
      </c>
      <c r="C29" s="66" t="s">
        <v>130</v>
      </c>
      <c r="D29" s="66">
        <v>132</v>
      </c>
      <c r="E29" s="66" t="s">
        <v>731</v>
      </c>
      <c r="F29" s="66" t="s">
        <v>725</v>
      </c>
      <c r="G29" s="20" t="s">
        <v>775</v>
      </c>
    </row>
    <row r="30" spans="1:7" x14ac:dyDescent="0.25">
      <c r="A30" s="66" t="s">
        <v>652</v>
      </c>
      <c r="B30" s="66" t="s">
        <v>652</v>
      </c>
      <c r="C30" s="66" t="s">
        <v>732</v>
      </c>
      <c r="D30" s="66">
        <v>132</v>
      </c>
      <c r="E30" s="66" t="s">
        <v>733</v>
      </c>
      <c r="F30" s="66" t="s">
        <v>152</v>
      </c>
      <c r="G30" s="20" t="s">
        <v>775</v>
      </c>
    </row>
  </sheetData>
  <autoFilter ref="A2:G7" xr:uid="{722A4A62-F3D1-4577-AFDB-10AA26B12C9A}"/>
  <mergeCells count="1">
    <mergeCell ref="A1:G1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4A62-F3D1-4577-AFDB-10AA26B12C9A}">
  <dimension ref="A1:R254"/>
  <sheetViews>
    <sheetView zoomScale="85" zoomScaleNormal="85" workbookViewId="0">
      <selection activeCell="M92" sqref="M92:M93"/>
    </sheetView>
  </sheetViews>
  <sheetFormatPr defaultColWidth="8.625" defaultRowHeight="15" x14ac:dyDescent="0.25"/>
  <cols>
    <col min="1" max="1" width="22.625" style="5" customWidth="1"/>
    <col min="2" max="2" width="17" style="5" customWidth="1"/>
    <col min="3" max="3" width="24.75" style="5" customWidth="1"/>
    <col min="4" max="4" width="16.625" style="5" customWidth="1"/>
    <col min="5" max="5" width="7.875" style="59" customWidth="1"/>
    <col min="6" max="6" width="23.625" style="5" customWidth="1"/>
    <col min="7" max="7" width="20" style="5" customWidth="1"/>
    <col min="8" max="8" width="6.75" style="5" customWidth="1"/>
    <col min="9" max="9" width="10.625" style="5" customWidth="1"/>
    <col min="10" max="10" width="6.25" style="5" customWidth="1"/>
    <col min="11" max="11" width="10.75" style="5" customWidth="1"/>
    <col min="12" max="12" width="15" style="59" customWidth="1"/>
    <col min="13" max="13" width="23.625" style="5" customWidth="1"/>
    <col min="14" max="14" width="94.75" style="5" customWidth="1"/>
    <col min="15" max="15" width="20.125" style="63" customWidth="1"/>
    <col min="16" max="16" width="17.125" style="63" customWidth="1"/>
    <col min="17" max="17" width="19.125" style="59" customWidth="1"/>
    <col min="18" max="18" width="8.625" style="5"/>
    <col min="19" max="16384" width="8.625" style="1"/>
  </cols>
  <sheetData>
    <row r="1" spans="1:18" s="131" customFormat="1" ht="51.4" customHeight="1" thickBot="1" x14ac:dyDescent="0.25">
      <c r="A1" s="273" t="s">
        <v>6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6" t="s">
        <v>7</v>
      </c>
      <c r="P1" s="276"/>
      <c r="Q1" s="276"/>
      <c r="R1" s="130"/>
    </row>
    <row r="2" spans="1:18" s="3" customFormat="1" ht="32.25" thickBot="1" x14ac:dyDescent="0.25">
      <c r="A2" s="114" t="s">
        <v>748</v>
      </c>
      <c r="B2" s="115" t="s">
        <v>108</v>
      </c>
      <c r="C2" s="116" t="s">
        <v>0</v>
      </c>
      <c r="D2" s="116" t="s">
        <v>1</v>
      </c>
      <c r="E2" s="116" t="s">
        <v>34</v>
      </c>
      <c r="F2" s="116" t="s">
        <v>2</v>
      </c>
      <c r="G2" s="116" t="s">
        <v>3</v>
      </c>
      <c r="H2" s="116" t="s">
        <v>4</v>
      </c>
      <c r="I2" s="116" t="s">
        <v>8</v>
      </c>
      <c r="J2" s="116" t="s">
        <v>5</v>
      </c>
      <c r="K2" s="116" t="s">
        <v>9</v>
      </c>
      <c r="L2" s="117" t="s">
        <v>255</v>
      </c>
      <c r="M2" s="118" t="s">
        <v>282</v>
      </c>
      <c r="N2" s="119" t="s">
        <v>631</v>
      </c>
      <c r="O2" s="120" t="s">
        <v>11</v>
      </c>
      <c r="P2" s="121" t="s">
        <v>10</v>
      </c>
      <c r="Q2" s="122" t="s">
        <v>659</v>
      </c>
      <c r="R2" s="4"/>
    </row>
    <row r="3" spans="1:18" x14ac:dyDescent="0.25">
      <c r="A3" s="109" t="s">
        <v>633</v>
      </c>
      <c r="B3" s="84" t="s">
        <v>652</v>
      </c>
      <c r="C3" s="11" t="s">
        <v>12</v>
      </c>
      <c r="D3" s="12" t="s">
        <v>13</v>
      </c>
      <c r="E3" s="12">
        <v>132</v>
      </c>
      <c r="F3" s="11" t="s">
        <v>46</v>
      </c>
      <c r="G3" s="12" t="s">
        <v>36</v>
      </c>
      <c r="H3" s="43">
        <v>49.3</v>
      </c>
      <c r="I3" s="43">
        <v>0</v>
      </c>
      <c r="J3" s="43" t="s">
        <v>35</v>
      </c>
      <c r="K3" s="43" t="s">
        <v>35</v>
      </c>
      <c r="L3" s="110">
        <v>0</v>
      </c>
      <c r="M3" s="56" t="s">
        <v>283</v>
      </c>
      <c r="N3" s="125"/>
      <c r="O3" s="111"/>
      <c r="P3" s="112"/>
      <c r="Q3" s="113"/>
    </row>
    <row r="4" spans="1:18" x14ac:dyDescent="0.25">
      <c r="A4" s="104" t="s">
        <v>633</v>
      </c>
      <c r="B4" s="32" t="s">
        <v>650</v>
      </c>
      <c r="C4" s="6" t="s">
        <v>16</v>
      </c>
      <c r="D4" s="7" t="s">
        <v>17</v>
      </c>
      <c r="E4" s="7">
        <v>132</v>
      </c>
      <c r="F4" s="6" t="s">
        <v>257</v>
      </c>
      <c r="G4" s="7">
        <v>505</v>
      </c>
      <c r="H4" s="8">
        <v>49.3</v>
      </c>
      <c r="I4" s="8">
        <v>0</v>
      </c>
      <c r="J4" s="8" t="s">
        <v>35</v>
      </c>
      <c r="K4" s="8" t="s">
        <v>35</v>
      </c>
      <c r="L4" s="71">
        <v>26</v>
      </c>
      <c r="M4" s="9" t="s">
        <v>285</v>
      </c>
      <c r="N4" s="126"/>
      <c r="O4" s="62"/>
      <c r="P4" s="44"/>
      <c r="Q4" s="61"/>
    </row>
    <row r="5" spans="1:18" x14ac:dyDescent="0.25">
      <c r="A5" s="104" t="s">
        <v>633</v>
      </c>
      <c r="B5" s="32" t="s">
        <v>650</v>
      </c>
      <c r="C5" s="6" t="s">
        <v>18</v>
      </c>
      <c r="D5" s="7" t="s">
        <v>19</v>
      </c>
      <c r="E5" s="7">
        <v>132</v>
      </c>
      <c r="F5" s="6" t="s">
        <v>256</v>
      </c>
      <c r="G5" s="10" t="s">
        <v>38</v>
      </c>
      <c r="H5" s="8">
        <v>49.3</v>
      </c>
      <c r="I5" s="8">
        <v>0</v>
      </c>
      <c r="J5" s="8" t="s">
        <v>35</v>
      </c>
      <c r="K5" s="8" t="s">
        <v>35</v>
      </c>
      <c r="L5" s="71">
        <v>28</v>
      </c>
      <c r="M5" s="9" t="s">
        <v>286</v>
      </c>
      <c r="N5" s="124"/>
      <c r="O5" s="65"/>
      <c r="P5" s="65"/>
      <c r="Q5" s="66"/>
    </row>
    <row r="6" spans="1:18" x14ac:dyDescent="0.25">
      <c r="A6" s="104" t="s">
        <v>633</v>
      </c>
      <c r="B6" s="32" t="s">
        <v>650</v>
      </c>
      <c r="C6" s="6" t="s">
        <v>26</v>
      </c>
      <c r="D6" s="7" t="s">
        <v>27</v>
      </c>
      <c r="E6" s="7">
        <v>132</v>
      </c>
      <c r="F6" s="6" t="s">
        <v>52</v>
      </c>
      <c r="G6" s="10" t="s">
        <v>43</v>
      </c>
      <c r="H6" s="8">
        <v>49.3</v>
      </c>
      <c r="I6" s="8">
        <v>0</v>
      </c>
      <c r="J6" s="8" t="s">
        <v>35</v>
      </c>
      <c r="K6" s="8" t="s">
        <v>35</v>
      </c>
      <c r="L6" s="71">
        <v>2</v>
      </c>
      <c r="M6" s="9" t="s">
        <v>291</v>
      </c>
      <c r="N6" s="124"/>
      <c r="O6" s="65"/>
      <c r="P6" s="65"/>
      <c r="Q6" s="66"/>
    </row>
    <row r="7" spans="1:18" x14ac:dyDescent="0.25">
      <c r="A7" s="104" t="s">
        <v>633</v>
      </c>
      <c r="B7" s="32" t="s">
        <v>650</v>
      </c>
      <c r="C7" s="6" t="s">
        <v>22</v>
      </c>
      <c r="D7" s="7" t="s">
        <v>23</v>
      </c>
      <c r="E7" s="7">
        <v>275</v>
      </c>
      <c r="F7" s="6" t="s">
        <v>49</v>
      </c>
      <c r="G7" s="7" t="s">
        <v>40</v>
      </c>
      <c r="H7" s="8">
        <v>49.3</v>
      </c>
      <c r="I7" s="8">
        <v>0</v>
      </c>
      <c r="J7" s="8" t="s">
        <v>35</v>
      </c>
      <c r="K7" s="8" t="s">
        <v>35</v>
      </c>
      <c r="L7" s="71">
        <v>7</v>
      </c>
      <c r="M7" s="9" t="s">
        <v>288</v>
      </c>
      <c r="N7" s="124"/>
      <c r="O7" s="65"/>
      <c r="P7" s="65"/>
      <c r="Q7" s="66"/>
    </row>
    <row r="8" spans="1:18" x14ac:dyDescent="0.25">
      <c r="A8" s="104" t="s">
        <v>633</v>
      </c>
      <c r="B8" s="32" t="s">
        <v>652</v>
      </c>
      <c r="C8" s="6" t="s">
        <v>20</v>
      </c>
      <c r="D8" s="7" t="s">
        <v>21</v>
      </c>
      <c r="E8" s="7">
        <v>132</v>
      </c>
      <c r="F8" s="6" t="s">
        <v>48</v>
      </c>
      <c r="G8" s="7" t="s">
        <v>39</v>
      </c>
      <c r="H8" s="8">
        <v>49.3</v>
      </c>
      <c r="I8" s="8">
        <v>0</v>
      </c>
      <c r="J8" s="8" t="s">
        <v>35</v>
      </c>
      <c r="K8" s="8" t="s">
        <v>35</v>
      </c>
      <c r="L8" s="71">
        <v>0</v>
      </c>
      <c r="M8" s="9" t="s">
        <v>287</v>
      </c>
      <c r="N8" s="124"/>
      <c r="O8" s="65"/>
      <c r="P8" s="65"/>
      <c r="Q8" s="66"/>
    </row>
    <row r="9" spans="1:18" x14ac:dyDescent="0.25">
      <c r="A9" s="104" t="s">
        <v>633</v>
      </c>
      <c r="B9" s="32" t="s">
        <v>420</v>
      </c>
      <c r="C9" s="6" t="s">
        <v>740</v>
      </c>
      <c r="D9" s="7" t="s">
        <v>736</v>
      </c>
      <c r="E9" s="7">
        <v>275</v>
      </c>
      <c r="F9" s="6" t="s">
        <v>737</v>
      </c>
      <c r="G9" s="7" t="s">
        <v>40</v>
      </c>
      <c r="H9" s="8">
        <v>49.3</v>
      </c>
      <c r="I9" s="8">
        <v>1</v>
      </c>
      <c r="J9" s="8" t="s">
        <v>35</v>
      </c>
      <c r="K9" s="8" t="s">
        <v>35</v>
      </c>
      <c r="L9" s="71">
        <v>0</v>
      </c>
      <c r="M9" s="9" t="s">
        <v>738</v>
      </c>
      <c r="N9" s="124"/>
      <c r="O9" s="65"/>
      <c r="P9" s="65"/>
      <c r="Q9" s="66"/>
    </row>
    <row r="10" spans="1:18" x14ac:dyDescent="0.25">
      <c r="A10" s="104" t="s">
        <v>633</v>
      </c>
      <c r="B10" s="32" t="s">
        <v>45</v>
      </c>
      <c r="C10" s="6" t="s">
        <v>14</v>
      </c>
      <c r="D10" s="7" t="s">
        <v>15</v>
      </c>
      <c r="E10" s="7">
        <v>275</v>
      </c>
      <c r="F10" s="6" t="s">
        <v>47</v>
      </c>
      <c r="G10" s="7" t="s">
        <v>37</v>
      </c>
      <c r="H10" s="8">
        <v>49.3</v>
      </c>
      <c r="I10" s="8">
        <v>0</v>
      </c>
      <c r="J10" s="8" t="s">
        <v>35</v>
      </c>
      <c r="K10" s="8" t="s">
        <v>35</v>
      </c>
      <c r="L10" s="71">
        <v>25</v>
      </c>
      <c r="M10" s="9" t="s">
        <v>284</v>
      </c>
      <c r="N10" s="124"/>
      <c r="O10" s="65"/>
      <c r="P10" s="65"/>
      <c r="Q10" s="66"/>
    </row>
    <row r="11" spans="1:18" x14ac:dyDescent="0.25">
      <c r="A11" s="104" t="s">
        <v>633</v>
      </c>
      <c r="B11" s="84" t="s">
        <v>45</v>
      </c>
      <c r="C11" s="11" t="s">
        <v>24</v>
      </c>
      <c r="D11" s="12" t="s">
        <v>25</v>
      </c>
      <c r="E11" s="12">
        <v>132</v>
      </c>
      <c r="F11" s="11" t="s">
        <v>50</v>
      </c>
      <c r="G11" s="12" t="s">
        <v>41</v>
      </c>
      <c r="H11" s="8">
        <v>49.3</v>
      </c>
      <c r="I11" s="8">
        <v>0</v>
      </c>
      <c r="J11" s="8" t="s">
        <v>35</v>
      </c>
      <c r="K11" s="8" t="s">
        <v>35</v>
      </c>
      <c r="L11" s="71">
        <v>44</v>
      </c>
      <c r="M11" s="9" t="s">
        <v>289</v>
      </c>
      <c r="N11" s="124"/>
      <c r="O11" s="65"/>
      <c r="P11" s="65"/>
      <c r="Q11" s="66"/>
    </row>
    <row r="12" spans="1:18" x14ac:dyDescent="0.25">
      <c r="A12" s="104" t="s">
        <v>633</v>
      </c>
      <c r="B12" s="32" t="s">
        <v>45</v>
      </c>
      <c r="C12" s="6" t="s">
        <v>24</v>
      </c>
      <c r="D12" s="7" t="s">
        <v>25</v>
      </c>
      <c r="E12" s="7">
        <v>132</v>
      </c>
      <c r="F12" s="6" t="s">
        <v>51</v>
      </c>
      <c r="G12" s="7" t="s">
        <v>42</v>
      </c>
      <c r="H12" s="8">
        <v>49.3</v>
      </c>
      <c r="I12" s="8">
        <v>0</v>
      </c>
      <c r="J12" s="8" t="s">
        <v>35</v>
      </c>
      <c r="K12" s="8" t="s">
        <v>35</v>
      </c>
      <c r="L12" s="71">
        <v>60</v>
      </c>
      <c r="M12" s="9" t="s">
        <v>290</v>
      </c>
      <c r="N12" s="124"/>
      <c r="O12" s="65"/>
      <c r="P12" s="65"/>
      <c r="Q12" s="66"/>
    </row>
    <row r="13" spans="1:18" x14ac:dyDescent="0.25">
      <c r="A13" s="104" t="s">
        <v>633</v>
      </c>
      <c r="B13" s="84" t="s">
        <v>649</v>
      </c>
      <c r="C13" s="6" t="s">
        <v>28</v>
      </c>
      <c r="D13" s="7" t="s">
        <v>29</v>
      </c>
      <c r="E13" s="7">
        <v>132</v>
      </c>
      <c r="F13" s="6" t="s">
        <v>54</v>
      </c>
      <c r="G13" s="7">
        <v>905</v>
      </c>
      <c r="H13" s="8">
        <v>49.3</v>
      </c>
      <c r="I13" s="8">
        <v>0</v>
      </c>
      <c r="J13" s="8" t="s">
        <v>35</v>
      </c>
      <c r="K13" s="8" t="s">
        <v>35</v>
      </c>
      <c r="L13" s="71">
        <v>50</v>
      </c>
      <c r="M13" s="9" t="s">
        <v>293</v>
      </c>
      <c r="N13" s="124"/>
      <c r="O13" s="65"/>
      <c r="P13" s="65"/>
      <c r="Q13" s="66"/>
    </row>
    <row r="14" spans="1:18" x14ac:dyDescent="0.25">
      <c r="A14" s="104" t="s">
        <v>633</v>
      </c>
      <c r="B14" s="84" t="s">
        <v>649</v>
      </c>
      <c r="C14" s="6" t="s">
        <v>414</v>
      </c>
      <c r="D14" s="7" t="s">
        <v>415</v>
      </c>
      <c r="E14" s="7">
        <v>275</v>
      </c>
      <c r="F14" s="6" t="s">
        <v>695</v>
      </c>
      <c r="G14" s="7" t="s">
        <v>696</v>
      </c>
      <c r="H14" s="8">
        <v>49.3</v>
      </c>
      <c r="I14" s="8">
        <v>0</v>
      </c>
      <c r="J14" s="8" t="s">
        <v>35</v>
      </c>
      <c r="K14" s="8" t="s">
        <v>35</v>
      </c>
      <c r="L14" s="71">
        <v>6</v>
      </c>
      <c r="M14" s="9" t="s">
        <v>697</v>
      </c>
      <c r="N14" s="124"/>
      <c r="O14" s="65"/>
      <c r="P14" s="65"/>
      <c r="Q14" s="66"/>
    </row>
    <row r="15" spans="1:18" x14ac:dyDescent="0.25">
      <c r="A15" s="104" t="s">
        <v>633</v>
      </c>
      <c r="B15" s="32" t="s">
        <v>649</v>
      </c>
      <c r="C15" s="6" t="s">
        <v>30</v>
      </c>
      <c r="D15" s="7" t="s">
        <v>31</v>
      </c>
      <c r="E15" s="7">
        <v>132</v>
      </c>
      <c r="F15" s="6" t="s">
        <v>53</v>
      </c>
      <c r="G15" s="7" t="s">
        <v>39</v>
      </c>
      <c r="H15" s="8">
        <v>49.3</v>
      </c>
      <c r="I15" s="8">
        <v>0</v>
      </c>
      <c r="J15" s="8" t="s">
        <v>35</v>
      </c>
      <c r="K15" s="8" t="s">
        <v>35</v>
      </c>
      <c r="L15" s="71">
        <v>17</v>
      </c>
      <c r="M15" s="9" t="s">
        <v>53</v>
      </c>
      <c r="N15" s="124"/>
      <c r="O15" s="65"/>
      <c r="P15" s="65"/>
      <c r="Q15" s="66"/>
    </row>
    <row r="16" spans="1:18" x14ac:dyDescent="0.25">
      <c r="A16" s="105" t="s">
        <v>633</v>
      </c>
      <c r="B16" s="39" t="s">
        <v>649</v>
      </c>
      <c r="C16" s="34" t="s">
        <v>32</v>
      </c>
      <c r="D16" s="33" t="s">
        <v>33</v>
      </c>
      <c r="E16" s="33">
        <v>132</v>
      </c>
      <c r="F16" s="34" t="s">
        <v>55</v>
      </c>
      <c r="G16" s="33" t="s">
        <v>44</v>
      </c>
      <c r="H16" s="42">
        <v>49.3</v>
      </c>
      <c r="I16" s="42">
        <v>0</v>
      </c>
      <c r="J16" s="42" t="s">
        <v>35</v>
      </c>
      <c r="K16" s="42" t="s">
        <v>35</v>
      </c>
      <c r="L16" s="85">
        <v>46</v>
      </c>
      <c r="M16" s="55" t="s">
        <v>292</v>
      </c>
      <c r="N16" s="124"/>
      <c r="O16" s="65"/>
      <c r="P16" s="65"/>
      <c r="Q16" s="66"/>
    </row>
    <row r="17" spans="1:18" x14ac:dyDescent="0.25">
      <c r="A17" s="106" t="s">
        <v>632</v>
      </c>
      <c r="B17" s="17" t="s">
        <v>650</v>
      </c>
      <c r="C17" s="22" t="s">
        <v>56</v>
      </c>
      <c r="D17" s="17" t="s">
        <v>57</v>
      </c>
      <c r="E17" s="17">
        <v>22</v>
      </c>
      <c r="F17" s="22" t="s">
        <v>94</v>
      </c>
      <c r="G17" s="17" t="s">
        <v>99</v>
      </c>
      <c r="H17" s="19">
        <v>49.2</v>
      </c>
      <c r="I17" s="19">
        <v>0</v>
      </c>
      <c r="J17" s="19" t="s">
        <v>35</v>
      </c>
      <c r="K17" s="19" t="s">
        <v>35</v>
      </c>
      <c r="L17" s="72">
        <v>21.3659</v>
      </c>
      <c r="M17" s="64" t="s">
        <v>294</v>
      </c>
      <c r="N17" s="20"/>
      <c r="O17" s="65"/>
      <c r="P17" s="65"/>
      <c r="Q17" s="66"/>
    </row>
    <row r="18" spans="1:18" x14ac:dyDescent="0.25">
      <c r="A18" s="106" t="s">
        <v>632</v>
      </c>
      <c r="B18" s="17" t="s">
        <v>650</v>
      </c>
      <c r="C18" s="22" t="s">
        <v>18</v>
      </c>
      <c r="D18" s="17" t="s">
        <v>19</v>
      </c>
      <c r="E18" s="17">
        <v>22</v>
      </c>
      <c r="F18" s="22" t="s">
        <v>94</v>
      </c>
      <c r="G18" s="17" t="s">
        <v>99</v>
      </c>
      <c r="H18" s="19">
        <v>49.2</v>
      </c>
      <c r="I18" s="19">
        <v>0</v>
      </c>
      <c r="J18" s="19" t="s">
        <v>35</v>
      </c>
      <c r="K18" s="19" t="s">
        <v>35</v>
      </c>
      <c r="L18" s="72">
        <v>21.878900000000002</v>
      </c>
      <c r="M18" s="64" t="s">
        <v>321</v>
      </c>
      <c r="N18" s="20"/>
      <c r="O18" s="65"/>
      <c r="P18" s="65"/>
      <c r="Q18" s="66"/>
    </row>
    <row r="19" spans="1:18" x14ac:dyDescent="0.25">
      <c r="A19" s="106" t="s">
        <v>632</v>
      </c>
      <c r="B19" s="17" t="s">
        <v>650</v>
      </c>
      <c r="C19" s="22" t="s">
        <v>80</v>
      </c>
      <c r="D19" s="17" t="s">
        <v>81</v>
      </c>
      <c r="E19" s="17">
        <v>33</v>
      </c>
      <c r="F19" s="23" t="s">
        <v>95</v>
      </c>
      <c r="G19" s="26" t="s">
        <v>99</v>
      </c>
      <c r="H19" s="19">
        <v>49.2</v>
      </c>
      <c r="I19" s="19">
        <v>0</v>
      </c>
      <c r="J19" s="19" t="s">
        <v>35</v>
      </c>
      <c r="K19" s="19" t="s">
        <v>35</v>
      </c>
      <c r="L19" s="72">
        <v>64.076800000000006</v>
      </c>
      <c r="M19" s="64" t="s">
        <v>306</v>
      </c>
      <c r="N19" s="20"/>
      <c r="O19" s="65"/>
      <c r="P19" s="65"/>
      <c r="Q19" s="66"/>
    </row>
    <row r="20" spans="1:18" s="203" customFormat="1" x14ac:dyDescent="0.25">
      <c r="A20" s="192" t="s">
        <v>632</v>
      </c>
      <c r="B20" s="193" t="s">
        <v>649</v>
      </c>
      <c r="C20" s="194" t="s">
        <v>58</v>
      </c>
      <c r="D20" s="193" t="s">
        <v>59</v>
      </c>
      <c r="E20" s="193">
        <v>33</v>
      </c>
      <c r="F20" s="195" t="s">
        <v>95</v>
      </c>
      <c r="G20" s="193" t="s">
        <v>99</v>
      </c>
      <c r="H20" s="196">
        <v>49.2</v>
      </c>
      <c r="I20" s="196">
        <v>0</v>
      </c>
      <c r="J20" s="196" t="s">
        <v>35</v>
      </c>
      <c r="K20" s="196" t="s">
        <v>35</v>
      </c>
      <c r="L20" s="197">
        <v>41.546100000000003</v>
      </c>
      <c r="M20" s="198" t="s">
        <v>295</v>
      </c>
      <c r="N20" s="199"/>
      <c r="O20" s="200"/>
      <c r="P20" s="200"/>
      <c r="Q20" s="201"/>
      <c r="R20" s="202"/>
    </row>
    <row r="21" spans="1:18" x14ac:dyDescent="0.25">
      <c r="A21" s="106" t="s">
        <v>632</v>
      </c>
      <c r="B21" s="17" t="s">
        <v>652</v>
      </c>
      <c r="C21" s="22" t="s">
        <v>60</v>
      </c>
      <c r="D21" s="17" t="s">
        <v>61</v>
      </c>
      <c r="E21" s="17">
        <v>33</v>
      </c>
      <c r="F21" s="22" t="s">
        <v>95</v>
      </c>
      <c r="G21" s="17" t="s">
        <v>100</v>
      </c>
      <c r="H21" s="19">
        <v>49.2</v>
      </c>
      <c r="I21" s="19">
        <v>0</v>
      </c>
      <c r="J21" s="19" t="s">
        <v>35</v>
      </c>
      <c r="K21" s="19" t="s">
        <v>35</v>
      </c>
      <c r="L21" s="72">
        <v>18.5562</v>
      </c>
      <c r="M21" s="64" t="s">
        <v>296</v>
      </c>
      <c r="N21" s="20"/>
      <c r="O21" s="65"/>
      <c r="P21" s="65"/>
      <c r="Q21" s="66"/>
    </row>
    <row r="22" spans="1:18" x14ac:dyDescent="0.25">
      <c r="A22" s="106" t="s">
        <v>632</v>
      </c>
      <c r="B22" s="17" t="s">
        <v>653</v>
      </c>
      <c r="C22" s="22" t="s">
        <v>62</v>
      </c>
      <c r="D22" s="17" t="s">
        <v>63</v>
      </c>
      <c r="E22" s="17">
        <v>33</v>
      </c>
      <c r="F22" s="23" t="s">
        <v>95</v>
      </c>
      <c r="G22" s="17" t="s">
        <v>99</v>
      </c>
      <c r="H22" s="19">
        <v>49.2</v>
      </c>
      <c r="I22" s="19">
        <v>0</v>
      </c>
      <c r="J22" s="19" t="s">
        <v>35</v>
      </c>
      <c r="K22" s="19" t="s">
        <v>35</v>
      </c>
      <c r="L22" s="72">
        <v>15.386100000000001</v>
      </c>
      <c r="M22" s="64" t="s">
        <v>312</v>
      </c>
      <c r="N22" s="20"/>
      <c r="O22" s="65"/>
      <c r="P22" s="65"/>
      <c r="Q22" s="66"/>
    </row>
    <row r="23" spans="1:18" x14ac:dyDescent="0.25">
      <c r="A23" s="106" t="s">
        <v>632</v>
      </c>
      <c r="B23" s="17" t="s">
        <v>654</v>
      </c>
      <c r="C23" s="22" t="s">
        <v>64</v>
      </c>
      <c r="D23" s="17" t="s">
        <v>65</v>
      </c>
      <c r="E23" s="17">
        <v>33</v>
      </c>
      <c r="F23" s="23" t="s">
        <v>95</v>
      </c>
      <c r="G23" s="17" t="s">
        <v>99</v>
      </c>
      <c r="H23" s="19">
        <v>49.2</v>
      </c>
      <c r="I23" s="19">
        <v>0</v>
      </c>
      <c r="J23" s="19" t="s">
        <v>35</v>
      </c>
      <c r="K23" s="19" t="s">
        <v>35</v>
      </c>
      <c r="L23" s="72">
        <v>36.419699999999999</v>
      </c>
      <c r="M23" s="64" t="s">
        <v>297</v>
      </c>
      <c r="N23" s="20"/>
      <c r="O23" s="65"/>
      <c r="P23" s="65"/>
      <c r="Q23" s="66"/>
    </row>
    <row r="24" spans="1:18" s="203" customFormat="1" x14ac:dyDescent="0.25">
      <c r="A24" s="192" t="s">
        <v>632</v>
      </c>
      <c r="B24" s="193" t="s">
        <v>654</v>
      </c>
      <c r="C24" s="194" t="s">
        <v>66</v>
      </c>
      <c r="D24" s="193" t="s">
        <v>67</v>
      </c>
      <c r="E24" s="193">
        <v>11</v>
      </c>
      <c r="F24" s="195" t="s">
        <v>96</v>
      </c>
      <c r="G24" s="193" t="s">
        <v>105</v>
      </c>
      <c r="H24" s="196">
        <v>49.2</v>
      </c>
      <c r="I24" s="196">
        <v>0</v>
      </c>
      <c r="J24" s="196" t="s">
        <v>35</v>
      </c>
      <c r="K24" s="196" t="s">
        <v>35</v>
      </c>
      <c r="L24" s="197">
        <v>20.223299999999998</v>
      </c>
      <c r="M24" s="198" t="s">
        <v>298</v>
      </c>
      <c r="N24" s="199"/>
      <c r="O24" s="200"/>
      <c r="P24" s="200"/>
      <c r="Q24" s="201"/>
      <c r="R24" s="202"/>
    </row>
    <row r="25" spans="1:18" x14ac:dyDescent="0.25">
      <c r="A25" s="106" t="s">
        <v>632</v>
      </c>
      <c r="B25" s="17" t="s">
        <v>107</v>
      </c>
      <c r="C25" s="22" t="s">
        <v>68</v>
      </c>
      <c r="D25" s="17" t="s">
        <v>69</v>
      </c>
      <c r="E25" s="17">
        <v>11</v>
      </c>
      <c r="F25" s="22" t="s">
        <v>96</v>
      </c>
      <c r="G25" s="17" t="s">
        <v>102</v>
      </c>
      <c r="H25" s="19">
        <v>49.2</v>
      </c>
      <c r="I25" s="19">
        <v>0</v>
      </c>
      <c r="J25" s="19" t="s">
        <v>35</v>
      </c>
      <c r="K25" s="19" t="s">
        <v>35</v>
      </c>
      <c r="L25" s="72">
        <v>21.537199999999999</v>
      </c>
      <c r="M25" s="64" t="s">
        <v>299</v>
      </c>
      <c r="N25" s="20"/>
      <c r="O25" s="65"/>
      <c r="P25" s="65"/>
      <c r="Q25" s="66"/>
    </row>
    <row r="26" spans="1:18" x14ac:dyDescent="0.25">
      <c r="A26" s="106" t="s">
        <v>632</v>
      </c>
      <c r="B26" s="17" t="s">
        <v>107</v>
      </c>
      <c r="C26" s="22" t="s">
        <v>68</v>
      </c>
      <c r="D26" s="17" t="s">
        <v>69</v>
      </c>
      <c r="E26" s="17">
        <v>33</v>
      </c>
      <c r="F26" s="22" t="s">
        <v>97</v>
      </c>
      <c r="G26" s="17" t="s">
        <v>103</v>
      </c>
      <c r="H26" s="19">
        <v>49.2</v>
      </c>
      <c r="I26" s="19">
        <v>0</v>
      </c>
      <c r="J26" s="19" t="s">
        <v>35</v>
      </c>
      <c r="K26" s="19" t="s">
        <v>35</v>
      </c>
      <c r="L26" s="72">
        <v>25.2821</v>
      </c>
      <c r="M26" s="64" t="s">
        <v>300</v>
      </c>
      <c r="N26" s="20"/>
      <c r="O26" s="65"/>
      <c r="P26" s="65"/>
      <c r="Q26" s="66"/>
    </row>
    <row r="27" spans="1:18" x14ac:dyDescent="0.25">
      <c r="A27" s="106" t="s">
        <v>632</v>
      </c>
      <c r="B27" s="17" t="s">
        <v>107</v>
      </c>
      <c r="C27" s="22" t="s">
        <v>84</v>
      </c>
      <c r="D27" s="17" t="s">
        <v>85</v>
      </c>
      <c r="E27" s="17">
        <v>33</v>
      </c>
      <c r="F27" s="23" t="s">
        <v>98</v>
      </c>
      <c r="G27" s="86" t="s">
        <v>104</v>
      </c>
      <c r="H27" s="19">
        <v>49.2</v>
      </c>
      <c r="I27" s="19">
        <v>0</v>
      </c>
      <c r="J27" s="19" t="s">
        <v>35</v>
      </c>
      <c r="K27" s="19" t="s">
        <v>35</v>
      </c>
      <c r="L27" s="72">
        <v>61.577100000000002</v>
      </c>
      <c r="M27" s="64" t="s">
        <v>320</v>
      </c>
      <c r="N27" s="20"/>
      <c r="O27" s="65"/>
      <c r="P27" s="65"/>
      <c r="Q27" s="66"/>
    </row>
    <row r="28" spans="1:18" s="203" customFormat="1" x14ac:dyDescent="0.25">
      <c r="A28" s="192" t="s">
        <v>632</v>
      </c>
      <c r="B28" s="193" t="s">
        <v>107</v>
      </c>
      <c r="C28" s="194" t="s">
        <v>92</v>
      </c>
      <c r="D28" s="193" t="s">
        <v>93</v>
      </c>
      <c r="E28" s="193">
        <v>33</v>
      </c>
      <c r="F28" s="194" t="s">
        <v>97</v>
      </c>
      <c r="G28" s="204" t="s">
        <v>103</v>
      </c>
      <c r="H28" s="196">
        <v>49.2</v>
      </c>
      <c r="I28" s="196">
        <v>0</v>
      </c>
      <c r="J28" s="196" t="s">
        <v>35</v>
      </c>
      <c r="K28" s="196" t="s">
        <v>35</v>
      </c>
      <c r="L28" s="197">
        <v>83.921099999999996</v>
      </c>
      <c r="M28" s="198" t="s">
        <v>311</v>
      </c>
      <c r="N28" s="199"/>
      <c r="O28" s="200"/>
      <c r="P28" s="200"/>
      <c r="Q28" s="201"/>
      <c r="R28" s="202"/>
    </row>
    <row r="29" spans="1:18" x14ac:dyDescent="0.25">
      <c r="A29" s="106" t="s">
        <v>632</v>
      </c>
      <c r="B29" s="17" t="s">
        <v>45</v>
      </c>
      <c r="C29" s="22" t="s">
        <v>72</v>
      </c>
      <c r="D29" s="17" t="s">
        <v>73</v>
      </c>
      <c r="E29" s="17">
        <v>33</v>
      </c>
      <c r="F29" s="23" t="s">
        <v>95</v>
      </c>
      <c r="G29" s="17" t="s">
        <v>100</v>
      </c>
      <c r="H29" s="19">
        <v>49.2</v>
      </c>
      <c r="I29" s="19">
        <v>0</v>
      </c>
      <c r="J29" s="19" t="s">
        <v>35</v>
      </c>
      <c r="K29" s="19" t="s">
        <v>35</v>
      </c>
      <c r="L29" s="72">
        <v>76.023399999999995</v>
      </c>
      <c r="M29" s="64" t="s">
        <v>302</v>
      </c>
      <c r="N29" s="20"/>
      <c r="O29" s="65"/>
      <c r="P29" s="65"/>
      <c r="Q29" s="66"/>
    </row>
    <row r="30" spans="1:18" x14ac:dyDescent="0.25">
      <c r="A30" s="106" t="s">
        <v>632</v>
      </c>
      <c r="B30" s="17" t="s">
        <v>651</v>
      </c>
      <c r="C30" s="22" t="s">
        <v>74</v>
      </c>
      <c r="D30" s="17" t="s">
        <v>75</v>
      </c>
      <c r="E30" s="17">
        <v>33</v>
      </c>
      <c r="F30" s="23" t="s">
        <v>95</v>
      </c>
      <c r="G30" s="17" t="s">
        <v>99</v>
      </c>
      <c r="H30" s="19">
        <v>49.2</v>
      </c>
      <c r="I30" s="19">
        <v>0</v>
      </c>
      <c r="J30" s="19" t="s">
        <v>35</v>
      </c>
      <c r="K30" s="19" t="s">
        <v>35</v>
      </c>
      <c r="L30" s="72">
        <v>28.447500000000002</v>
      </c>
      <c r="M30" s="64" t="s">
        <v>303</v>
      </c>
      <c r="N30" s="20"/>
      <c r="O30" s="65"/>
      <c r="P30" s="65"/>
      <c r="Q30" s="66"/>
    </row>
    <row r="31" spans="1:18" x14ac:dyDescent="0.25">
      <c r="A31" s="106" t="s">
        <v>632</v>
      </c>
      <c r="B31" s="17" t="s">
        <v>651</v>
      </c>
      <c r="C31" s="22" t="s">
        <v>76</v>
      </c>
      <c r="D31" s="17" t="s">
        <v>77</v>
      </c>
      <c r="E31" s="17">
        <v>33</v>
      </c>
      <c r="F31" s="23" t="s">
        <v>95</v>
      </c>
      <c r="G31" s="17" t="s">
        <v>99</v>
      </c>
      <c r="H31" s="19">
        <v>49.2</v>
      </c>
      <c r="I31" s="19">
        <v>0</v>
      </c>
      <c r="J31" s="19" t="s">
        <v>35</v>
      </c>
      <c r="K31" s="19" t="s">
        <v>35</v>
      </c>
      <c r="L31" s="72">
        <v>89.868300000000005</v>
      </c>
      <c r="M31" s="64" t="s">
        <v>304</v>
      </c>
      <c r="N31" s="20"/>
      <c r="O31" s="65">
        <v>0.9</v>
      </c>
      <c r="P31" s="65">
        <v>30</v>
      </c>
      <c r="Q31" s="66">
        <v>1</v>
      </c>
    </row>
    <row r="32" spans="1:18" s="203" customFormat="1" x14ac:dyDescent="0.25">
      <c r="A32" s="192" t="s">
        <v>632</v>
      </c>
      <c r="B32" s="205" t="s">
        <v>651</v>
      </c>
      <c r="C32" s="206" t="s">
        <v>78</v>
      </c>
      <c r="D32" s="205" t="s">
        <v>79</v>
      </c>
      <c r="E32" s="205">
        <v>33</v>
      </c>
      <c r="F32" s="207" t="s">
        <v>95</v>
      </c>
      <c r="G32" s="205" t="s">
        <v>99</v>
      </c>
      <c r="H32" s="208">
        <v>49.2</v>
      </c>
      <c r="I32" s="208">
        <v>0</v>
      </c>
      <c r="J32" s="208" t="s">
        <v>35</v>
      </c>
      <c r="K32" s="208" t="s">
        <v>35</v>
      </c>
      <c r="L32" s="197">
        <v>71.005499999999998</v>
      </c>
      <c r="M32" s="209" t="s">
        <v>305</v>
      </c>
      <c r="N32" s="199"/>
      <c r="O32" s="200"/>
      <c r="P32" s="200"/>
      <c r="Q32" s="201"/>
      <c r="R32" s="202"/>
    </row>
    <row r="33" spans="1:18" s="203" customFormat="1" x14ac:dyDescent="0.25">
      <c r="A33" s="192" t="s">
        <v>632</v>
      </c>
      <c r="B33" s="193" t="s">
        <v>651</v>
      </c>
      <c r="C33" s="194" t="s">
        <v>70</v>
      </c>
      <c r="D33" s="193" t="s">
        <v>71</v>
      </c>
      <c r="E33" s="193">
        <v>33</v>
      </c>
      <c r="F33" s="195" t="s">
        <v>95</v>
      </c>
      <c r="G33" s="193" t="s">
        <v>106</v>
      </c>
      <c r="H33" s="196">
        <v>49.2</v>
      </c>
      <c r="I33" s="196">
        <v>0</v>
      </c>
      <c r="J33" s="196" t="s">
        <v>35</v>
      </c>
      <c r="K33" s="196" t="s">
        <v>35</v>
      </c>
      <c r="L33" s="197">
        <v>25.6995</v>
      </c>
      <c r="M33" s="198" t="s">
        <v>301</v>
      </c>
      <c r="N33" s="199"/>
      <c r="O33" s="200"/>
      <c r="P33" s="200"/>
      <c r="Q33" s="201"/>
      <c r="R33" s="202"/>
    </row>
    <row r="34" spans="1:18" x14ac:dyDescent="0.25">
      <c r="A34" s="106" t="s">
        <v>632</v>
      </c>
      <c r="B34" s="17" t="s">
        <v>651</v>
      </c>
      <c r="C34" s="22" t="s">
        <v>88</v>
      </c>
      <c r="D34" s="17" t="s">
        <v>89</v>
      </c>
      <c r="E34" s="17">
        <v>33</v>
      </c>
      <c r="F34" s="22" t="s">
        <v>109</v>
      </c>
      <c r="G34" s="17" t="s">
        <v>110</v>
      </c>
      <c r="H34" s="19">
        <v>49.2</v>
      </c>
      <c r="I34" s="19">
        <v>0</v>
      </c>
      <c r="J34" s="19" t="s">
        <v>35</v>
      </c>
      <c r="K34" s="19" t="s">
        <v>35</v>
      </c>
      <c r="L34" s="72">
        <v>157.1371</v>
      </c>
      <c r="M34" s="64" t="s">
        <v>309</v>
      </c>
      <c r="N34" s="20"/>
      <c r="O34" s="65"/>
      <c r="P34" s="65"/>
      <c r="Q34" s="66"/>
    </row>
    <row r="35" spans="1:18" s="203" customFormat="1" x14ac:dyDescent="0.25">
      <c r="A35" s="192" t="s">
        <v>632</v>
      </c>
      <c r="B35" s="193" t="s">
        <v>651</v>
      </c>
      <c r="C35" s="194" t="s">
        <v>90</v>
      </c>
      <c r="D35" s="193" t="s">
        <v>91</v>
      </c>
      <c r="E35" s="193">
        <v>33</v>
      </c>
      <c r="F35" s="194" t="s">
        <v>97</v>
      </c>
      <c r="G35" s="193" t="s">
        <v>103</v>
      </c>
      <c r="H35" s="196">
        <v>49.2</v>
      </c>
      <c r="I35" s="196">
        <v>0</v>
      </c>
      <c r="J35" s="196" t="s">
        <v>35</v>
      </c>
      <c r="K35" s="196" t="s">
        <v>35</v>
      </c>
      <c r="L35" s="197">
        <v>60.792400000000001</v>
      </c>
      <c r="M35" s="198" t="s">
        <v>310</v>
      </c>
      <c r="N35" s="199"/>
      <c r="O35" s="200"/>
      <c r="P35" s="200"/>
      <c r="Q35" s="201"/>
      <c r="R35" s="202"/>
    </row>
    <row r="36" spans="1:18" s="203" customFormat="1" x14ac:dyDescent="0.25">
      <c r="A36" s="192" t="s">
        <v>632</v>
      </c>
      <c r="B36" s="193" t="s">
        <v>655</v>
      </c>
      <c r="C36" s="194" t="s">
        <v>86</v>
      </c>
      <c r="D36" s="193" t="s">
        <v>87</v>
      </c>
      <c r="E36" s="193">
        <v>11</v>
      </c>
      <c r="F36" s="194" t="s">
        <v>96</v>
      </c>
      <c r="G36" s="193" t="s">
        <v>102</v>
      </c>
      <c r="H36" s="196">
        <v>49.2</v>
      </c>
      <c r="I36" s="196">
        <v>0</v>
      </c>
      <c r="J36" s="196" t="s">
        <v>35</v>
      </c>
      <c r="K36" s="196" t="s">
        <v>35</v>
      </c>
      <c r="L36" s="197">
        <v>17.210699999999999</v>
      </c>
      <c r="M36" s="198" t="s">
        <v>308</v>
      </c>
      <c r="N36" s="199"/>
      <c r="O36" s="200"/>
      <c r="P36" s="200"/>
      <c r="Q36" s="201"/>
      <c r="R36" s="202"/>
    </row>
    <row r="37" spans="1:18" x14ac:dyDescent="0.25">
      <c r="A37" s="106" t="s">
        <v>632</v>
      </c>
      <c r="B37" s="17" t="s">
        <v>655</v>
      </c>
      <c r="C37" s="22" t="s">
        <v>82</v>
      </c>
      <c r="D37" s="17" t="s">
        <v>83</v>
      </c>
      <c r="E37" s="17">
        <v>33</v>
      </c>
      <c r="F37" s="22" t="s">
        <v>95</v>
      </c>
      <c r="G37" s="17" t="s">
        <v>99</v>
      </c>
      <c r="H37" s="19">
        <v>49.2</v>
      </c>
      <c r="I37" s="19">
        <v>0</v>
      </c>
      <c r="J37" s="19" t="s">
        <v>35</v>
      </c>
      <c r="K37" s="19" t="s">
        <v>35</v>
      </c>
      <c r="L37" s="72">
        <v>42.691000000000003</v>
      </c>
      <c r="M37" s="64" t="s">
        <v>307</v>
      </c>
      <c r="N37" s="20"/>
      <c r="O37" s="65"/>
      <c r="P37" s="65"/>
      <c r="Q37" s="66"/>
    </row>
    <row r="38" spans="1:18" x14ac:dyDescent="0.25">
      <c r="A38" s="104" t="s">
        <v>634</v>
      </c>
      <c r="B38" s="7" t="s">
        <v>107</v>
      </c>
      <c r="C38" s="6" t="s">
        <v>111</v>
      </c>
      <c r="D38" s="7" t="s">
        <v>112</v>
      </c>
      <c r="E38" s="7">
        <v>33</v>
      </c>
      <c r="F38" s="6" t="s">
        <v>97</v>
      </c>
      <c r="G38" s="7" t="s">
        <v>103</v>
      </c>
      <c r="H38" s="8">
        <v>49.1</v>
      </c>
      <c r="I38" s="8">
        <v>0</v>
      </c>
      <c r="J38" s="8" t="s">
        <v>35</v>
      </c>
      <c r="K38" s="8" t="s">
        <v>35</v>
      </c>
      <c r="L38" s="73">
        <v>22.373200000000001</v>
      </c>
      <c r="M38" s="88" t="s">
        <v>313</v>
      </c>
      <c r="N38" s="124"/>
      <c r="O38" s="65"/>
      <c r="P38" s="65"/>
      <c r="Q38" s="66"/>
    </row>
    <row r="39" spans="1:18" x14ac:dyDescent="0.25">
      <c r="A39" s="104" t="s">
        <v>634</v>
      </c>
      <c r="B39" s="7" t="s">
        <v>107</v>
      </c>
      <c r="C39" s="6" t="s">
        <v>113</v>
      </c>
      <c r="D39" s="7" t="s">
        <v>114</v>
      </c>
      <c r="E39" s="7">
        <v>33</v>
      </c>
      <c r="F39" s="6" t="s">
        <v>97</v>
      </c>
      <c r="G39" s="7" t="s">
        <v>104</v>
      </c>
      <c r="H39" s="8">
        <v>49.1</v>
      </c>
      <c r="I39" s="8">
        <v>0</v>
      </c>
      <c r="J39" s="8" t="s">
        <v>35</v>
      </c>
      <c r="K39" s="8" t="s">
        <v>35</v>
      </c>
      <c r="L39" s="73">
        <v>24.6724</v>
      </c>
      <c r="M39" s="88" t="s">
        <v>314</v>
      </c>
      <c r="N39" s="124"/>
      <c r="O39" s="65"/>
      <c r="P39" s="65"/>
      <c r="Q39" s="66"/>
    </row>
    <row r="40" spans="1:18" x14ac:dyDescent="0.25">
      <c r="A40" s="104" t="s">
        <v>634</v>
      </c>
      <c r="B40" s="7" t="s">
        <v>107</v>
      </c>
      <c r="C40" s="6" t="s">
        <v>115</v>
      </c>
      <c r="D40" s="7" t="s">
        <v>116</v>
      </c>
      <c r="E40" s="7">
        <v>33</v>
      </c>
      <c r="F40" s="6" t="s">
        <v>95</v>
      </c>
      <c r="G40" s="7" t="s">
        <v>99</v>
      </c>
      <c r="H40" s="8">
        <v>49.1</v>
      </c>
      <c r="I40" s="8">
        <v>0</v>
      </c>
      <c r="J40" s="8" t="s">
        <v>35</v>
      </c>
      <c r="K40" s="8" t="s">
        <v>35</v>
      </c>
      <c r="L40" s="73">
        <v>32.143300000000004</v>
      </c>
      <c r="M40" s="88" t="s">
        <v>315</v>
      </c>
      <c r="N40" s="124"/>
      <c r="O40" s="65"/>
      <c r="P40" s="65"/>
      <c r="Q40" s="66"/>
    </row>
    <row r="41" spans="1:18" x14ac:dyDescent="0.25">
      <c r="A41" s="104" t="s">
        <v>634</v>
      </c>
      <c r="B41" s="7" t="s">
        <v>107</v>
      </c>
      <c r="C41" s="6" t="s">
        <v>135</v>
      </c>
      <c r="D41" s="7" t="s">
        <v>136</v>
      </c>
      <c r="E41" s="7">
        <v>33</v>
      </c>
      <c r="F41" s="6" t="s">
        <v>147</v>
      </c>
      <c r="G41" s="7" t="s">
        <v>99</v>
      </c>
      <c r="H41" s="8">
        <v>49.1</v>
      </c>
      <c r="I41" s="8">
        <v>0</v>
      </c>
      <c r="J41" s="8" t="s">
        <v>35</v>
      </c>
      <c r="K41" s="8" t="s">
        <v>35</v>
      </c>
      <c r="L41" s="73">
        <v>8.5343</v>
      </c>
      <c r="M41" s="88" t="s">
        <v>331</v>
      </c>
      <c r="N41" s="124"/>
      <c r="O41" s="65"/>
      <c r="P41" s="65"/>
      <c r="Q41" s="66"/>
    </row>
    <row r="42" spans="1:18" x14ac:dyDescent="0.25">
      <c r="A42" s="104" t="s">
        <v>634</v>
      </c>
      <c r="B42" s="7" t="s">
        <v>651</v>
      </c>
      <c r="C42" s="6" t="s">
        <v>143</v>
      </c>
      <c r="D42" s="7" t="s">
        <v>144</v>
      </c>
      <c r="E42" s="7">
        <v>33</v>
      </c>
      <c r="F42" s="6" t="s">
        <v>148</v>
      </c>
      <c r="G42" s="7" t="s">
        <v>154</v>
      </c>
      <c r="H42" s="8">
        <v>49.1</v>
      </c>
      <c r="I42" s="8">
        <v>0</v>
      </c>
      <c r="J42" s="8" t="s">
        <v>35</v>
      </c>
      <c r="K42" s="8" t="s">
        <v>35</v>
      </c>
      <c r="L42" s="73">
        <v>123.2475</v>
      </c>
      <c r="M42" s="88" t="s">
        <v>327</v>
      </c>
      <c r="N42" s="124"/>
      <c r="O42" s="65"/>
      <c r="P42" s="65"/>
      <c r="Q42" s="66"/>
    </row>
    <row r="43" spans="1:18" x14ac:dyDescent="0.25">
      <c r="A43" s="104" t="s">
        <v>634</v>
      </c>
      <c r="B43" s="7" t="s">
        <v>651</v>
      </c>
      <c r="C43" s="6" t="s">
        <v>121</v>
      </c>
      <c r="D43" s="7" t="s">
        <v>122</v>
      </c>
      <c r="E43" s="7">
        <v>11</v>
      </c>
      <c r="F43" s="6" t="s">
        <v>96</v>
      </c>
      <c r="G43" s="7" t="s">
        <v>102</v>
      </c>
      <c r="H43" s="8">
        <v>49.1</v>
      </c>
      <c r="I43" s="8">
        <v>0</v>
      </c>
      <c r="J43" s="8" t="s">
        <v>35</v>
      </c>
      <c r="K43" s="8" t="s">
        <v>35</v>
      </c>
      <c r="L43" s="73">
        <v>24.516100000000002</v>
      </c>
      <c r="M43" s="88" t="s">
        <v>318</v>
      </c>
      <c r="N43" s="124"/>
      <c r="O43" s="65"/>
      <c r="P43" s="65"/>
      <c r="Q43" s="66"/>
    </row>
    <row r="44" spans="1:18" x14ac:dyDescent="0.25">
      <c r="A44" s="104" t="s">
        <v>634</v>
      </c>
      <c r="B44" s="7" t="s">
        <v>650</v>
      </c>
      <c r="C44" s="6" t="s">
        <v>123</v>
      </c>
      <c r="D44" s="7" t="s">
        <v>124</v>
      </c>
      <c r="E44" s="7">
        <v>230</v>
      </c>
      <c r="F44" s="6" t="s">
        <v>149</v>
      </c>
      <c r="G44" s="7" t="s">
        <v>151</v>
      </c>
      <c r="H44" s="8">
        <v>49.1</v>
      </c>
      <c r="I44" s="8">
        <v>0</v>
      </c>
      <c r="J44" s="8" t="s">
        <v>35</v>
      </c>
      <c r="K44" s="8" t="s">
        <v>35</v>
      </c>
      <c r="L44" s="73" t="s">
        <v>692</v>
      </c>
      <c r="M44" s="88" t="s">
        <v>339</v>
      </c>
      <c r="N44" s="124"/>
      <c r="O44" s="65"/>
      <c r="P44" s="65"/>
      <c r="Q44" s="66"/>
    </row>
    <row r="45" spans="1:18" x14ac:dyDescent="0.25">
      <c r="A45" s="104" t="s">
        <v>634</v>
      </c>
      <c r="B45" s="7" t="s">
        <v>650</v>
      </c>
      <c r="C45" s="6" t="s">
        <v>125</v>
      </c>
      <c r="D45" s="7" t="s">
        <v>126</v>
      </c>
      <c r="E45" s="7">
        <v>22</v>
      </c>
      <c r="F45" s="6" t="s">
        <v>94</v>
      </c>
      <c r="G45" s="7" t="s">
        <v>99</v>
      </c>
      <c r="H45" s="8">
        <v>49.1</v>
      </c>
      <c r="I45" s="8">
        <v>0</v>
      </c>
      <c r="J45" s="8" t="s">
        <v>35</v>
      </c>
      <c r="K45" s="8" t="s">
        <v>35</v>
      </c>
      <c r="L45" s="73">
        <v>29.3428</v>
      </c>
      <c r="M45" s="88" t="s">
        <v>322</v>
      </c>
      <c r="N45" s="124"/>
      <c r="O45" s="65"/>
      <c r="P45" s="65"/>
      <c r="Q45" s="66"/>
    </row>
    <row r="46" spans="1:18" x14ac:dyDescent="0.25">
      <c r="A46" s="104" t="s">
        <v>634</v>
      </c>
      <c r="B46" s="7" t="s">
        <v>652</v>
      </c>
      <c r="C46" s="6" t="s">
        <v>129</v>
      </c>
      <c r="D46" s="7" t="s">
        <v>130</v>
      </c>
      <c r="E46" s="7">
        <v>132</v>
      </c>
      <c r="F46" s="6" t="s">
        <v>258</v>
      </c>
      <c r="G46" s="7" t="s">
        <v>152</v>
      </c>
      <c r="H46" s="8">
        <v>49.1</v>
      </c>
      <c r="I46" s="8">
        <v>0</v>
      </c>
      <c r="J46" s="8" t="s">
        <v>35</v>
      </c>
      <c r="K46" s="8" t="s">
        <v>35</v>
      </c>
      <c r="L46" s="73">
        <v>30</v>
      </c>
      <c r="M46" s="88" t="s">
        <v>329</v>
      </c>
      <c r="N46" s="124"/>
      <c r="O46" s="65"/>
      <c r="P46" s="65"/>
      <c r="Q46" s="66"/>
    </row>
    <row r="47" spans="1:18" x14ac:dyDescent="0.25">
      <c r="A47" s="104" t="s">
        <v>634</v>
      </c>
      <c r="B47" s="7" t="s">
        <v>654</v>
      </c>
      <c r="C47" s="6" t="s">
        <v>131</v>
      </c>
      <c r="D47" s="7" t="s">
        <v>132</v>
      </c>
      <c r="E47" s="7">
        <v>132</v>
      </c>
      <c r="F47" s="6" t="s">
        <v>150</v>
      </c>
      <c r="G47" s="7" t="s">
        <v>39</v>
      </c>
      <c r="H47" s="8">
        <v>49.1</v>
      </c>
      <c r="I47" s="8">
        <v>0</v>
      </c>
      <c r="J47" s="8" t="s">
        <v>35</v>
      </c>
      <c r="K47" s="8" t="s">
        <v>35</v>
      </c>
      <c r="L47" s="73">
        <v>36</v>
      </c>
      <c r="M47" s="88" t="s">
        <v>330</v>
      </c>
      <c r="N47" s="124"/>
      <c r="O47" s="65"/>
      <c r="P47" s="65"/>
      <c r="Q47" s="66"/>
    </row>
    <row r="48" spans="1:18" x14ac:dyDescent="0.25">
      <c r="A48" s="104" t="s">
        <v>634</v>
      </c>
      <c r="B48" s="7" t="s">
        <v>45</v>
      </c>
      <c r="C48" s="6" t="s">
        <v>127</v>
      </c>
      <c r="D48" s="7" t="s">
        <v>128</v>
      </c>
      <c r="E48" s="7">
        <v>33</v>
      </c>
      <c r="F48" s="6" t="s">
        <v>95</v>
      </c>
      <c r="G48" s="7" t="s">
        <v>99</v>
      </c>
      <c r="H48" s="8">
        <v>49.1</v>
      </c>
      <c r="I48" s="8">
        <v>0</v>
      </c>
      <c r="J48" s="8" t="s">
        <v>35</v>
      </c>
      <c r="K48" s="8" t="s">
        <v>35</v>
      </c>
      <c r="L48" s="73">
        <v>77.918000000000006</v>
      </c>
      <c r="M48" s="88" t="s">
        <v>319</v>
      </c>
      <c r="N48" s="124"/>
      <c r="O48" s="65"/>
      <c r="P48" s="65"/>
      <c r="Q48" s="66"/>
    </row>
    <row r="49" spans="1:18" x14ac:dyDescent="0.25">
      <c r="A49" s="104" t="s">
        <v>634</v>
      </c>
      <c r="B49" s="7" t="s">
        <v>45</v>
      </c>
      <c r="C49" s="6" t="s">
        <v>133</v>
      </c>
      <c r="D49" s="7" t="s">
        <v>134</v>
      </c>
      <c r="E49" s="7">
        <v>33</v>
      </c>
      <c r="F49" s="6" t="s">
        <v>148</v>
      </c>
      <c r="G49" s="7" t="s">
        <v>155</v>
      </c>
      <c r="H49" s="8">
        <v>49.1</v>
      </c>
      <c r="I49" s="8">
        <v>0</v>
      </c>
      <c r="J49" s="8" t="s">
        <v>35</v>
      </c>
      <c r="K49" s="8" t="s">
        <v>35</v>
      </c>
      <c r="L49" s="73">
        <v>72.869799999999998</v>
      </c>
      <c r="M49" s="88" t="s">
        <v>323</v>
      </c>
      <c r="N49" s="124"/>
      <c r="O49" s="65"/>
      <c r="P49" s="65"/>
      <c r="Q49" s="66"/>
    </row>
    <row r="50" spans="1:18" x14ac:dyDescent="0.25">
      <c r="A50" s="104" t="s">
        <v>634</v>
      </c>
      <c r="B50" s="7" t="s">
        <v>45</v>
      </c>
      <c r="C50" s="6" t="s">
        <v>119</v>
      </c>
      <c r="D50" s="7" t="s">
        <v>120</v>
      </c>
      <c r="E50" s="7">
        <v>33</v>
      </c>
      <c r="F50" s="6" t="s">
        <v>146</v>
      </c>
      <c r="G50" s="7" t="s">
        <v>99</v>
      </c>
      <c r="H50" s="8">
        <v>49.1</v>
      </c>
      <c r="I50" s="8">
        <v>0</v>
      </c>
      <c r="J50" s="8" t="s">
        <v>35</v>
      </c>
      <c r="K50" s="8" t="s">
        <v>35</v>
      </c>
      <c r="L50" s="73">
        <v>64</v>
      </c>
      <c r="M50" s="88" t="s">
        <v>317</v>
      </c>
      <c r="N50" s="124"/>
      <c r="O50" s="65"/>
      <c r="P50" s="65"/>
      <c r="Q50" s="66"/>
    </row>
    <row r="51" spans="1:18" s="191" customFormat="1" x14ac:dyDescent="0.25">
      <c r="A51" s="173" t="s">
        <v>634</v>
      </c>
      <c r="B51" s="185" t="s">
        <v>195</v>
      </c>
      <c r="C51" s="186" t="s">
        <v>137</v>
      </c>
      <c r="D51" s="185" t="s">
        <v>138</v>
      </c>
      <c r="E51" s="185">
        <v>33</v>
      </c>
      <c r="F51" s="186" t="s">
        <v>340</v>
      </c>
      <c r="G51" s="185" t="s">
        <v>187</v>
      </c>
      <c r="H51" s="187">
        <v>49.1</v>
      </c>
      <c r="I51" s="187">
        <v>0</v>
      </c>
      <c r="J51" s="187" t="s">
        <v>35</v>
      </c>
      <c r="K51" s="187" t="s">
        <v>35</v>
      </c>
      <c r="L51" s="188">
        <v>67.903099999999995</v>
      </c>
      <c r="M51" s="189" t="s">
        <v>324</v>
      </c>
      <c r="N51" s="186" t="s">
        <v>749</v>
      </c>
      <c r="O51" s="189"/>
      <c r="P51" s="189"/>
      <c r="Q51" s="185"/>
      <c r="R51" s="190"/>
    </row>
    <row r="52" spans="1:18" x14ac:dyDescent="0.25">
      <c r="A52" s="104" t="s">
        <v>634</v>
      </c>
      <c r="B52" s="7" t="s">
        <v>577</v>
      </c>
      <c r="C52" s="6" t="s">
        <v>139</v>
      </c>
      <c r="D52" s="7" t="s">
        <v>140</v>
      </c>
      <c r="E52" s="7">
        <v>11</v>
      </c>
      <c r="F52" s="6" t="s">
        <v>96</v>
      </c>
      <c r="G52" s="7" t="s">
        <v>102</v>
      </c>
      <c r="H52" s="8">
        <v>49.1</v>
      </c>
      <c r="I52" s="8">
        <v>0</v>
      </c>
      <c r="J52" s="8" t="s">
        <v>35</v>
      </c>
      <c r="K52" s="8" t="s">
        <v>35</v>
      </c>
      <c r="L52" s="73">
        <v>20.286300000000001</v>
      </c>
      <c r="M52" s="88" t="s">
        <v>325</v>
      </c>
      <c r="N52" s="124"/>
      <c r="O52" s="65"/>
      <c r="P52" s="65"/>
      <c r="Q52" s="66"/>
    </row>
    <row r="53" spans="1:18" s="183" customFormat="1" x14ac:dyDescent="0.25">
      <c r="A53" s="173" t="s">
        <v>634</v>
      </c>
      <c r="B53" s="174" t="s">
        <v>649</v>
      </c>
      <c r="C53" s="175" t="s">
        <v>117</v>
      </c>
      <c r="D53" s="174" t="s">
        <v>118</v>
      </c>
      <c r="E53" s="174">
        <v>33</v>
      </c>
      <c r="F53" s="175" t="s">
        <v>95</v>
      </c>
      <c r="G53" s="184" t="s">
        <v>99</v>
      </c>
      <c r="H53" s="176">
        <v>49.1</v>
      </c>
      <c r="I53" s="176">
        <v>0</v>
      </c>
      <c r="J53" s="176" t="s">
        <v>35</v>
      </c>
      <c r="K53" s="176" t="s">
        <v>35</v>
      </c>
      <c r="L53" s="177">
        <v>74.321299999999994</v>
      </c>
      <c r="M53" s="178" t="s">
        <v>316</v>
      </c>
      <c r="N53" s="179"/>
      <c r="O53" s="180"/>
      <c r="P53" s="180"/>
      <c r="Q53" s="181"/>
      <c r="R53" s="182"/>
    </row>
    <row r="54" spans="1:18" x14ac:dyDescent="0.25">
      <c r="A54" s="104" t="s">
        <v>634</v>
      </c>
      <c r="B54" s="7" t="s">
        <v>649</v>
      </c>
      <c r="C54" s="6" t="s">
        <v>141</v>
      </c>
      <c r="D54" s="7" t="s">
        <v>142</v>
      </c>
      <c r="E54" s="7">
        <v>33</v>
      </c>
      <c r="F54" s="58" t="s">
        <v>97</v>
      </c>
      <c r="G54" s="7" t="s">
        <v>153</v>
      </c>
      <c r="H54" s="8">
        <v>49.1</v>
      </c>
      <c r="I54" s="8">
        <v>0</v>
      </c>
      <c r="J54" s="8" t="s">
        <v>35</v>
      </c>
      <c r="K54" s="8" t="s">
        <v>35</v>
      </c>
      <c r="L54" s="73">
        <v>51.971400000000003</v>
      </c>
      <c r="M54" s="88" t="s">
        <v>326</v>
      </c>
      <c r="N54" s="124"/>
      <c r="O54" s="65"/>
      <c r="P54" s="65"/>
      <c r="Q54" s="66"/>
    </row>
    <row r="55" spans="1:18" x14ac:dyDescent="0.25">
      <c r="A55" s="104" t="s">
        <v>634</v>
      </c>
      <c r="B55" s="7" t="s">
        <v>649</v>
      </c>
      <c r="C55" s="6" t="s">
        <v>141</v>
      </c>
      <c r="D55" s="7" t="s">
        <v>142</v>
      </c>
      <c r="E55" s="7">
        <v>11</v>
      </c>
      <c r="F55" s="58" t="s">
        <v>96</v>
      </c>
      <c r="G55" s="7" t="s">
        <v>101</v>
      </c>
      <c r="H55" s="8">
        <v>49.1</v>
      </c>
      <c r="I55" s="8">
        <v>0</v>
      </c>
      <c r="J55" s="8" t="s">
        <v>35</v>
      </c>
      <c r="K55" s="8" t="s">
        <v>35</v>
      </c>
      <c r="L55" s="73">
        <v>31.654699999999998</v>
      </c>
      <c r="M55" s="88" t="s">
        <v>332</v>
      </c>
      <c r="N55" s="124"/>
      <c r="O55" s="65"/>
      <c r="P55" s="65"/>
      <c r="Q55" s="66"/>
    </row>
    <row r="56" spans="1:18" x14ac:dyDescent="0.25">
      <c r="A56" s="104" t="s">
        <v>634</v>
      </c>
      <c r="B56" s="7" t="s">
        <v>653</v>
      </c>
      <c r="C56" s="6" t="s">
        <v>656</v>
      </c>
      <c r="D56" s="7" t="s">
        <v>145</v>
      </c>
      <c r="E56" s="7">
        <v>11</v>
      </c>
      <c r="F56" s="6" t="s">
        <v>96</v>
      </c>
      <c r="G56" s="7" t="s">
        <v>102</v>
      </c>
      <c r="H56" s="8">
        <v>49.1</v>
      </c>
      <c r="I56" s="8">
        <v>0</v>
      </c>
      <c r="J56" s="8" t="s">
        <v>35</v>
      </c>
      <c r="K56" s="8" t="s">
        <v>35</v>
      </c>
      <c r="L56" s="73">
        <v>9.4039999999999999</v>
      </c>
      <c r="M56" s="88" t="s">
        <v>328</v>
      </c>
      <c r="N56" s="124"/>
      <c r="O56" s="65"/>
      <c r="P56" s="65"/>
      <c r="Q56" s="66"/>
    </row>
    <row r="57" spans="1:18" s="2" customFormat="1" x14ac:dyDescent="0.25">
      <c r="A57" s="107" t="s">
        <v>635</v>
      </c>
      <c r="B57" s="98" t="s">
        <v>195</v>
      </c>
      <c r="C57" s="99" t="s">
        <v>185</v>
      </c>
      <c r="D57" s="98" t="s">
        <v>186</v>
      </c>
      <c r="E57" s="98">
        <v>33</v>
      </c>
      <c r="F57" s="100" t="s">
        <v>95</v>
      </c>
      <c r="G57" s="98" t="s">
        <v>99</v>
      </c>
      <c r="H57" s="101">
        <v>49</v>
      </c>
      <c r="I57" s="101">
        <v>0</v>
      </c>
      <c r="J57" s="101" t="s">
        <v>35</v>
      </c>
      <c r="K57" s="101" t="s">
        <v>35</v>
      </c>
      <c r="L57" s="98">
        <v>60</v>
      </c>
      <c r="M57" s="102" t="s">
        <v>333</v>
      </c>
      <c r="N57" s="45" t="s">
        <v>750</v>
      </c>
      <c r="O57" s="87"/>
      <c r="P57" s="87"/>
      <c r="Q57" s="46"/>
      <c r="R57" s="38"/>
    </row>
    <row r="58" spans="1:18" x14ac:dyDescent="0.25">
      <c r="A58" s="108" t="s">
        <v>635</v>
      </c>
      <c r="B58" s="17" t="s">
        <v>653</v>
      </c>
      <c r="C58" s="22" t="s">
        <v>163</v>
      </c>
      <c r="D58" s="17" t="s">
        <v>164</v>
      </c>
      <c r="E58" s="17">
        <v>11</v>
      </c>
      <c r="F58" s="22" t="s">
        <v>183</v>
      </c>
      <c r="G58" s="17" t="s">
        <v>102</v>
      </c>
      <c r="H58" s="19">
        <v>49</v>
      </c>
      <c r="I58" s="19">
        <v>0</v>
      </c>
      <c r="J58" s="19" t="s">
        <v>35</v>
      </c>
      <c r="K58" s="19" t="s">
        <v>35</v>
      </c>
      <c r="L58" s="72">
        <v>26.876999999999999</v>
      </c>
      <c r="M58" s="17" t="s">
        <v>337</v>
      </c>
      <c r="N58" s="20"/>
      <c r="O58" s="65"/>
      <c r="P58" s="65"/>
      <c r="Q58" s="66"/>
    </row>
    <row r="59" spans="1:18" x14ac:dyDescent="0.25">
      <c r="A59" s="108" t="s">
        <v>635</v>
      </c>
      <c r="B59" s="17" t="s">
        <v>653</v>
      </c>
      <c r="C59" s="22" t="s">
        <v>165</v>
      </c>
      <c r="D59" s="17" t="s">
        <v>166</v>
      </c>
      <c r="E59" s="17">
        <v>11</v>
      </c>
      <c r="F59" s="22" t="s">
        <v>184</v>
      </c>
      <c r="G59" s="17" t="s">
        <v>190</v>
      </c>
      <c r="H59" s="19">
        <v>49</v>
      </c>
      <c r="I59" s="19">
        <v>0</v>
      </c>
      <c r="J59" s="19" t="s">
        <v>35</v>
      </c>
      <c r="K59" s="19" t="s">
        <v>35</v>
      </c>
      <c r="L59" s="72">
        <v>32.391599999999997</v>
      </c>
      <c r="M59" s="17" t="s">
        <v>338</v>
      </c>
      <c r="N59" s="20"/>
      <c r="O59" s="65"/>
      <c r="P59" s="65"/>
      <c r="Q59" s="66"/>
    </row>
    <row r="60" spans="1:18" x14ac:dyDescent="0.25">
      <c r="A60" s="108" t="s">
        <v>635</v>
      </c>
      <c r="B60" s="17" t="s">
        <v>45</v>
      </c>
      <c r="C60" s="22" t="s">
        <v>158</v>
      </c>
      <c r="D60" s="17" t="s">
        <v>25</v>
      </c>
      <c r="E60" s="17">
        <v>11</v>
      </c>
      <c r="F60" s="22" t="s">
        <v>96</v>
      </c>
      <c r="G60" s="17" t="s">
        <v>102</v>
      </c>
      <c r="H60" s="19">
        <v>49</v>
      </c>
      <c r="I60" s="19">
        <v>0</v>
      </c>
      <c r="J60" s="19" t="s">
        <v>35</v>
      </c>
      <c r="K60" s="19" t="s">
        <v>35</v>
      </c>
      <c r="L60" s="72">
        <v>18.985199999999999</v>
      </c>
      <c r="M60" s="17" t="s">
        <v>621</v>
      </c>
      <c r="N60" s="20"/>
      <c r="O60" s="65"/>
      <c r="P60" s="65"/>
      <c r="Q60" s="66"/>
    </row>
    <row r="61" spans="1:18" x14ac:dyDescent="0.25">
      <c r="A61" s="108" t="s">
        <v>635</v>
      </c>
      <c r="B61" s="17" t="s">
        <v>45</v>
      </c>
      <c r="C61" s="22" t="s">
        <v>167</v>
      </c>
      <c r="D61" s="17" t="s">
        <v>168</v>
      </c>
      <c r="E61" s="17">
        <v>132</v>
      </c>
      <c r="F61" s="22" t="s">
        <v>192</v>
      </c>
      <c r="G61" s="17" t="s">
        <v>191</v>
      </c>
      <c r="H61" s="19">
        <v>49</v>
      </c>
      <c r="I61" s="19">
        <v>0</v>
      </c>
      <c r="J61" s="19" t="s">
        <v>35</v>
      </c>
      <c r="K61" s="19" t="s">
        <v>35</v>
      </c>
      <c r="L61" s="72">
        <v>130</v>
      </c>
      <c r="M61" s="17" t="s">
        <v>622</v>
      </c>
      <c r="N61" s="20"/>
      <c r="O61" s="65"/>
      <c r="P61" s="65"/>
      <c r="Q61" s="66"/>
    </row>
    <row r="62" spans="1:18" x14ac:dyDescent="0.25">
      <c r="A62" s="108" t="s">
        <v>635</v>
      </c>
      <c r="B62" s="17" t="s">
        <v>45</v>
      </c>
      <c r="C62" s="22" t="s">
        <v>169</v>
      </c>
      <c r="D62" s="17" t="s">
        <v>170</v>
      </c>
      <c r="E62" s="17">
        <v>33</v>
      </c>
      <c r="F62" s="22" t="s">
        <v>97</v>
      </c>
      <c r="G62" s="41" t="s">
        <v>103</v>
      </c>
      <c r="H62" s="19">
        <v>49</v>
      </c>
      <c r="I62" s="19">
        <v>0</v>
      </c>
      <c r="J62" s="19" t="s">
        <v>35</v>
      </c>
      <c r="K62" s="19" t="s">
        <v>35</v>
      </c>
      <c r="L62" s="72">
        <v>41.836399999999998</v>
      </c>
      <c r="M62" s="64" t="s">
        <v>623</v>
      </c>
      <c r="N62" s="20"/>
      <c r="O62" s="65"/>
      <c r="P62" s="65"/>
      <c r="Q62" s="66"/>
    </row>
    <row r="63" spans="1:18" x14ac:dyDescent="0.25">
      <c r="A63" s="108" t="s">
        <v>635</v>
      </c>
      <c r="B63" s="17" t="s">
        <v>652</v>
      </c>
      <c r="C63" s="22" t="s">
        <v>161</v>
      </c>
      <c r="D63" s="17" t="s">
        <v>162</v>
      </c>
      <c r="E63" s="17">
        <v>11</v>
      </c>
      <c r="F63" s="22" t="s">
        <v>96</v>
      </c>
      <c r="G63" s="17" t="s">
        <v>102</v>
      </c>
      <c r="H63" s="19">
        <v>49</v>
      </c>
      <c r="I63" s="19">
        <v>0</v>
      </c>
      <c r="J63" s="19" t="s">
        <v>35</v>
      </c>
      <c r="K63" s="19" t="s">
        <v>35</v>
      </c>
      <c r="L63" s="72">
        <v>28.040600000000001</v>
      </c>
      <c r="M63" s="17" t="s">
        <v>335</v>
      </c>
      <c r="N63" s="20"/>
      <c r="O63" s="65"/>
      <c r="P63" s="65"/>
      <c r="Q63" s="66"/>
    </row>
    <row r="64" spans="1:18" x14ac:dyDescent="0.25">
      <c r="A64" s="108" t="s">
        <v>635</v>
      </c>
      <c r="B64" s="17" t="s">
        <v>652</v>
      </c>
      <c r="C64" s="22" t="s">
        <v>161</v>
      </c>
      <c r="D64" s="17" t="s">
        <v>162</v>
      </c>
      <c r="E64" s="17">
        <v>33</v>
      </c>
      <c r="F64" s="22" t="s">
        <v>97</v>
      </c>
      <c r="G64" s="17" t="s">
        <v>189</v>
      </c>
      <c r="H64" s="19">
        <v>49</v>
      </c>
      <c r="I64" s="19">
        <v>0</v>
      </c>
      <c r="J64" s="19" t="s">
        <v>35</v>
      </c>
      <c r="K64" s="19" t="s">
        <v>35</v>
      </c>
      <c r="L64" s="72">
        <v>98.081900000000005</v>
      </c>
      <c r="M64" s="17" t="s">
        <v>336</v>
      </c>
      <c r="N64" s="20"/>
      <c r="O64" s="65"/>
      <c r="P64" s="65"/>
      <c r="Q64" s="66"/>
    </row>
    <row r="65" spans="1:18" x14ac:dyDescent="0.25">
      <c r="A65" s="108" t="s">
        <v>635</v>
      </c>
      <c r="B65" s="17" t="s">
        <v>652</v>
      </c>
      <c r="C65" s="22" t="s">
        <v>175</v>
      </c>
      <c r="D65" s="17" t="s">
        <v>176</v>
      </c>
      <c r="E65" s="17">
        <v>11</v>
      </c>
      <c r="F65" s="22" t="s">
        <v>96</v>
      </c>
      <c r="G65" s="17" t="s">
        <v>102</v>
      </c>
      <c r="H65" s="19">
        <v>49</v>
      </c>
      <c r="I65" s="19">
        <v>0</v>
      </c>
      <c r="J65" s="19" t="s">
        <v>35</v>
      </c>
      <c r="K65" s="19" t="s">
        <v>35</v>
      </c>
      <c r="L65" s="72">
        <v>23.207999999999998</v>
      </c>
      <c r="M65" s="17" t="s">
        <v>626</v>
      </c>
      <c r="N65" s="20"/>
      <c r="O65" s="65"/>
      <c r="P65" s="65"/>
      <c r="Q65" s="66"/>
    </row>
    <row r="66" spans="1:18" s="82" customFormat="1" x14ac:dyDescent="0.25">
      <c r="A66" s="108" t="s">
        <v>635</v>
      </c>
      <c r="B66" s="17" t="s">
        <v>649</v>
      </c>
      <c r="C66" s="22" t="s">
        <v>742</v>
      </c>
      <c r="D66" s="17" t="s">
        <v>744</v>
      </c>
      <c r="E66" s="67">
        <v>33</v>
      </c>
      <c r="F66" s="81" t="s">
        <v>743</v>
      </c>
      <c r="G66" s="67" t="s">
        <v>99</v>
      </c>
      <c r="H66" s="19">
        <v>49</v>
      </c>
      <c r="I66" s="19">
        <v>0</v>
      </c>
      <c r="J66" s="19" t="s">
        <v>35</v>
      </c>
      <c r="K66" s="19" t="s">
        <v>35</v>
      </c>
      <c r="L66" s="72"/>
      <c r="M66" s="17" t="s">
        <v>747</v>
      </c>
      <c r="N66" s="20"/>
      <c r="O66" s="65"/>
      <c r="P66" s="65"/>
      <c r="Q66" s="66"/>
      <c r="R66" s="5"/>
    </row>
    <row r="67" spans="1:18" s="82" customFormat="1" x14ac:dyDescent="0.25">
      <c r="A67" s="108" t="s">
        <v>635</v>
      </c>
      <c r="B67" s="17" t="s">
        <v>649</v>
      </c>
      <c r="C67" s="22" t="s">
        <v>742</v>
      </c>
      <c r="D67" s="17" t="s">
        <v>744</v>
      </c>
      <c r="E67" s="17">
        <v>11</v>
      </c>
      <c r="F67" s="22" t="s">
        <v>745</v>
      </c>
      <c r="G67" s="67">
        <v>35</v>
      </c>
      <c r="H67" s="19">
        <v>49</v>
      </c>
      <c r="I67" s="19">
        <v>0</v>
      </c>
      <c r="J67" s="19" t="s">
        <v>35</v>
      </c>
      <c r="K67" s="19" t="s">
        <v>35</v>
      </c>
      <c r="L67" s="72"/>
      <c r="M67" s="17" t="s">
        <v>746</v>
      </c>
      <c r="N67" s="20"/>
      <c r="O67" s="65"/>
      <c r="P67" s="65"/>
      <c r="Q67" s="66"/>
      <c r="R67" s="5"/>
    </row>
    <row r="68" spans="1:18" x14ac:dyDescent="0.25">
      <c r="A68" s="108" t="s">
        <v>635</v>
      </c>
      <c r="B68" s="17" t="s">
        <v>649</v>
      </c>
      <c r="C68" s="22" t="s">
        <v>177</v>
      </c>
      <c r="D68" s="17" t="s">
        <v>178</v>
      </c>
      <c r="E68" s="17">
        <v>33</v>
      </c>
      <c r="F68" s="22" t="s">
        <v>97</v>
      </c>
      <c r="G68" s="17" t="s">
        <v>103</v>
      </c>
      <c r="H68" s="19">
        <v>49</v>
      </c>
      <c r="I68" s="19">
        <v>0</v>
      </c>
      <c r="J68" s="19" t="s">
        <v>35</v>
      </c>
      <c r="K68" s="19" t="s">
        <v>35</v>
      </c>
      <c r="L68" s="72">
        <v>61.612099999999998</v>
      </c>
      <c r="M68" s="17" t="s">
        <v>627</v>
      </c>
      <c r="N68" s="20"/>
      <c r="O68" s="65"/>
      <c r="P68" s="65"/>
      <c r="Q68" s="66"/>
    </row>
    <row r="69" spans="1:18" x14ac:dyDescent="0.25">
      <c r="A69" s="108" t="s">
        <v>635</v>
      </c>
      <c r="B69" s="17" t="s">
        <v>651</v>
      </c>
      <c r="C69" s="22" t="s">
        <v>159</v>
      </c>
      <c r="D69" s="17" t="s">
        <v>160</v>
      </c>
      <c r="E69" s="17">
        <v>33</v>
      </c>
      <c r="F69" s="23" t="s">
        <v>95</v>
      </c>
      <c r="G69" s="17" t="s">
        <v>99</v>
      </c>
      <c r="H69" s="19">
        <v>49</v>
      </c>
      <c r="I69" s="19">
        <v>0</v>
      </c>
      <c r="J69" s="19" t="s">
        <v>35</v>
      </c>
      <c r="K69" s="19" t="s">
        <v>35</v>
      </c>
      <c r="L69" s="72">
        <v>85.188500000000005</v>
      </c>
      <c r="M69" s="64" t="s">
        <v>334</v>
      </c>
      <c r="N69" s="20"/>
      <c r="O69" s="65"/>
      <c r="P69" s="65"/>
      <c r="Q69" s="66"/>
    </row>
    <row r="70" spans="1:18" x14ac:dyDescent="0.25">
      <c r="A70" s="108" t="s">
        <v>635</v>
      </c>
      <c r="B70" s="17" t="s">
        <v>651</v>
      </c>
      <c r="C70" s="22" t="s">
        <v>171</v>
      </c>
      <c r="D70" s="17" t="s">
        <v>172</v>
      </c>
      <c r="E70" s="17">
        <v>33</v>
      </c>
      <c r="F70" s="22" t="s">
        <v>97</v>
      </c>
      <c r="G70" s="17" t="s">
        <v>103</v>
      </c>
      <c r="H70" s="19">
        <v>49</v>
      </c>
      <c r="I70" s="19">
        <v>0</v>
      </c>
      <c r="J70" s="19" t="s">
        <v>35</v>
      </c>
      <c r="K70" s="19" t="s">
        <v>35</v>
      </c>
      <c r="L70" s="72">
        <v>75.867199999999997</v>
      </c>
      <c r="M70" s="17" t="s">
        <v>624</v>
      </c>
      <c r="N70" s="20"/>
      <c r="O70" s="65"/>
      <c r="P70" s="65"/>
      <c r="Q70" s="66"/>
    </row>
    <row r="71" spans="1:18" x14ac:dyDescent="0.25">
      <c r="A71" s="108" t="s">
        <v>635</v>
      </c>
      <c r="B71" s="17" t="s">
        <v>651</v>
      </c>
      <c r="C71" s="22" t="s">
        <v>173</v>
      </c>
      <c r="D71" s="17" t="s">
        <v>174</v>
      </c>
      <c r="E71" s="17">
        <v>33</v>
      </c>
      <c r="F71" s="22" t="s">
        <v>95</v>
      </c>
      <c r="G71" s="17" t="s">
        <v>99</v>
      </c>
      <c r="H71" s="19">
        <v>49</v>
      </c>
      <c r="I71" s="19">
        <v>0</v>
      </c>
      <c r="J71" s="19" t="s">
        <v>35</v>
      </c>
      <c r="K71" s="19" t="s">
        <v>35</v>
      </c>
      <c r="L71" s="72">
        <v>65.073499999999996</v>
      </c>
      <c r="M71" s="17" t="s">
        <v>625</v>
      </c>
      <c r="N71" s="20"/>
      <c r="O71" s="65"/>
      <c r="P71" s="65"/>
      <c r="Q71" s="66"/>
    </row>
    <row r="72" spans="1:18" x14ac:dyDescent="0.25">
      <c r="A72" s="108" t="s">
        <v>635</v>
      </c>
      <c r="B72" s="17" t="s">
        <v>651</v>
      </c>
      <c r="C72" s="22" t="s">
        <v>179</v>
      </c>
      <c r="D72" s="17" t="s">
        <v>180</v>
      </c>
      <c r="E72" s="17">
        <v>33</v>
      </c>
      <c r="F72" s="22" t="s">
        <v>95</v>
      </c>
      <c r="G72" s="17" t="s">
        <v>99</v>
      </c>
      <c r="H72" s="19">
        <v>49</v>
      </c>
      <c r="I72" s="19">
        <v>0</v>
      </c>
      <c r="J72" s="19" t="s">
        <v>35</v>
      </c>
      <c r="K72" s="19" t="s">
        <v>35</v>
      </c>
      <c r="L72" s="72">
        <v>85.680400000000006</v>
      </c>
      <c r="M72" s="17" t="s">
        <v>628</v>
      </c>
      <c r="N72" s="20"/>
      <c r="O72" s="65"/>
      <c r="P72" s="65"/>
      <c r="Q72" s="66"/>
    </row>
    <row r="73" spans="1:18" x14ac:dyDescent="0.25">
      <c r="A73" s="108" t="s">
        <v>635</v>
      </c>
      <c r="B73" s="14" t="s">
        <v>651</v>
      </c>
      <c r="C73" s="13" t="s">
        <v>181</v>
      </c>
      <c r="D73" s="14" t="s">
        <v>182</v>
      </c>
      <c r="E73" s="14">
        <v>33</v>
      </c>
      <c r="F73" s="13" t="s">
        <v>97</v>
      </c>
      <c r="G73" s="14" t="s">
        <v>103</v>
      </c>
      <c r="H73" s="18">
        <v>49</v>
      </c>
      <c r="I73" s="18">
        <v>0</v>
      </c>
      <c r="J73" s="18" t="s">
        <v>35</v>
      </c>
      <c r="K73" s="18" t="s">
        <v>35</v>
      </c>
      <c r="L73" s="91">
        <v>52.130299999999998</v>
      </c>
      <c r="M73" s="14" t="s">
        <v>629</v>
      </c>
      <c r="N73" s="20"/>
      <c r="O73" s="65"/>
      <c r="P73" s="65"/>
      <c r="Q73" s="66"/>
    </row>
    <row r="74" spans="1:18" x14ac:dyDescent="0.25">
      <c r="A74" s="104" t="s">
        <v>636</v>
      </c>
      <c r="B74" s="7" t="s">
        <v>195</v>
      </c>
      <c r="C74" s="6" t="s">
        <v>195</v>
      </c>
      <c r="D74" s="7" t="s">
        <v>196</v>
      </c>
      <c r="E74" s="7">
        <v>33</v>
      </c>
      <c r="F74" s="6" t="s">
        <v>216</v>
      </c>
      <c r="G74" s="7" t="s">
        <v>217</v>
      </c>
      <c r="H74" s="8">
        <v>48.9</v>
      </c>
      <c r="I74" s="8">
        <v>0</v>
      </c>
      <c r="J74" s="8" t="s">
        <v>35</v>
      </c>
      <c r="K74" s="8" t="s">
        <v>35</v>
      </c>
      <c r="L74" s="73">
        <v>82.5745</v>
      </c>
      <c r="M74" s="88" t="s">
        <v>271</v>
      </c>
      <c r="N74" s="124"/>
      <c r="O74" s="65"/>
      <c r="P74" s="65"/>
      <c r="Q74" s="66"/>
    </row>
    <row r="75" spans="1:18" s="2" customFormat="1" x14ac:dyDescent="0.25">
      <c r="A75" s="104" t="s">
        <v>636</v>
      </c>
      <c r="B75" s="35" t="s">
        <v>45</v>
      </c>
      <c r="C75" s="37" t="s">
        <v>197</v>
      </c>
      <c r="D75" s="35" t="s">
        <v>198</v>
      </c>
      <c r="E75" s="35">
        <v>33</v>
      </c>
      <c r="F75" s="37" t="s">
        <v>95</v>
      </c>
      <c r="G75" s="35" t="s">
        <v>99</v>
      </c>
      <c r="H75" s="36">
        <v>48.9</v>
      </c>
      <c r="I75" s="36">
        <v>0</v>
      </c>
      <c r="J75" s="36" t="s">
        <v>35</v>
      </c>
      <c r="K75" s="36" t="s">
        <v>35</v>
      </c>
      <c r="L75" s="74">
        <v>65.720699999999994</v>
      </c>
      <c r="M75" s="89" t="s">
        <v>272</v>
      </c>
      <c r="N75" s="37" t="s">
        <v>751</v>
      </c>
      <c r="O75" s="87"/>
      <c r="P75" s="87"/>
      <c r="Q75" s="46"/>
      <c r="R75" s="38"/>
    </row>
    <row r="76" spans="1:18" s="2" customFormat="1" x14ac:dyDescent="0.25">
      <c r="A76" s="104" t="s">
        <v>636</v>
      </c>
      <c r="B76" s="35" t="s">
        <v>577</v>
      </c>
      <c r="C76" s="37" t="s">
        <v>199</v>
      </c>
      <c r="D76" s="35" t="s">
        <v>200</v>
      </c>
      <c r="E76" s="35">
        <v>33</v>
      </c>
      <c r="F76" s="37" t="s">
        <v>95</v>
      </c>
      <c r="G76" s="35" t="s">
        <v>99</v>
      </c>
      <c r="H76" s="36">
        <v>48.9</v>
      </c>
      <c r="I76" s="36">
        <v>0</v>
      </c>
      <c r="J76" s="36" t="s">
        <v>35</v>
      </c>
      <c r="K76" s="36" t="s">
        <v>35</v>
      </c>
      <c r="L76" s="74">
        <v>111.12690000000001</v>
      </c>
      <c r="M76" s="89" t="s">
        <v>273</v>
      </c>
      <c r="N76" s="37" t="s">
        <v>752</v>
      </c>
      <c r="O76" s="87"/>
      <c r="P76" s="87"/>
      <c r="Q76" s="46"/>
      <c r="R76" s="38"/>
    </row>
    <row r="77" spans="1:18" x14ac:dyDescent="0.25">
      <c r="A77" s="104" t="s">
        <v>636</v>
      </c>
      <c r="B77" s="7" t="s">
        <v>650</v>
      </c>
      <c r="C77" s="6" t="s">
        <v>26</v>
      </c>
      <c r="D77" s="7" t="s">
        <v>27</v>
      </c>
      <c r="E77" s="7">
        <v>22</v>
      </c>
      <c r="F77" s="6" t="s">
        <v>94</v>
      </c>
      <c r="G77" s="7" t="s">
        <v>99</v>
      </c>
      <c r="H77" s="8">
        <v>48.9</v>
      </c>
      <c r="I77" s="8">
        <v>0</v>
      </c>
      <c r="J77" s="8" t="s">
        <v>35</v>
      </c>
      <c r="K77" s="8" t="s">
        <v>35</v>
      </c>
      <c r="L77" s="73">
        <v>37.270800000000001</v>
      </c>
      <c r="M77" s="88" t="s">
        <v>274</v>
      </c>
      <c r="N77" s="124"/>
      <c r="O77" s="65"/>
      <c r="P77" s="65"/>
      <c r="Q77" s="66"/>
    </row>
    <row r="78" spans="1:18" x14ac:dyDescent="0.25">
      <c r="A78" s="104" t="s">
        <v>636</v>
      </c>
      <c r="B78" s="7" t="s">
        <v>650</v>
      </c>
      <c r="C78" s="6" t="s">
        <v>26</v>
      </c>
      <c r="D78" s="7" t="s">
        <v>27</v>
      </c>
      <c r="E78" s="7">
        <v>22</v>
      </c>
      <c r="F78" s="6" t="s">
        <v>214</v>
      </c>
      <c r="G78" s="7" t="s">
        <v>218</v>
      </c>
      <c r="H78" s="8">
        <v>48.9</v>
      </c>
      <c r="I78" s="8">
        <v>0</v>
      </c>
      <c r="J78" s="8" t="s">
        <v>35</v>
      </c>
      <c r="K78" s="8" t="s">
        <v>35</v>
      </c>
      <c r="L78" s="73">
        <v>15.0562</v>
      </c>
      <c r="M78" s="88" t="s">
        <v>274</v>
      </c>
      <c r="N78" s="124"/>
      <c r="O78" s="65"/>
      <c r="P78" s="65"/>
      <c r="Q78" s="66"/>
    </row>
    <row r="79" spans="1:18" x14ac:dyDescent="0.25">
      <c r="A79" s="104" t="s">
        <v>636</v>
      </c>
      <c r="B79" s="7" t="s">
        <v>45</v>
      </c>
      <c r="C79" s="6" t="s">
        <v>209</v>
      </c>
      <c r="D79" s="7" t="s">
        <v>210</v>
      </c>
      <c r="E79" s="7">
        <v>33</v>
      </c>
      <c r="F79" s="6" t="s">
        <v>95</v>
      </c>
      <c r="G79" s="7" t="s">
        <v>99</v>
      </c>
      <c r="H79" s="8">
        <v>48.9</v>
      </c>
      <c r="I79" s="8">
        <v>0</v>
      </c>
      <c r="J79" s="8" t="s">
        <v>35</v>
      </c>
      <c r="K79" s="8" t="s">
        <v>35</v>
      </c>
      <c r="L79" s="73">
        <v>83.051400000000001</v>
      </c>
      <c r="M79" s="88" t="s">
        <v>279</v>
      </c>
      <c r="N79" s="124"/>
      <c r="O79" s="65"/>
      <c r="P79" s="65"/>
      <c r="Q79" s="66"/>
    </row>
    <row r="80" spans="1:18" x14ac:dyDescent="0.25">
      <c r="A80" s="104" t="s">
        <v>636</v>
      </c>
      <c r="B80" s="7" t="s">
        <v>45</v>
      </c>
      <c r="C80" s="6" t="s">
        <v>203</v>
      </c>
      <c r="D80" s="7" t="s">
        <v>204</v>
      </c>
      <c r="E80" s="7">
        <v>33</v>
      </c>
      <c r="F80" s="6" t="s">
        <v>95</v>
      </c>
      <c r="G80" s="7" t="s">
        <v>99</v>
      </c>
      <c r="H80" s="8">
        <v>48.9</v>
      </c>
      <c r="I80" s="8">
        <v>0</v>
      </c>
      <c r="J80" s="8" t="s">
        <v>35</v>
      </c>
      <c r="K80" s="8" t="s">
        <v>35</v>
      </c>
      <c r="L80" s="73">
        <v>62.5762</v>
      </c>
      <c r="M80" s="88" t="s">
        <v>276</v>
      </c>
      <c r="N80" s="124"/>
      <c r="O80" s="65"/>
      <c r="P80" s="65"/>
      <c r="Q80" s="66"/>
    </row>
    <row r="81" spans="1:18" s="2" customFormat="1" x14ac:dyDescent="0.25">
      <c r="A81" s="104" t="s">
        <v>636</v>
      </c>
      <c r="B81" s="35" t="s">
        <v>651</v>
      </c>
      <c r="C81" s="37" t="s">
        <v>207</v>
      </c>
      <c r="D81" s="35" t="s">
        <v>208</v>
      </c>
      <c r="E81" s="35">
        <v>33</v>
      </c>
      <c r="F81" s="37" t="s">
        <v>95</v>
      </c>
      <c r="G81" s="35" t="s">
        <v>99</v>
      </c>
      <c r="H81" s="36">
        <v>48.9</v>
      </c>
      <c r="I81" s="36">
        <v>0</v>
      </c>
      <c r="J81" s="36" t="s">
        <v>35</v>
      </c>
      <c r="K81" s="36" t="s">
        <v>35</v>
      </c>
      <c r="L81" s="74">
        <v>67.990499999999997</v>
      </c>
      <c r="M81" s="89" t="s">
        <v>278</v>
      </c>
      <c r="N81" s="37" t="s">
        <v>753</v>
      </c>
      <c r="O81" s="65">
        <v>0.9</v>
      </c>
      <c r="P81" s="65">
        <v>60</v>
      </c>
      <c r="Q81" s="66">
        <v>2</v>
      </c>
      <c r="R81" s="38"/>
    </row>
    <row r="82" spans="1:18" x14ac:dyDescent="0.25">
      <c r="A82" s="104" t="s">
        <v>636</v>
      </c>
      <c r="B82" s="7" t="s">
        <v>651</v>
      </c>
      <c r="C82" s="6" t="s">
        <v>201</v>
      </c>
      <c r="D82" s="7" t="s">
        <v>202</v>
      </c>
      <c r="E82" s="7">
        <v>33</v>
      </c>
      <c r="F82" s="6" t="s">
        <v>95</v>
      </c>
      <c r="G82" s="7" t="s">
        <v>99</v>
      </c>
      <c r="H82" s="8">
        <v>48.9</v>
      </c>
      <c r="I82" s="8">
        <v>0</v>
      </c>
      <c r="J82" s="8" t="s">
        <v>35</v>
      </c>
      <c r="K82" s="8" t="s">
        <v>35</v>
      </c>
      <c r="L82" s="73">
        <v>68.1678</v>
      </c>
      <c r="M82" s="88" t="s">
        <v>275</v>
      </c>
      <c r="N82" s="124"/>
      <c r="O82" s="65">
        <v>0.9</v>
      </c>
      <c r="P82" s="65">
        <v>90</v>
      </c>
      <c r="Q82" s="66">
        <v>3</v>
      </c>
    </row>
    <row r="83" spans="1:18" x14ac:dyDescent="0.25">
      <c r="A83" s="104" t="s">
        <v>636</v>
      </c>
      <c r="B83" s="7" t="s">
        <v>651</v>
      </c>
      <c r="C83" s="6" t="s">
        <v>193</v>
      </c>
      <c r="D83" s="7" t="s">
        <v>194</v>
      </c>
      <c r="E83" s="7">
        <v>33</v>
      </c>
      <c r="F83" s="58" t="s">
        <v>95</v>
      </c>
      <c r="G83" s="7" t="s">
        <v>188</v>
      </c>
      <c r="H83" s="8">
        <v>48.9</v>
      </c>
      <c r="I83" s="8">
        <v>0</v>
      </c>
      <c r="J83" s="8" t="s">
        <v>35</v>
      </c>
      <c r="K83" s="8" t="s">
        <v>35</v>
      </c>
      <c r="L83" s="73">
        <v>51.941000000000003</v>
      </c>
      <c r="M83" s="88" t="s">
        <v>270</v>
      </c>
      <c r="N83" s="124"/>
      <c r="O83" s="65"/>
      <c r="P83" s="65"/>
      <c r="Q83" s="66"/>
    </row>
    <row r="84" spans="1:18" s="2" customFormat="1" x14ac:dyDescent="0.25">
      <c r="A84" s="104" t="s">
        <v>636</v>
      </c>
      <c r="B84" s="35" t="s">
        <v>654</v>
      </c>
      <c r="C84" s="37" t="s">
        <v>205</v>
      </c>
      <c r="D84" s="35" t="s">
        <v>206</v>
      </c>
      <c r="E84" s="35">
        <v>33</v>
      </c>
      <c r="F84" s="90" t="s">
        <v>95</v>
      </c>
      <c r="G84" s="35" t="s">
        <v>99</v>
      </c>
      <c r="H84" s="36">
        <v>48.9</v>
      </c>
      <c r="I84" s="36">
        <v>0</v>
      </c>
      <c r="J84" s="36" t="s">
        <v>35</v>
      </c>
      <c r="K84" s="36" t="s">
        <v>35</v>
      </c>
      <c r="L84" s="74">
        <v>64.8369</v>
      </c>
      <c r="M84" s="89" t="s">
        <v>277</v>
      </c>
      <c r="N84" s="37" t="s">
        <v>754</v>
      </c>
      <c r="O84" s="132"/>
      <c r="P84" s="132"/>
      <c r="Q84" s="133"/>
      <c r="R84" s="38"/>
    </row>
    <row r="85" spans="1:18" x14ac:dyDescent="0.25">
      <c r="A85" s="104" t="s">
        <v>636</v>
      </c>
      <c r="B85" s="7" t="s">
        <v>654</v>
      </c>
      <c r="C85" s="6" t="s">
        <v>211</v>
      </c>
      <c r="D85" s="7" t="s">
        <v>212</v>
      </c>
      <c r="E85" s="7">
        <v>11</v>
      </c>
      <c r="F85" s="6" t="s">
        <v>96</v>
      </c>
      <c r="G85" s="10" t="s">
        <v>102</v>
      </c>
      <c r="H85" s="8">
        <v>48.9</v>
      </c>
      <c r="I85" s="8">
        <v>0</v>
      </c>
      <c r="J85" s="8" t="s">
        <v>35</v>
      </c>
      <c r="K85" s="8" t="s">
        <v>35</v>
      </c>
      <c r="L85" s="73">
        <v>17.659600000000001</v>
      </c>
      <c r="M85" s="88" t="s">
        <v>280</v>
      </c>
      <c r="N85" s="124"/>
      <c r="O85" s="65"/>
      <c r="P85" s="65"/>
      <c r="Q85" s="66"/>
    </row>
    <row r="86" spans="1:18" x14ac:dyDescent="0.25">
      <c r="A86" s="104" t="s">
        <v>636</v>
      </c>
      <c r="B86" s="7" t="s">
        <v>652</v>
      </c>
      <c r="C86" s="6" t="s">
        <v>213</v>
      </c>
      <c r="D86" s="7" t="s">
        <v>21</v>
      </c>
      <c r="E86" s="7">
        <v>11</v>
      </c>
      <c r="F86" s="6" t="s">
        <v>215</v>
      </c>
      <c r="G86" s="10" t="s">
        <v>219</v>
      </c>
      <c r="H86" s="8">
        <v>48.9</v>
      </c>
      <c r="I86" s="8">
        <v>0</v>
      </c>
      <c r="J86" s="8" t="s">
        <v>35</v>
      </c>
      <c r="K86" s="8" t="s">
        <v>35</v>
      </c>
      <c r="L86" s="73">
        <v>25.8429</v>
      </c>
      <c r="M86" s="88" t="s">
        <v>281</v>
      </c>
      <c r="N86" s="124"/>
      <c r="O86" s="65"/>
      <c r="P86" s="65"/>
      <c r="Q86" s="66"/>
    </row>
    <row r="87" spans="1:18" x14ac:dyDescent="0.25">
      <c r="A87" s="106" t="s">
        <v>637</v>
      </c>
      <c r="B87" s="17" t="s">
        <v>655</v>
      </c>
      <c r="C87" s="22" t="s">
        <v>220</v>
      </c>
      <c r="D87" s="17" t="s">
        <v>221</v>
      </c>
      <c r="E87" s="17">
        <v>11</v>
      </c>
      <c r="F87" s="22" t="s">
        <v>96</v>
      </c>
      <c r="G87" s="17" t="s">
        <v>102</v>
      </c>
      <c r="H87" s="19">
        <v>48.8</v>
      </c>
      <c r="I87" s="19">
        <v>0</v>
      </c>
      <c r="J87" s="19" t="s">
        <v>35</v>
      </c>
      <c r="K87" s="19" t="s">
        <v>35</v>
      </c>
      <c r="L87" s="72">
        <v>25.7531</v>
      </c>
      <c r="M87" s="64" t="s">
        <v>266</v>
      </c>
      <c r="N87" s="20"/>
      <c r="O87" s="65"/>
      <c r="P87" s="65"/>
      <c r="Q87" s="66"/>
    </row>
    <row r="88" spans="1:18" x14ac:dyDescent="0.25">
      <c r="A88" s="106" t="s">
        <v>637</v>
      </c>
      <c r="B88" s="17" t="s">
        <v>651</v>
      </c>
      <c r="C88" s="22" t="s">
        <v>222</v>
      </c>
      <c r="D88" s="17" t="s">
        <v>223</v>
      </c>
      <c r="E88" s="17">
        <v>33</v>
      </c>
      <c r="F88" s="22" t="s">
        <v>95</v>
      </c>
      <c r="G88" s="17" t="s">
        <v>99</v>
      </c>
      <c r="H88" s="19">
        <v>48.8</v>
      </c>
      <c r="I88" s="19">
        <v>0</v>
      </c>
      <c r="J88" s="19" t="s">
        <v>35</v>
      </c>
      <c r="K88" s="19" t="s">
        <v>35</v>
      </c>
      <c r="L88" s="72">
        <v>71.794799999999995</v>
      </c>
      <c r="M88" s="64" t="s">
        <v>267</v>
      </c>
      <c r="N88" s="20"/>
      <c r="O88" s="65">
        <v>0.9</v>
      </c>
      <c r="P88" s="65">
        <v>30</v>
      </c>
      <c r="Q88" s="66">
        <v>1</v>
      </c>
    </row>
    <row r="89" spans="1:18" x14ac:dyDescent="0.25">
      <c r="A89" s="106" t="s">
        <v>637</v>
      </c>
      <c r="B89" s="17" t="s">
        <v>45</v>
      </c>
      <c r="C89" s="22" t="s">
        <v>224</v>
      </c>
      <c r="D89" s="17" t="s">
        <v>225</v>
      </c>
      <c r="E89" s="17">
        <v>33</v>
      </c>
      <c r="F89" s="22" t="s">
        <v>95</v>
      </c>
      <c r="G89" s="17" t="s">
        <v>99</v>
      </c>
      <c r="H89" s="19">
        <v>48.8</v>
      </c>
      <c r="I89" s="19">
        <v>0</v>
      </c>
      <c r="J89" s="19" t="s">
        <v>35</v>
      </c>
      <c r="K89" s="19" t="s">
        <v>35</v>
      </c>
      <c r="L89" s="72">
        <v>74.944999999999993</v>
      </c>
      <c r="M89" s="64" t="s">
        <v>268</v>
      </c>
      <c r="N89" s="20"/>
      <c r="O89" s="65">
        <v>0.9</v>
      </c>
      <c r="P89" s="65">
        <v>90</v>
      </c>
      <c r="Q89" s="66">
        <v>3</v>
      </c>
    </row>
    <row r="90" spans="1:18" x14ac:dyDescent="0.25">
      <c r="A90" s="106" t="s">
        <v>637</v>
      </c>
      <c r="B90" s="17" t="s">
        <v>45</v>
      </c>
      <c r="C90" s="22" t="s">
        <v>226</v>
      </c>
      <c r="D90" s="17" t="s">
        <v>227</v>
      </c>
      <c r="E90" s="17">
        <v>33</v>
      </c>
      <c r="F90" s="22" t="s">
        <v>97</v>
      </c>
      <c r="G90" s="17" t="s">
        <v>103</v>
      </c>
      <c r="H90" s="19">
        <v>48.8</v>
      </c>
      <c r="I90" s="19">
        <v>0</v>
      </c>
      <c r="J90" s="19" t="s">
        <v>35</v>
      </c>
      <c r="K90" s="19" t="s">
        <v>35</v>
      </c>
      <c r="L90" s="72">
        <v>69.463099999999997</v>
      </c>
      <c r="M90" s="64" t="s">
        <v>269</v>
      </c>
      <c r="N90" s="20"/>
      <c r="O90" s="65"/>
      <c r="P90" s="65"/>
      <c r="Q90" s="66"/>
    </row>
    <row r="91" spans="1:18" x14ac:dyDescent="0.25">
      <c r="A91" s="106" t="s">
        <v>637</v>
      </c>
      <c r="B91" s="17" t="s">
        <v>45</v>
      </c>
      <c r="C91" s="22" t="s">
        <v>245</v>
      </c>
      <c r="D91" s="17" t="s">
        <v>246</v>
      </c>
      <c r="E91" s="17">
        <v>33</v>
      </c>
      <c r="F91" s="22" t="s">
        <v>95</v>
      </c>
      <c r="G91" s="17" t="s">
        <v>99</v>
      </c>
      <c r="H91" s="19">
        <v>48.8</v>
      </c>
      <c r="I91" s="19">
        <v>0</v>
      </c>
      <c r="J91" s="19" t="s">
        <v>35</v>
      </c>
      <c r="K91" s="19" t="s">
        <v>35</v>
      </c>
      <c r="L91" s="72">
        <v>60.1524</v>
      </c>
      <c r="M91" s="64" t="s">
        <v>265</v>
      </c>
      <c r="N91" s="20"/>
      <c r="O91" s="65"/>
      <c r="P91" s="65"/>
      <c r="Q91" s="66"/>
    </row>
    <row r="92" spans="1:18" x14ac:dyDescent="0.25">
      <c r="A92" s="106" t="s">
        <v>637</v>
      </c>
      <c r="B92" s="17" t="s">
        <v>653</v>
      </c>
      <c r="C92" s="22" t="s">
        <v>228</v>
      </c>
      <c r="D92" s="17" t="s">
        <v>229</v>
      </c>
      <c r="E92" s="17">
        <v>132</v>
      </c>
      <c r="F92" s="22" t="s">
        <v>247</v>
      </c>
      <c r="G92" s="41" t="s">
        <v>44</v>
      </c>
      <c r="H92" s="19">
        <v>48.8</v>
      </c>
      <c r="I92" s="19">
        <v>0</v>
      </c>
      <c r="J92" s="19" t="s">
        <v>35</v>
      </c>
      <c r="K92" s="19" t="s">
        <v>35</v>
      </c>
      <c r="L92" s="270">
        <v>49</v>
      </c>
      <c r="M92" s="270" t="s">
        <v>259</v>
      </c>
      <c r="N92" s="20"/>
      <c r="O92" s="65"/>
      <c r="P92" s="65"/>
      <c r="Q92" s="66"/>
    </row>
    <row r="93" spans="1:18" x14ac:dyDescent="0.25">
      <c r="A93" s="106" t="s">
        <v>637</v>
      </c>
      <c r="B93" s="17" t="s">
        <v>654</v>
      </c>
      <c r="C93" s="22" t="s">
        <v>230</v>
      </c>
      <c r="D93" s="17" t="s">
        <v>231</v>
      </c>
      <c r="E93" s="17">
        <v>132</v>
      </c>
      <c r="F93" s="22" t="s">
        <v>248</v>
      </c>
      <c r="G93" s="41" t="s">
        <v>44</v>
      </c>
      <c r="H93" s="19">
        <v>48.8</v>
      </c>
      <c r="I93" s="19">
        <v>0</v>
      </c>
      <c r="J93" s="19" t="s">
        <v>35</v>
      </c>
      <c r="K93" s="19" t="s">
        <v>35</v>
      </c>
      <c r="L93" s="270"/>
      <c r="M93" s="270"/>
      <c r="N93" s="20"/>
      <c r="O93" s="65"/>
      <c r="P93" s="65"/>
      <c r="Q93" s="66"/>
    </row>
    <row r="94" spans="1:18" x14ac:dyDescent="0.25">
      <c r="A94" s="106" t="s">
        <v>637</v>
      </c>
      <c r="B94" s="17" t="s">
        <v>654</v>
      </c>
      <c r="C94" s="22" t="s">
        <v>232</v>
      </c>
      <c r="D94" s="17" t="s">
        <v>233</v>
      </c>
      <c r="E94" s="17">
        <v>132</v>
      </c>
      <c r="F94" s="22" t="s">
        <v>249</v>
      </c>
      <c r="G94" s="17" t="s">
        <v>44</v>
      </c>
      <c r="H94" s="19">
        <v>48.8</v>
      </c>
      <c r="I94" s="19">
        <v>0</v>
      </c>
      <c r="J94" s="19" t="s">
        <v>35</v>
      </c>
      <c r="K94" s="19" t="s">
        <v>35</v>
      </c>
      <c r="L94" s="270">
        <v>140</v>
      </c>
      <c r="M94" s="270" t="s">
        <v>260</v>
      </c>
      <c r="N94" s="20"/>
      <c r="O94" s="65"/>
      <c r="P94" s="65"/>
      <c r="Q94" s="66"/>
    </row>
    <row r="95" spans="1:18" x14ac:dyDescent="0.25">
      <c r="A95" s="106" t="s">
        <v>637</v>
      </c>
      <c r="B95" s="17" t="s">
        <v>654</v>
      </c>
      <c r="C95" s="22" t="s">
        <v>234</v>
      </c>
      <c r="D95" s="17" t="s">
        <v>235</v>
      </c>
      <c r="E95" s="17">
        <v>132</v>
      </c>
      <c r="F95" s="22" t="s">
        <v>250</v>
      </c>
      <c r="G95" s="17" t="s">
        <v>39</v>
      </c>
      <c r="H95" s="19">
        <v>48.8</v>
      </c>
      <c r="I95" s="19">
        <v>0</v>
      </c>
      <c r="J95" s="19" t="s">
        <v>35</v>
      </c>
      <c r="K95" s="19" t="s">
        <v>35</v>
      </c>
      <c r="L95" s="270"/>
      <c r="M95" s="270"/>
      <c r="N95" s="20"/>
      <c r="O95" s="65"/>
      <c r="P95" s="65"/>
      <c r="Q95" s="66"/>
    </row>
    <row r="96" spans="1:18" x14ac:dyDescent="0.25">
      <c r="A96" s="106" t="s">
        <v>637</v>
      </c>
      <c r="B96" s="17" t="s">
        <v>652</v>
      </c>
      <c r="C96" s="22" t="s">
        <v>236</v>
      </c>
      <c r="D96" s="17" t="s">
        <v>237</v>
      </c>
      <c r="E96" s="17">
        <v>132</v>
      </c>
      <c r="F96" s="22" t="s">
        <v>252</v>
      </c>
      <c r="G96" s="17" t="s">
        <v>251</v>
      </c>
      <c r="H96" s="19">
        <v>48.8</v>
      </c>
      <c r="I96" s="19">
        <v>0</v>
      </c>
      <c r="J96" s="19" t="s">
        <v>35</v>
      </c>
      <c r="K96" s="19" t="s">
        <v>35</v>
      </c>
      <c r="L96" s="270">
        <v>133</v>
      </c>
      <c r="M96" s="270" t="s">
        <v>261</v>
      </c>
      <c r="N96" s="277" t="s">
        <v>755</v>
      </c>
      <c r="O96" s="65"/>
      <c r="P96" s="65"/>
      <c r="Q96" s="66"/>
    </row>
    <row r="97" spans="1:18" s="2" customFormat="1" x14ac:dyDescent="0.25">
      <c r="A97" s="106" t="s">
        <v>637</v>
      </c>
      <c r="B97" s="46" t="s">
        <v>652</v>
      </c>
      <c r="C97" s="45" t="s">
        <v>238</v>
      </c>
      <c r="D97" s="46" t="s">
        <v>130</v>
      </c>
      <c r="E97" s="46">
        <v>132</v>
      </c>
      <c r="F97" s="45" t="s">
        <v>253</v>
      </c>
      <c r="G97" s="46" t="s">
        <v>254</v>
      </c>
      <c r="H97" s="47">
        <v>48.8</v>
      </c>
      <c r="I97" s="47">
        <v>0</v>
      </c>
      <c r="J97" s="47" t="s">
        <v>35</v>
      </c>
      <c r="K97" s="47" t="s">
        <v>35</v>
      </c>
      <c r="L97" s="270"/>
      <c r="M97" s="270"/>
      <c r="N97" s="278"/>
      <c r="O97" s="87"/>
      <c r="P97" s="87"/>
      <c r="Q97" s="46"/>
      <c r="R97" s="38"/>
    </row>
    <row r="98" spans="1:18" x14ac:dyDescent="0.25">
      <c r="A98" s="106" t="s">
        <v>637</v>
      </c>
      <c r="B98" s="17" t="s">
        <v>649</v>
      </c>
      <c r="C98" s="22" t="s">
        <v>239</v>
      </c>
      <c r="D98" s="17" t="s">
        <v>240</v>
      </c>
      <c r="E98" s="17">
        <v>33</v>
      </c>
      <c r="F98" s="22" t="s">
        <v>97</v>
      </c>
      <c r="G98" s="41" t="s">
        <v>103</v>
      </c>
      <c r="H98" s="19">
        <v>48.8</v>
      </c>
      <c r="I98" s="19">
        <v>0</v>
      </c>
      <c r="J98" s="19" t="s">
        <v>35</v>
      </c>
      <c r="K98" s="19" t="s">
        <v>35</v>
      </c>
      <c r="L98" s="72">
        <v>56.750300000000003</v>
      </c>
      <c r="M98" s="64" t="s">
        <v>262</v>
      </c>
      <c r="N98" s="20"/>
      <c r="O98" s="65"/>
      <c r="P98" s="65"/>
      <c r="Q98" s="66"/>
    </row>
    <row r="99" spans="1:18" x14ac:dyDescent="0.25">
      <c r="A99" s="106" t="s">
        <v>637</v>
      </c>
      <c r="B99" s="17" t="s">
        <v>649</v>
      </c>
      <c r="C99" s="22" t="s">
        <v>241</v>
      </c>
      <c r="D99" s="17" t="s">
        <v>242</v>
      </c>
      <c r="E99" s="17">
        <v>11</v>
      </c>
      <c r="F99" s="22" t="s">
        <v>96</v>
      </c>
      <c r="G99" s="17" t="s">
        <v>102</v>
      </c>
      <c r="H99" s="19">
        <v>48.8</v>
      </c>
      <c r="I99" s="19">
        <v>0</v>
      </c>
      <c r="J99" s="19" t="s">
        <v>35</v>
      </c>
      <c r="K99" s="19" t="s">
        <v>35</v>
      </c>
      <c r="L99" s="72">
        <v>9.3911999999999995</v>
      </c>
      <c r="M99" s="64" t="s">
        <v>263</v>
      </c>
      <c r="N99" s="20"/>
      <c r="O99" s="65"/>
      <c r="P99" s="65"/>
      <c r="Q99" s="66"/>
    </row>
    <row r="100" spans="1:18" x14ac:dyDescent="0.25">
      <c r="A100" s="106" t="s">
        <v>637</v>
      </c>
      <c r="B100" s="17" t="s">
        <v>649</v>
      </c>
      <c r="C100" s="22" t="s">
        <v>243</v>
      </c>
      <c r="D100" s="17" t="s">
        <v>244</v>
      </c>
      <c r="E100" s="17">
        <v>33</v>
      </c>
      <c r="F100" s="22" t="s">
        <v>95</v>
      </c>
      <c r="G100" s="17" t="s">
        <v>99</v>
      </c>
      <c r="H100" s="19">
        <v>48.8</v>
      </c>
      <c r="I100" s="19">
        <v>0</v>
      </c>
      <c r="J100" s="19" t="s">
        <v>35</v>
      </c>
      <c r="K100" s="19" t="s">
        <v>35</v>
      </c>
      <c r="L100" s="72">
        <v>22.799900000000001</v>
      </c>
      <c r="M100" s="64" t="s">
        <v>264</v>
      </c>
      <c r="N100" s="20"/>
      <c r="O100" s="65"/>
      <c r="P100" s="65"/>
      <c r="Q100" s="66"/>
    </row>
    <row r="101" spans="1:18" x14ac:dyDescent="0.25">
      <c r="A101" s="104" t="s">
        <v>638</v>
      </c>
      <c r="B101" s="7" t="s">
        <v>107</v>
      </c>
      <c r="C101" s="6" t="s">
        <v>341</v>
      </c>
      <c r="D101" s="7" t="s">
        <v>342</v>
      </c>
      <c r="E101" s="7">
        <v>33</v>
      </c>
      <c r="F101" s="6" t="s">
        <v>95</v>
      </c>
      <c r="G101" s="7" t="s">
        <v>99</v>
      </c>
      <c r="H101" s="8">
        <v>48.7</v>
      </c>
      <c r="I101" s="8">
        <v>0</v>
      </c>
      <c r="J101" s="8" t="s">
        <v>35</v>
      </c>
      <c r="K101" s="8" t="s">
        <v>35</v>
      </c>
      <c r="L101" s="73">
        <v>58.122599999999998</v>
      </c>
      <c r="M101" s="88" t="s">
        <v>372</v>
      </c>
      <c r="N101" s="124"/>
      <c r="O101" s="65"/>
      <c r="P101" s="65"/>
      <c r="Q101" s="66"/>
    </row>
    <row r="102" spans="1:18" x14ac:dyDescent="0.25">
      <c r="A102" s="104" t="s">
        <v>638</v>
      </c>
      <c r="B102" s="7" t="s">
        <v>107</v>
      </c>
      <c r="C102" s="6" t="s">
        <v>360</v>
      </c>
      <c r="D102" s="7" t="s">
        <v>361</v>
      </c>
      <c r="E102" s="7">
        <v>33</v>
      </c>
      <c r="F102" s="6" t="s">
        <v>97</v>
      </c>
      <c r="G102" s="7" t="s">
        <v>103</v>
      </c>
      <c r="H102" s="8">
        <v>48.7</v>
      </c>
      <c r="I102" s="8">
        <v>0</v>
      </c>
      <c r="J102" s="8" t="s">
        <v>35</v>
      </c>
      <c r="K102" s="8" t="s">
        <v>35</v>
      </c>
      <c r="L102" s="73">
        <v>72.3964</v>
      </c>
      <c r="M102" s="7" t="s">
        <v>381</v>
      </c>
      <c r="N102" s="124"/>
      <c r="O102" s="65"/>
      <c r="P102" s="65"/>
      <c r="Q102" s="66"/>
    </row>
    <row r="103" spans="1:18" x14ac:dyDescent="0.25">
      <c r="A103" s="104" t="s">
        <v>638</v>
      </c>
      <c r="B103" s="7" t="s">
        <v>651</v>
      </c>
      <c r="C103" s="6" t="s">
        <v>364</v>
      </c>
      <c r="D103" s="7" t="s">
        <v>365</v>
      </c>
      <c r="E103" s="7">
        <v>33</v>
      </c>
      <c r="F103" s="58" t="s">
        <v>95</v>
      </c>
      <c r="G103" s="7" t="s">
        <v>99</v>
      </c>
      <c r="H103" s="8">
        <v>48.7</v>
      </c>
      <c r="I103" s="8">
        <v>0</v>
      </c>
      <c r="J103" s="8" t="s">
        <v>35</v>
      </c>
      <c r="K103" s="8" t="s">
        <v>35</v>
      </c>
      <c r="L103" s="73">
        <v>38.901899999999998</v>
      </c>
      <c r="M103" s="88" t="s">
        <v>383</v>
      </c>
      <c r="N103" s="124"/>
      <c r="O103" s="65"/>
      <c r="P103" s="65"/>
      <c r="Q103" s="66"/>
    </row>
    <row r="104" spans="1:18" x14ac:dyDescent="0.25">
      <c r="A104" s="104" t="s">
        <v>638</v>
      </c>
      <c r="B104" s="7" t="s">
        <v>651</v>
      </c>
      <c r="C104" s="6" t="s">
        <v>345</v>
      </c>
      <c r="D104" s="7" t="s">
        <v>346</v>
      </c>
      <c r="E104" s="7">
        <v>33</v>
      </c>
      <c r="F104" s="6" t="s">
        <v>97</v>
      </c>
      <c r="G104" s="7" t="s">
        <v>103</v>
      </c>
      <c r="H104" s="8">
        <v>48.7</v>
      </c>
      <c r="I104" s="8">
        <v>0</v>
      </c>
      <c r="J104" s="8" t="s">
        <v>35</v>
      </c>
      <c r="K104" s="8" t="s">
        <v>35</v>
      </c>
      <c r="L104" s="73">
        <v>84.959900000000005</v>
      </c>
      <c r="M104" s="88" t="s">
        <v>374</v>
      </c>
      <c r="N104" s="124"/>
      <c r="O104" s="65">
        <v>0.9</v>
      </c>
      <c r="P104" s="65">
        <v>90</v>
      </c>
      <c r="Q104" s="66">
        <v>3</v>
      </c>
    </row>
    <row r="105" spans="1:18" x14ac:dyDescent="0.25">
      <c r="A105" s="104" t="s">
        <v>638</v>
      </c>
      <c r="B105" s="7" t="s">
        <v>577</v>
      </c>
      <c r="C105" s="6" t="s">
        <v>366</v>
      </c>
      <c r="D105" s="7" t="s">
        <v>367</v>
      </c>
      <c r="E105" s="7">
        <v>11</v>
      </c>
      <c r="F105" s="6" t="s">
        <v>96</v>
      </c>
      <c r="G105" s="7" t="s">
        <v>102</v>
      </c>
      <c r="H105" s="8">
        <v>48.7</v>
      </c>
      <c r="I105" s="8">
        <v>0</v>
      </c>
      <c r="J105" s="8" t="s">
        <v>35</v>
      </c>
      <c r="K105" s="8" t="s">
        <v>35</v>
      </c>
      <c r="L105" s="73">
        <v>17.323799999999999</v>
      </c>
      <c r="M105" s="7" t="s">
        <v>384</v>
      </c>
      <c r="N105" s="124"/>
      <c r="O105" s="65"/>
      <c r="P105" s="65"/>
      <c r="Q105" s="66"/>
    </row>
    <row r="106" spans="1:18" x14ac:dyDescent="0.25">
      <c r="A106" s="104" t="s">
        <v>638</v>
      </c>
      <c r="B106" s="7" t="s">
        <v>577</v>
      </c>
      <c r="C106" s="6" t="s">
        <v>347</v>
      </c>
      <c r="D106" s="7" t="s">
        <v>348</v>
      </c>
      <c r="E106" s="7">
        <v>132</v>
      </c>
      <c r="F106" s="6" t="s">
        <v>369</v>
      </c>
      <c r="G106" s="7" t="s">
        <v>44</v>
      </c>
      <c r="H106" s="8">
        <v>48.7</v>
      </c>
      <c r="I106" s="8">
        <v>0</v>
      </c>
      <c r="J106" s="8" t="s">
        <v>35</v>
      </c>
      <c r="K106" s="8" t="s">
        <v>35</v>
      </c>
      <c r="L106" s="261">
        <v>298</v>
      </c>
      <c r="M106" s="256" t="s">
        <v>371</v>
      </c>
      <c r="N106" s="282" t="s">
        <v>756</v>
      </c>
      <c r="O106" s="65"/>
      <c r="P106" s="65"/>
      <c r="Q106" s="66"/>
    </row>
    <row r="107" spans="1:18" x14ac:dyDescent="0.25">
      <c r="A107" s="104" t="s">
        <v>638</v>
      </c>
      <c r="B107" s="7" t="s">
        <v>654</v>
      </c>
      <c r="C107" s="6" t="s">
        <v>232</v>
      </c>
      <c r="D107" s="7" t="s">
        <v>233</v>
      </c>
      <c r="E107" s="7">
        <v>132</v>
      </c>
      <c r="F107" s="6" t="s">
        <v>370</v>
      </c>
      <c r="G107" s="7" t="s">
        <v>191</v>
      </c>
      <c r="H107" s="8">
        <v>48.7</v>
      </c>
      <c r="I107" s="8">
        <v>0</v>
      </c>
      <c r="J107" s="8" t="s">
        <v>35</v>
      </c>
      <c r="K107" s="8" t="s">
        <v>35</v>
      </c>
      <c r="L107" s="261"/>
      <c r="M107" s="256"/>
      <c r="N107" s="283"/>
      <c r="O107" s="65"/>
      <c r="P107" s="65"/>
      <c r="Q107" s="66"/>
    </row>
    <row r="108" spans="1:18" s="2" customFormat="1" x14ac:dyDescent="0.25">
      <c r="A108" s="104" t="s">
        <v>638</v>
      </c>
      <c r="B108" s="35" t="s">
        <v>653</v>
      </c>
      <c r="C108" s="37" t="s">
        <v>351</v>
      </c>
      <c r="D108" s="35" t="s">
        <v>352</v>
      </c>
      <c r="E108" s="35">
        <v>132</v>
      </c>
      <c r="F108" s="37" t="s">
        <v>353</v>
      </c>
      <c r="G108" s="35" t="s">
        <v>39</v>
      </c>
      <c r="H108" s="36">
        <v>48.7</v>
      </c>
      <c r="I108" s="36">
        <v>0</v>
      </c>
      <c r="J108" s="36" t="s">
        <v>35</v>
      </c>
      <c r="K108" s="36" t="s">
        <v>35</v>
      </c>
      <c r="L108" s="261"/>
      <c r="M108" s="256"/>
      <c r="N108" s="284"/>
      <c r="O108" s="87"/>
      <c r="P108" s="87"/>
      <c r="Q108" s="46"/>
      <c r="R108" s="38"/>
    </row>
    <row r="109" spans="1:18" s="2" customFormat="1" x14ac:dyDescent="0.25">
      <c r="A109" s="104" t="s">
        <v>638</v>
      </c>
      <c r="B109" s="35" t="s">
        <v>653</v>
      </c>
      <c r="C109" s="37" t="s">
        <v>349</v>
      </c>
      <c r="D109" s="35" t="s">
        <v>350</v>
      </c>
      <c r="E109" s="35">
        <v>11</v>
      </c>
      <c r="F109" s="37" t="s">
        <v>96</v>
      </c>
      <c r="G109" s="35" t="s">
        <v>102</v>
      </c>
      <c r="H109" s="36">
        <v>48.7</v>
      </c>
      <c r="I109" s="36">
        <v>0</v>
      </c>
      <c r="J109" s="36" t="s">
        <v>35</v>
      </c>
      <c r="K109" s="36" t="s">
        <v>35</v>
      </c>
      <c r="L109" s="74">
        <v>18</v>
      </c>
      <c r="M109" s="35" t="s">
        <v>375</v>
      </c>
      <c r="N109" s="37" t="s">
        <v>756</v>
      </c>
      <c r="O109" s="87"/>
      <c r="P109" s="87"/>
      <c r="Q109" s="46"/>
      <c r="R109" s="38"/>
    </row>
    <row r="110" spans="1:18" s="2" customFormat="1" x14ac:dyDescent="0.25">
      <c r="A110" s="104" t="s">
        <v>638</v>
      </c>
      <c r="B110" s="35" t="s">
        <v>653</v>
      </c>
      <c r="C110" s="37" t="s">
        <v>349</v>
      </c>
      <c r="D110" s="35" t="s">
        <v>350</v>
      </c>
      <c r="E110" s="35">
        <v>33</v>
      </c>
      <c r="F110" s="37" t="s">
        <v>97</v>
      </c>
      <c r="G110" s="35" t="s">
        <v>103</v>
      </c>
      <c r="H110" s="36">
        <v>48.7</v>
      </c>
      <c r="I110" s="36">
        <v>0</v>
      </c>
      <c r="J110" s="36" t="s">
        <v>35</v>
      </c>
      <c r="K110" s="36" t="s">
        <v>35</v>
      </c>
      <c r="L110" s="74">
        <v>60</v>
      </c>
      <c r="M110" s="35" t="s">
        <v>376</v>
      </c>
      <c r="N110" s="37" t="s">
        <v>756</v>
      </c>
      <c r="O110" s="87"/>
      <c r="P110" s="87"/>
      <c r="Q110" s="46"/>
      <c r="R110" s="38"/>
    </row>
    <row r="111" spans="1:18" s="2" customFormat="1" x14ac:dyDescent="0.25">
      <c r="A111" s="104" t="s">
        <v>638</v>
      </c>
      <c r="B111" s="35" t="s">
        <v>653</v>
      </c>
      <c r="C111" s="37" t="s">
        <v>354</v>
      </c>
      <c r="D111" s="35" t="s">
        <v>355</v>
      </c>
      <c r="E111" s="35">
        <v>11</v>
      </c>
      <c r="F111" s="37" t="s">
        <v>96</v>
      </c>
      <c r="G111" s="35" t="s">
        <v>102</v>
      </c>
      <c r="H111" s="36">
        <v>48.7</v>
      </c>
      <c r="I111" s="36">
        <v>0</v>
      </c>
      <c r="J111" s="36" t="s">
        <v>35</v>
      </c>
      <c r="K111" s="36" t="s">
        <v>35</v>
      </c>
      <c r="L111" s="74">
        <v>30</v>
      </c>
      <c r="M111" s="35" t="s">
        <v>377</v>
      </c>
      <c r="N111" s="37" t="s">
        <v>756</v>
      </c>
      <c r="O111" s="87"/>
      <c r="P111" s="87"/>
      <c r="Q111" s="46"/>
      <c r="R111" s="38"/>
    </row>
    <row r="112" spans="1:18" s="2" customFormat="1" x14ac:dyDescent="0.25">
      <c r="A112" s="104" t="s">
        <v>638</v>
      </c>
      <c r="B112" s="35" t="s">
        <v>653</v>
      </c>
      <c r="C112" s="37" t="s">
        <v>354</v>
      </c>
      <c r="D112" s="35" t="s">
        <v>355</v>
      </c>
      <c r="E112" s="35">
        <v>33</v>
      </c>
      <c r="F112" s="37" t="s">
        <v>97</v>
      </c>
      <c r="G112" s="35" t="s">
        <v>103</v>
      </c>
      <c r="H112" s="36">
        <v>48.7</v>
      </c>
      <c r="I112" s="36">
        <v>0</v>
      </c>
      <c r="J112" s="36" t="s">
        <v>35</v>
      </c>
      <c r="K112" s="36" t="s">
        <v>35</v>
      </c>
      <c r="L112" s="74">
        <v>61</v>
      </c>
      <c r="M112" s="35" t="s">
        <v>378</v>
      </c>
      <c r="N112" s="37" t="s">
        <v>756</v>
      </c>
      <c r="O112" s="87"/>
      <c r="P112" s="87"/>
      <c r="Q112" s="46"/>
      <c r="R112" s="38"/>
    </row>
    <row r="113" spans="1:18" s="2" customFormat="1" x14ac:dyDescent="0.25">
      <c r="A113" s="104" t="s">
        <v>638</v>
      </c>
      <c r="B113" s="35" t="s">
        <v>654</v>
      </c>
      <c r="C113" s="37" t="s">
        <v>356</v>
      </c>
      <c r="D113" s="35" t="s">
        <v>357</v>
      </c>
      <c r="E113" s="35">
        <v>11</v>
      </c>
      <c r="F113" s="37" t="s">
        <v>96</v>
      </c>
      <c r="G113" s="35" t="s">
        <v>102</v>
      </c>
      <c r="H113" s="36">
        <v>48.7</v>
      </c>
      <c r="I113" s="36">
        <v>0</v>
      </c>
      <c r="J113" s="36" t="s">
        <v>35</v>
      </c>
      <c r="K113" s="36" t="s">
        <v>35</v>
      </c>
      <c r="L113" s="74">
        <v>22.8675</v>
      </c>
      <c r="M113" s="35" t="s">
        <v>379</v>
      </c>
      <c r="N113" s="37" t="s">
        <v>757</v>
      </c>
      <c r="O113" s="87"/>
      <c r="P113" s="87"/>
      <c r="Q113" s="46"/>
      <c r="R113" s="38"/>
    </row>
    <row r="114" spans="1:18" x14ac:dyDescent="0.25">
      <c r="A114" s="104" t="s">
        <v>638</v>
      </c>
      <c r="B114" s="7" t="s">
        <v>45</v>
      </c>
      <c r="C114" s="6" t="s">
        <v>358</v>
      </c>
      <c r="D114" s="7" t="s">
        <v>359</v>
      </c>
      <c r="E114" s="7">
        <v>33</v>
      </c>
      <c r="F114" s="6" t="s">
        <v>385</v>
      </c>
      <c r="G114" s="7" t="s">
        <v>110</v>
      </c>
      <c r="H114" s="8">
        <v>48.7</v>
      </c>
      <c r="I114" s="8">
        <v>0</v>
      </c>
      <c r="J114" s="8" t="s">
        <v>35</v>
      </c>
      <c r="K114" s="8" t="s">
        <v>35</v>
      </c>
      <c r="L114" s="73">
        <v>71.397199999999998</v>
      </c>
      <c r="M114" s="7" t="s">
        <v>380</v>
      </c>
      <c r="N114" s="124"/>
      <c r="O114" s="65"/>
      <c r="P114" s="65"/>
      <c r="Q114" s="66"/>
    </row>
    <row r="115" spans="1:18" x14ac:dyDescent="0.25">
      <c r="A115" s="104" t="s">
        <v>638</v>
      </c>
      <c r="B115" s="7" t="s">
        <v>45</v>
      </c>
      <c r="C115" s="6" t="s">
        <v>343</v>
      </c>
      <c r="D115" s="7" t="s">
        <v>344</v>
      </c>
      <c r="E115" s="7">
        <v>33</v>
      </c>
      <c r="F115" s="6" t="s">
        <v>95</v>
      </c>
      <c r="G115" s="7" t="s">
        <v>368</v>
      </c>
      <c r="H115" s="8">
        <v>48.7</v>
      </c>
      <c r="I115" s="8">
        <v>0</v>
      </c>
      <c r="J115" s="8" t="s">
        <v>35</v>
      </c>
      <c r="K115" s="8" t="s">
        <v>35</v>
      </c>
      <c r="L115" s="73">
        <v>66.698800000000006</v>
      </c>
      <c r="M115" s="88" t="s">
        <v>373</v>
      </c>
      <c r="N115" s="124"/>
      <c r="O115" s="65"/>
      <c r="P115" s="65"/>
      <c r="Q115" s="66"/>
    </row>
    <row r="116" spans="1:18" x14ac:dyDescent="0.25">
      <c r="A116" s="104" t="s">
        <v>638</v>
      </c>
      <c r="B116" s="7" t="s">
        <v>45</v>
      </c>
      <c r="C116" s="6" t="s">
        <v>362</v>
      </c>
      <c r="D116" s="7" t="s">
        <v>363</v>
      </c>
      <c r="E116" s="7">
        <v>11</v>
      </c>
      <c r="F116" s="6" t="s">
        <v>96</v>
      </c>
      <c r="G116" s="7" t="s">
        <v>102</v>
      </c>
      <c r="H116" s="8">
        <v>48.7</v>
      </c>
      <c r="I116" s="8">
        <v>0</v>
      </c>
      <c r="J116" s="8" t="s">
        <v>35</v>
      </c>
      <c r="K116" s="8" t="s">
        <v>35</v>
      </c>
      <c r="L116" s="73">
        <v>31.760899999999999</v>
      </c>
      <c r="M116" s="7" t="s">
        <v>382</v>
      </c>
      <c r="N116" s="124"/>
      <c r="O116" s="65"/>
      <c r="P116" s="65"/>
      <c r="Q116" s="66"/>
    </row>
    <row r="117" spans="1:18" x14ac:dyDescent="0.25">
      <c r="A117" s="106" t="s">
        <v>639</v>
      </c>
      <c r="B117" s="60" t="s">
        <v>653</v>
      </c>
      <c r="C117" s="29" t="s">
        <v>386</v>
      </c>
      <c r="D117" s="30" t="s">
        <v>387</v>
      </c>
      <c r="E117" s="30">
        <v>11</v>
      </c>
      <c r="F117" s="29" t="s">
        <v>96</v>
      </c>
      <c r="G117" s="57" t="s">
        <v>102</v>
      </c>
      <c r="H117" s="31">
        <v>48.6</v>
      </c>
      <c r="I117" s="31">
        <v>0</v>
      </c>
      <c r="J117" s="31" t="s">
        <v>35</v>
      </c>
      <c r="K117" s="31" t="s">
        <v>35</v>
      </c>
      <c r="L117" s="83">
        <v>21.392700000000001</v>
      </c>
      <c r="M117" s="92" t="s">
        <v>426</v>
      </c>
      <c r="N117" s="20"/>
      <c r="O117" s="65"/>
      <c r="P117" s="65"/>
      <c r="Q117" s="66"/>
    </row>
    <row r="118" spans="1:18" x14ac:dyDescent="0.25">
      <c r="A118" s="106" t="s">
        <v>639</v>
      </c>
      <c r="B118" s="24" t="s">
        <v>650</v>
      </c>
      <c r="C118" s="22" t="s">
        <v>388</v>
      </c>
      <c r="D118" s="17" t="s">
        <v>389</v>
      </c>
      <c r="E118" s="17">
        <v>22</v>
      </c>
      <c r="F118" s="22" t="s">
        <v>94</v>
      </c>
      <c r="G118" s="17" t="s">
        <v>99</v>
      </c>
      <c r="H118" s="19">
        <v>48.6</v>
      </c>
      <c r="I118" s="19">
        <v>0</v>
      </c>
      <c r="J118" s="19" t="s">
        <v>35</v>
      </c>
      <c r="K118" s="19" t="s">
        <v>35</v>
      </c>
      <c r="L118" s="72">
        <v>35.081299999999999</v>
      </c>
      <c r="M118" s="40" t="s">
        <v>427</v>
      </c>
      <c r="N118" s="20"/>
      <c r="O118" s="65"/>
      <c r="P118" s="65"/>
      <c r="Q118" s="66"/>
    </row>
    <row r="119" spans="1:18" s="2" customFormat="1" x14ac:dyDescent="0.25">
      <c r="A119" s="106" t="s">
        <v>639</v>
      </c>
      <c r="B119" s="52" t="s">
        <v>650</v>
      </c>
      <c r="C119" s="49" t="s">
        <v>409</v>
      </c>
      <c r="D119" s="50" t="s">
        <v>410</v>
      </c>
      <c r="E119" s="46">
        <v>22</v>
      </c>
      <c r="F119" s="49" t="s">
        <v>411</v>
      </c>
      <c r="G119" s="50" t="s">
        <v>425</v>
      </c>
      <c r="H119" s="51">
        <v>48.6</v>
      </c>
      <c r="I119" s="51">
        <v>0</v>
      </c>
      <c r="J119" s="51" t="s">
        <v>35</v>
      </c>
      <c r="K119" s="51" t="s">
        <v>35</v>
      </c>
      <c r="L119" s="75">
        <v>1.4469000000000001</v>
      </c>
      <c r="M119" s="48" t="s">
        <v>439</v>
      </c>
      <c r="N119" s="45" t="s">
        <v>758</v>
      </c>
      <c r="O119" s="87"/>
      <c r="P119" s="87"/>
      <c r="Q119" s="46"/>
      <c r="R119" s="38"/>
    </row>
    <row r="120" spans="1:18" x14ac:dyDescent="0.25">
      <c r="A120" s="106" t="s">
        <v>639</v>
      </c>
      <c r="B120" s="24" t="s">
        <v>650</v>
      </c>
      <c r="C120" s="22" t="s">
        <v>395</v>
      </c>
      <c r="D120" s="17" t="s">
        <v>396</v>
      </c>
      <c r="E120" s="17">
        <v>22</v>
      </c>
      <c r="F120" s="22" t="s">
        <v>94</v>
      </c>
      <c r="G120" s="17" t="s">
        <v>99</v>
      </c>
      <c r="H120" s="19">
        <v>48.6</v>
      </c>
      <c r="I120" s="19">
        <v>0</v>
      </c>
      <c r="J120" s="19" t="s">
        <v>35</v>
      </c>
      <c r="K120" s="19" t="s">
        <v>35</v>
      </c>
      <c r="L120" s="72">
        <v>33.332500000000003</v>
      </c>
      <c r="M120" s="40" t="s">
        <v>432</v>
      </c>
      <c r="N120" s="20"/>
      <c r="O120" s="65">
        <v>0.9</v>
      </c>
      <c r="P120" s="65">
        <v>30</v>
      </c>
      <c r="Q120" s="66">
        <v>1</v>
      </c>
    </row>
    <row r="121" spans="1:18" x14ac:dyDescent="0.25">
      <c r="A121" s="106" t="s">
        <v>639</v>
      </c>
      <c r="B121" s="24" t="s">
        <v>652</v>
      </c>
      <c r="C121" s="22" t="s">
        <v>238</v>
      </c>
      <c r="D121" s="17" t="s">
        <v>130</v>
      </c>
      <c r="E121" s="17">
        <v>132</v>
      </c>
      <c r="F121" s="22" t="s">
        <v>429</v>
      </c>
      <c r="G121" s="17">
        <v>605</v>
      </c>
      <c r="H121" s="19">
        <v>48.6</v>
      </c>
      <c r="I121" s="19">
        <v>0</v>
      </c>
      <c r="J121" s="19" t="s">
        <v>35</v>
      </c>
      <c r="K121" s="19" t="s">
        <v>35</v>
      </c>
      <c r="L121" s="279">
        <v>90</v>
      </c>
      <c r="M121" s="281" t="s">
        <v>431</v>
      </c>
      <c r="N121" s="287"/>
      <c r="O121" s="65"/>
      <c r="P121" s="65"/>
      <c r="Q121" s="66"/>
    </row>
    <row r="122" spans="1:18" x14ac:dyDescent="0.25">
      <c r="A122" s="106" t="s">
        <v>639</v>
      </c>
      <c r="B122" s="24" t="s">
        <v>652</v>
      </c>
      <c r="C122" s="22" t="s">
        <v>393</v>
      </c>
      <c r="D122" s="17" t="s">
        <v>394</v>
      </c>
      <c r="E122" s="17">
        <v>132</v>
      </c>
      <c r="F122" s="22" t="s">
        <v>430</v>
      </c>
      <c r="G122" s="17">
        <v>205</v>
      </c>
      <c r="H122" s="19">
        <v>48.6</v>
      </c>
      <c r="I122" s="19">
        <v>0</v>
      </c>
      <c r="J122" s="19" t="s">
        <v>35</v>
      </c>
      <c r="K122" s="31" t="s">
        <v>35</v>
      </c>
      <c r="L122" s="280"/>
      <c r="M122" s="281"/>
      <c r="N122" s="288"/>
      <c r="O122" s="65"/>
      <c r="P122" s="65"/>
      <c r="Q122" s="66"/>
    </row>
    <row r="123" spans="1:18" x14ac:dyDescent="0.25">
      <c r="A123" s="106" t="s">
        <v>639</v>
      </c>
      <c r="B123" s="24" t="s">
        <v>649</v>
      </c>
      <c r="C123" s="22" t="s">
        <v>399</v>
      </c>
      <c r="D123" s="17" t="s">
        <v>400</v>
      </c>
      <c r="E123" s="17">
        <v>33</v>
      </c>
      <c r="F123" s="22" t="s">
        <v>445</v>
      </c>
      <c r="G123" s="17" t="s">
        <v>110</v>
      </c>
      <c r="H123" s="19">
        <v>48.6</v>
      </c>
      <c r="I123" s="19">
        <v>0</v>
      </c>
      <c r="J123" s="19" t="s">
        <v>35</v>
      </c>
      <c r="K123" s="19" t="s">
        <v>35</v>
      </c>
      <c r="L123" s="72">
        <v>61.133400000000002</v>
      </c>
      <c r="M123" s="40" t="s">
        <v>630</v>
      </c>
      <c r="N123" s="20"/>
      <c r="O123" s="65"/>
      <c r="P123" s="65"/>
      <c r="Q123" s="66"/>
    </row>
    <row r="124" spans="1:18" x14ac:dyDescent="0.25">
      <c r="A124" s="106" t="s">
        <v>639</v>
      </c>
      <c r="B124" s="15" t="s">
        <v>649</v>
      </c>
      <c r="C124" s="13" t="s">
        <v>403</v>
      </c>
      <c r="D124" s="14" t="s">
        <v>404</v>
      </c>
      <c r="E124" s="15">
        <v>33</v>
      </c>
      <c r="F124" s="16" t="s">
        <v>95</v>
      </c>
      <c r="G124" s="17" t="s">
        <v>99</v>
      </c>
      <c r="H124" s="19">
        <v>48.6</v>
      </c>
      <c r="I124" s="19">
        <v>0</v>
      </c>
      <c r="J124" s="19" t="s">
        <v>35</v>
      </c>
      <c r="K124" s="19" t="s">
        <v>35</v>
      </c>
      <c r="L124" s="72">
        <v>105.8642</v>
      </c>
      <c r="M124" s="21" t="s">
        <v>436</v>
      </c>
      <c r="N124" s="20"/>
      <c r="O124" s="65"/>
      <c r="P124" s="65"/>
      <c r="Q124" s="66"/>
    </row>
    <row r="125" spans="1:18" x14ac:dyDescent="0.25">
      <c r="A125" s="106" t="s">
        <v>639</v>
      </c>
      <c r="B125" s="24" t="s">
        <v>649</v>
      </c>
      <c r="C125" s="13" t="s">
        <v>405</v>
      </c>
      <c r="D125" s="14" t="s">
        <v>406</v>
      </c>
      <c r="E125" s="15">
        <v>33</v>
      </c>
      <c r="F125" s="16" t="s">
        <v>95</v>
      </c>
      <c r="G125" s="17" t="s">
        <v>99</v>
      </c>
      <c r="H125" s="19">
        <v>48.6</v>
      </c>
      <c r="I125" s="19">
        <v>0</v>
      </c>
      <c r="J125" s="19" t="s">
        <v>35</v>
      </c>
      <c r="K125" s="19" t="s">
        <v>35</v>
      </c>
      <c r="L125" s="72">
        <v>52.4377</v>
      </c>
      <c r="M125" s="21" t="s">
        <v>437</v>
      </c>
      <c r="N125" s="20"/>
      <c r="O125" s="65"/>
      <c r="P125" s="65"/>
      <c r="Q125" s="66"/>
    </row>
    <row r="126" spans="1:18" x14ac:dyDescent="0.25">
      <c r="A126" s="106" t="s">
        <v>639</v>
      </c>
      <c r="B126" s="24" t="s">
        <v>655</v>
      </c>
      <c r="C126" s="22" t="s">
        <v>407</v>
      </c>
      <c r="D126" s="17" t="s">
        <v>408</v>
      </c>
      <c r="E126" s="17">
        <v>33</v>
      </c>
      <c r="F126" s="22" t="s">
        <v>97</v>
      </c>
      <c r="G126" s="17" t="s">
        <v>103</v>
      </c>
      <c r="H126" s="19">
        <v>48.6</v>
      </c>
      <c r="I126" s="19">
        <v>0</v>
      </c>
      <c r="J126" s="19" t="s">
        <v>35</v>
      </c>
      <c r="K126" s="19" t="s">
        <v>35</v>
      </c>
      <c r="L126" s="72">
        <v>14.2995</v>
      </c>
      <c r="M126" s="40" t="s">
        <v>438</v>
      </c>
      <c r="N126" s="20"/>
      <c r="O126" s="65"/>
      <c r="P126" s="65"/>
      <c r="Q126" s="66"/>
    </row>
    <row r="127" spans="1:18" x14ac:dyDescent="0.25">
      <c r="A127" s="106" t="s">
        <v>639</v>
      </c>
      <c r="B127" s="15" t="s">
        <v>45</v>
      </c>
      <c r="C127" s="13" t="s">
        <v>401</v>
      </c>
      <c r="D127" s="14" t="s">
        <v>402</v>
      </c>
      <c r="E127" s="15">
        <v>33</v>
      </c>
      <c r="F127" s="16" t="s">
        <v>97</v>
      </c>
      <c r="G127" s="17" t="s">
        <v>103</v>
      </c>
      <c r="H127" s="19">
        <v>48.6</v>
      </c>
      <c r="I127" s="19">
        <v>0</v>
      </c>
      <c r="J127" s="19" t="s">
        <v>35</v>
      </c>
      <c r="K127" s="19" t="s">
        <v>35</v>
      </c>
      <c r="L127" s="72">
        <v>69.050399999999996</v>
      </c>
      <c r="M127" s="21" t="s">
        <v>434</v>
      </c>
      <c r="N127" s="20"/>
      <c r="O127" s="65"/>
      <c r="P127" s="65"/>
      <c r="Q127" s="66"/>
    </row>
    <row r="128" spans="1:18" x14ac:dyDescent="0.25">
      <c r="A128" s="106" t="s">
        <v>639</v>
      </c>
      <c r="B128" s="15" t="s">
        <v>45</v>
      </c>
      <c r="C128" s="13" t="s">
        <v>401</v>
      </c>
      <c r="D128" s="14" t="s">
        <v>402</v>
      </c>
      <c r="E128" s="15">
        <v>11</v>
      </c>
      <c r="F128" s="16" t="s">
        <v>96</v>
      </c>
      <c r="G128" s="17" t="s">
        <v>102</v>
      </c>
      <c r="H128" s="19">
        <v>48.6</v>
      </c>
      <c r="I128" s="19">
        <v>0</v>
      </c>
      <c r="J128" s="19" t="s">
        <v>35</v>
      </c>
      <c r="K128" s="19" t="s">
        <v>35</v>
      </c>
      <c r="L128" s="72">
        <v>15.0282</v>
      </c>
      <c r="M128" s="21" t="s">
        <v>435</v>
      </c>
      <c r="N128" s="20"/>
      <c r="O128" s="65"/>
      <c r="P128" s="65"/>
      <c r="Q128" s="66"/>
    </row>
    <row r="129" spans="1:18" s="80" customFormat="1" x14ac:dyDescent="0.25">
      <c r="A129" s="106" t="s">
        <v>639</v>
      </c>
      <c r="B129" s="24" t="s">
        <v>45</v>
      </c>
      <c r="C129" s="22" t="s">
        <v>397</v>
      </c>
      <c r="D129" s="17" t="s">
        <v>398</v>
      </c>
      <c r="E129" s="17">
        <v>33</v>
      </c>
      <c r="F129" s="22" t="s">
        <v>97</v>
      </c>
      <c r="G129" s="41" t="s">
        <v>103</v>
      </c>
      <c r="H129" s="19">
        <v>48.6</v>
      </c>
      <c r="I129" s="19">
        <v>0</v>
      </c>
      <c r="J129" s="19" t="s">
        <v>35</v>
      </c>
      <c r="K129" s="19" t="s">
        <v>35</v>
      </c>
      <c r="L129" s="78">
        <v>98.751000000000005</v>
      </c>
      <c r="M129" s="40" t="s">
        <v>433</v>
      </c>
      <c r="N129" s="22"/>
      <c r="O129" s="64"/>
      <c r="P129" s="64"/>
      <c r="Q129" s="17"/>
      <c r="R129" s="79"/>
    </row>
    <row r="130" spans="1:18" x14ac:dyDescent="0.25">
      <c r="A130" s="106" t="s">
        <v>639</v>
      </c>
      <c r="B130" s="60" t="s">
        <v>45</v>
      </c>
      <c r="C130" s="29" t="s">
        <v>390</v>
      </c>
      <c r="D130" s="30" t="s">
        <v>391</v>
      </c>
      <c r="E130" s="17">
        <v>11</v>
      </c>
      <c r="F130" s="29" t="s">
        <v>392</v>
      </c>
      <c r="G130" s="30" t="s">
        <v>424</v>
      </c>
      <c r="H130" s="19">
        <v>48.6</v>
      </c>
      <c r="I130" s="19">
        <v>0</v>
      </c>
      <c r="J130" s="31" t="s">
        <v>35</v>
      </c>
      <c r="K130" s="31" t="s">
        <v>35</v>
      </c>
      <c r="L130" s="72">
        <v>4.0548999999999999</v>
      </c>
      <c r="M130" s="40" t="s">
        <v>428</v>
      </c>
      <c r="N130" s="20"/>
      <c r="O130" s="65"/>
      <c r="P130" s="65"/>
      <c r="Q130" s="66"/>
    </row>
    <row r="131" spans="1:18" s="2" customFormat="1" x14ac:dyDescent="0.25">
      <c r="A131" s="106" t="s">
        <v>639</v>
      </c>
      <c r="B131" s="52" t="s">
        <v>45</v>
      </c>
      <c r="C131" s="49" t="s">
        <v>412</v>
      </c>
      <c r="D131" s="50" t="s">
        <v>413</v>
      </c>
      <c r="E131" s="52">
        <v>33</v>
      </c>
      <c r="F131" s="53" t="s">
        <v>95</v>
      </c>
      <c r="G131" s="46" t="s">
        <v>99</v>
      </c>
      <c r="H131" s="51">
        <v>48.6</v>
      </c>
      <c r="I131" s="51">
        <v>0</v>
      </c>
      <c r="J131" s="51" t="s">
        <v>35</v>
      </c>
      <c r="K131" s="47" t="s">
        <v>35</v>
      </c>
      <c r="L131" s="75">
        <v>77.169499999999999</v>
      </c>
      <c r="M131" s="54" t="s">
        <v>440</v>
      </c>
      <c r="N131" s="45" t="s">
        <v>759</v>
      </c>
      <c r="O131" s="87"/>
      <c r="P131" s="87"/>
      <c r="Q131" s="46"/>
      <c r="R131" s="38"/>
    </row>
    <row r="132" spans="1:18" s="2" customFormat="1" x14ac:dyDescent="0.25">
      <c r="A132" s="106" t="s">
        <v>639</v>
      </c>
      <c r="B132" s="123" t="s">
        <v>45</v>
      </c>
      <c r="C132" s="45" t="s">
        <v>418</v>
      </c>
      <c r="D132" s="46" t="s">
        <v>419</v>
      </c>
      <c r="E132" s="46">
        <v>33</v>
      </c>
      <c r="F132" s="45" t="s">
        <v>95</v>
      </c>
      <c r="G132" s="46" t="s">
        <v>99</v>
      </c>
      <c r="H132" s="47">
        <v>48.6</v>
      </c>
      <c r="I132" s="47">
        <v>0</v>
      </c>
      <c r="J132" s="47" t="s">
        <v>35</v>
      </c>
      <c r="K132" s="47" t="s">
        <v>35</v>
      </c>
      <c r="L132" s="75">
        <v>81.886700000000005</v>
      </c>
      <c r="M132" s="48" t="s">
        <v>442</v>
      </c>
      <c r="N132" s="45" t="s">
        <v>760</v>
      </c>
      <c r="O132" s="87"/>
      <c r="P132" s="87"/>
      <c r="Q132" s="46"/>
      <c r="R132" s="38"/>
    </row>
    <row r="133" spans="1:18" s="2" customFormat="1" x14ac:dyDescent="0.25">
      <c r="A133" s="106" t="s">
        <v>639</v>
      </c>
      <c r="B133" s="123" t="s">
        <v>649</v>
      </c>
      <c r="C133" s="45" t="s">
        <v>414</v>
      </c>
      <c r="D133" s="46" t="s">
        <v>415</v>
      </c>
      <c r="E133" s="46">
        <v>33</v>
      </c>
      <c r="F133" s="45" t="s">
        <v>95</v>
      </c>
      <c r="G133" s="46" t="s">
        <v>99</v>
      </c>
      <c r="H133" s="47">
        <v>48.6</v>
      </c>
      <c r="I133" s="47">
        <v>0</v>
      </c>
      <c r="J133" s="47" t="s">
        <v>35</v>
      </c>
      <c r="K133" s="47" t="s">
        <v>35</v>
      </c>
      <c r="L133" s="75">
        <v>45.098500000000001</v>
      </c>
      <c r="M133" s="48" t="s">
        <v>441</v>
      </c>
      <c r="N133" s="45" t="s">
        <v>761</v>
      </c>
      <c r="O133" s="87"/>
      <c r="P133" s="87"/>
      <c r="Q133" s="46"/>
      <c r="R133" s="38"/>
    </row>
    <row r="134" spans="1:18" x14ac:dyDescent="0.25">
      <c r="A134" s="106" t="s">
        <v>639</v>
      </c>
      <c r="B134" s="60" t="s">
        <v>651</v>
      </c>
      <c r="C134" s="22" t="s">
        <v>416</v>
      </c>
      <c r="D134" s="17" t="s">
        <v>417</v>
      </c>
      <c r="E134" s="17">
        <v>33</v>
      </c>
      <c r="F134" s="22" t="s">
        <v>95</v>
      </c>
      <c r="G134" s="17" t="s">
        <v>99</v>
      </c>
      <c r="H134" s="19">
        <v>48.6</v>
      </c>
      <c r="I134" s="19">
        <v>0</v>
      </c>
      <c r="J134" s="19" t="s">
        <v>35</v>
      </c>
      <c r="K134" s="19" t="s">
        <v>35</v>
      </c>
      <c r="L134" s="72">
        <v>71.665499999999994</v>
      </c>
      <c r="M134" s="40" t="s">
        <v>446</v>
      </c>
      <c r="N134" s="20"/>
      <c r="O134" s="65"/>
      <c r="P134" s="65"/>
      <c r="Q134" s="66"/>
    </row>
    <row r="135" spans="1:18" x14ac:dyDescent="0.25">
      <c r="A135" s="106" t="s">
        <v>639</v>
      </c>
      <c r="B135" s="60" t="s">
        <v>420</v>
      </c>
      <c r="C135" s="29" t="s">
        <v>420</v>
      </c>
      <c r="D135" s="30" t="s">
        <v>421</v>
      </c>
      <c r="E135" s="17">
        <v>11</v>
      </c>
      <c r="F135" s="29" t="s">
        <v>96</v>
      </c>
      <c r="G135" s="30" t="s">
        <v>102</v>
      </c>
      <c r="H135" s="19">
        <v>48.6</v>
      </c>
      <c r="I135" s="19">
        <v>0</v>
      </c>
      <c r="J135" s="31" t="s">
        <v>35</v>
      </c>
      <c r="K135" s="31" t="s">
        <v>35</v>
      </c>
      <c r="L135" s="72">
        <v>9.9041999999999994</v>
      </c>
      <c r="M135" s="40" t="s">
        <v>443</v>
      </c>
      <c r="N135" s="20"/>
      <c r="O135" s="65"/>
      <c r="P135" s="65"/>
      <c r="Q135" s="66"/>
    </row>
    <row r="136" spans="1:18" x14ac:dyDescent="0.25">
      <c r="A136" s="106" t="s">
        <v>639</v>
      </c>
      <c r="B136" s="15" t="s">
        <v>420</v>
      </c>
      <c r="C136" s="13" t="s">
        <v>422</v>
      </c>
      <c r="D136" s="14" t="s">
        <v>423</v>
      </c>
      <c r="E136" s="14">
        <v>11</v>
      </c>
      <c r="F136" s="13" t="s">
        <v>96</v>
      </c>
      <c r="G136" s="14" t="s">
        <v>102</v>
      </c>
      <c r="H136" s="18">
        <v>48.6</v>
      </c>
      <c r="I136" s="18">
        <v>0</v>
      </c>
      <c r="J136" s="18" t="s">
        <v>35</v>
      </c>
      <c r="K136" s="18" t="s">
        <v>35</v>
      </c>
      <c r="L136" s="91">
        <v>18.441099999999999</v>
      </c>
      <c r="M136" s="93" t="s">
        <v>444</v>
      </c>
      <c r="N136" s="20"/>
      <c r="O136" s="65"/>
      <c r="P136" s="65"/>
      <c r="Q136" s="66"/>
    </row>
    <row r="137" spans="1:18" x14ac:dyDescent="0.25">
      <c r="A137" s="104" t="s">
        <v>640</v>
      </c>
      <c r="B137" s="7" t="s">
        <v>577</v>
      </c>
      <c r="C137" s="6" t="s">
        <v>449</v>
      </c>
      <c r="D137" s="7" t="s">
        <v>450</v>
      </c>
      <c r="E137" s="7">
        <v>11</v>
      </c>
      <c r="F137" s="6" t="s">
        <v>96</v>
      </c>
      <c r="G137" s="7" t="s">
        <v>102</v>
      </c>
      <c r="H137" s="8">
        <v>48.5</v>
      </c>
      <c r="I137" s="8">
        <v>0</v>
      </c>
      <c r="J137" s="8" t="s">
        <v>35</v>
      </c>
      <c r="K137" s="8" t="s">
        <v>35</v>
      </c>
      <c r="L137" s="73">
        <v>20.343399999999999</v>
      </c>
      <c r="M137" s="7" t="s">
        <v>478</v>
      </c>
      <c r="N137" s="124"/>
      <c r="O137" s="65"/>
      <c r="P137" s="65"/>
      <c r="Q137" s="66"/>
    </row>
    <row r="138" spans="1:18" x14ac:dyDescent="0.25">
      <c r="A138" s="104" t="s">
        <v>640</v>
      </c>
      <c r="B138" s="7" t="s">
        <v>650</v>
      </c>
      <c r="C138" s="6" t="s">
        <v>451</v>
      </c>
      <c r="D138" s="7" t="s">
        <v>452</v>
      </c>
      <c r="E138" s="7">
        <v>22</v>
      </c>
      <c r="F138" s="6" t="s">
        <v>94</v>
      </c>
      <c r="G138" s="7" t="s">
        <v>99</v>
      </c>
      <c r="H138" s="8">
        <v>48.5</v>
      </c>
      <c r="I138" s="8">
        <v>0</v>
      </c>
      <c r="J138" s="8" t="s">
        <v>35</v>
      </c>
      <c r="K138" s="8" t="s">
        <v>35</v>
      </c>
      <c r="L138" s="73">
        <v>34.6464</v>
      </c>
      <c r="M138" s="7" t="s">
        <v>479</v>
      </c>
      <c r="N138" s="124"/>
      <c r="O138" s="65">
        <v>0.9</v>
      </c>
      <c r="P138" s="65">
        <v>60</v>
      </c>
      <c r="Q138" s="66">
        <v>2</v>
      </c>
    </row>
    <row r="139" spans="1:18" x14ac:dyDescent="0.25">
      <c r="A139" s="104" t="s">
        <v>640</v>
      </c>
      <c r="B139" s="7" t="s">
        <v>420</v>
      </c>
      <c r="C139" s="6" t="s">
        <v>453</v>
      </c>
      <c r="D139" s="7" t="s">
        <v>454</v>
      </c>
      <c r="E139" s="7">
        <v>33</v>
      </c>
      <c r="F139" s="58" t="s">
        <v>95</v>
      </c>
      <c r="G139" s="7" t="s">
        <v>99</v>
      </c>
      <c r="H139" s="8">
        <v>48.5</v>
      </c>
      <c r="I139" s="8">
        <v>0</v>
      </c>
      <c r="J139" s="8" t="s">
        <v>35</v>
      </c>
      <c r="K139" s="8" t="s">
        <v>35</v>
      </c>
      <c r="L139" s="73">
        <v>17.764500000000002</v>
      </c>
      <c r="M139" s="88" t="s">
        <v>480</v>
      </c>
      <c r="N139" s="124"/>
      <c r="O139" s="65"/>
      <c r="P139" s="65"/>
      <c r="Q139" s="66"/>
    </row>
    <row r="140" spans="1:18" x14ac:dyDescent="0.25">
      <c r="A140" s="104" t="s">
        <v>640</v>
      </c>
      <c r="B140" s="7" t="s">
        <v>420</v>
      </c>
      <c r="C140" s="6" t="s">
        <v>455</v>
      </c>
      <c r="D140" s="7" t="s">
        <v>456</v>
      </c>
      <c r="E140" s="7">
        <v>33</v>
      </c>
      <c r="F140" s="58" t="s">
        <v>96</v>
      </c>
      <c r="G140" s="7" t="s">
        <v>102</v>
      </c>
      <c r="H140" s="8">
        <v>48.5</v>
      </c>
      <c r="I140" s="8">
        <v>0</v>
      </c>
      <c r="J140" s="8" t="s">
        <v>35</v>
      </c>
      <c r="K140" s="8" t="s">
        <v>35</v>
      </c>
      <c r="L140" s="73">
        <v>16.510000000000002</v>
      </c>
      <c r="M140" s="88" t="s">
        <v>481</v>
      </c>
      <c r="N140" s="124"/>
      <c r="O140" s="65"/>
      <c r="P140" s="65"/>
      <c r="Q140" s="66"/>
    </row>
    <row r="141" spans="1:18" x14ac:dyDescent="0.25">
      <c r="A141" s="104" t="s">
        <v>640</v>
      </c>
      <c r="B141" s="7" t="s">
        <v>655</v>
      </c>
      <c r="C141" s="6" t="s">
        <v>460</v>
      </c>
      <c r="D141" s="7" t="s">
        <v>83</v>
      </c>
      <c r="E141" s="7">
        <v>11</v>
      </c>
      <c r="F141" s="6" t="s">
        <v>461</v>
      </c>
      <c r="G141" s="7" t="s">
        <v>476</v>
      </c>
      <c r="H141" s="8">
        <v>48.5</v>
      </c>
      <c r="I141" s="8">
        <v>0</v>
      </c>
      <c r="J141" s="8" t="s">
        <v>35</v>
      </c>
      <c r="K141" s="8" t="s">
        <v>35</v>
      </c>
      <c r="L141" s="73">
        <v>20.203499999999998</v>
      </c>
      <c r="M141" s="7" t="s">
        <v>483</v>
      </c>
      <c r="N141" s="124"/>
      <c r="O141" s="65"/>
      <c r="P141" s="65"/>
      <c r="Q141" s="66"/>
    </row>
    <row r="142" spans="1:18" x14ac:dyDescent="0.25">
      <c r="A142" s="104" t="s">
        <v>640</v>
      </c>
      <c r="B142" s="7" t="s">
        <v>649</v>
      </c>
      <c r="C142" s="6" t="s">
        <v>462</v>
      </c>
      <c r="D142" s="7" t="s">
        <v>463</v>
      </c>
      <c r="E142" s="7">
        <v>11</v>
      </c>
      <c r="F142" s="6" t="s">
        <v>96</v>
      </c>
      <c r="G142" s="7" t="s">
        <v>102</v>
      </c>
      <c r="H142" s="8">
        <v>48.5</v>
      </c>
      <c r="I142" s="8">
        <v>0</v>
      </c>
      <c r="J142" s="8" t="s">
        <v>35</v>
      </c>
      <c r="K142" s="8" t="s">
        <v>35</v>
      </c>
      <c r="L142" s="73">
        <v>40.494399999999999</v>
      </c>
      <c r="M142" s="7" t="s">
        <v>484</v>
      </c>
      <c r="N142" s="124"/>
      <c r="O142" s="65"/>
      <c r="P142" s="65"/>
      <c r="Q142" s="66"/>
    </row>
    <row r="143" spans="1:18" x14ac:dyDescent="0.25">
      <c r="A143" s="104" t="s">
        <v>640</v>
      </c>
      <c r="B143" s="7" t="s">
        <v>649</v>
      </c>
      <c r="C143" s="6" t="s">
        <v>462</v>
      </c>
      <c r="D143" s="7" t="s">
        <v>463</v>
      </c>
      <c r="E143" s="7">
        <v>33</v>
      </c>
      <c r="F143" s="6" t="s">
        <v>97</v>
      </c>
      <c r="G143" s="7" t="s">
        <v>103</v>
      </c>
      <c r="H143" s="8">
        <v>48.5</v>
      </c>
      <c r="I143" s="8">
        <v>0</v>
      </c>
      <c r="J143" s="8" t="s">
        <v>35</v>
      </c>
      <c r="K143" s="8" t="s">
        <v>35</v>
      </c>
      <c r="L143" s="73">
        <v>99.606800000000007</v>
      </c>
      <c r="M143" s="7" t="s">
        <v>485</v>
      </c>
      <c r="N143" s="124"/>
      <c r="O143" s="65">
        <v>0.9</v>
      </c>
      <c r="P143" s="65">
        <v>30</v>
      </c>
      <c r="Q143" s="66">
        <v>1</v>
      </c>
    </row>
    <row r="144" spans="1:18" x14ac:dyDescent="0.25">
      <c r="A144" s="104" t="s">
        <v>640</v>
      </c>
      <c r="B144" s="7" t="s">
        <v>649</v>
      </c>
      <c r="C144" s="6" t="s">
        <v>464</v>
      </c>
      <c r="D144" s="7" t="s">
        <v>31</v>
      </c>
      <c r="E144" s="7">
        <v>33</v>
      </c>
      <c r="F144" s="6" t="s">
        <v>645</v>
      </c>
      <c r="G144" s="7" t="s">
        <v>99</v>
      </c>
      <c r="H144" s="8">
        <v>48.5</v>
      </c>
      <c r="I144" s="8">
        <v>0</v>
      </c>
      <c r="J144" s="8" t="s">
        <v>35</v>
      </c>
      <c r="K144" s="8" t="s">
        <v>35</v>
      </c>
      <c r="L144" s="73">
        <v>70.498400000000004</v>
      </c>
      <c r="M144" s="268" t="s">
        <v>491</v>
      </c>
      <c r="N144" s="290"/>
      <c r="O144" s="65"/>
      <c r="P144" s="65"/>
      <c r="Q144" s="66"/>
    </row>
    <row r="145" spans="1:18" x14ac:dyDescent="0.25">
      <c r="A145" s="104" t="s">
        <v>640</v>
      </c>
      <c r="B145" s="7" t="s">
        <v>649</v>
      </c>
      <c r="C145" s="6" t="s">
        <v>464</v>
      </c>
      <c r="D145" s="7" t="s">
        <v>31</v>
      </c>
      <c r="E145" s="7">
        <v>33</v>
      </c>
      <c r="F145" s="6" t="s">
        <v>98</v>
      </c>
      <c r="G145" s="7" t="s">
        <v>103</v>
      </c>
      <c r="H145" s="8">
        <v>48.5</v>
      </c>
      <c r="I145" s="8">
        <v>0</v>
      </c>
      <c r="J145" s="8" t="s">
        <v>35</v>
      </c>
      <c r="K145" s="8" t="s">
        <v>35</v>
      </c>
      <c r="L145" s="73">
        <v>99.120699999999999</v>
      </c>
      <c r="M145" s="268"/>
      <c r="N145" s="291"/>
      <c r="O145" s="65"/>
      <c r="P145" s="65"/>
      <c r="Q145" s="66"/>
    </row>
    <row r="146" spans="1:18" x14ac:dyDescent="0.25">
      <c r="A146" s="104" t="s">
        <v>640</v>
      </c>
      <c r="B146" s="7" t="s">
        <v>45</v>
      </c>
      <c r="C146" s="6" t="s">
        <v>473</v>
      </c>
      <c r="D146" s="7" t="s">
        <v>474</v>
      </c>
      <c r="E146" s="7">
        <v>33</v>
      </c>
      <c r="F146" s="6" t="s">
        <v>475</v>
      </c>
      <c r="G146" s="7" t="s">
        <v>477</v>
      </c>
      <c r="H146" s="8">
        <v>48.5</v>
      </c>
      <c r="I146" s="8">
        <v>0</v>
      </c>
      <c r="J146" s="8" t="s">
        <v>35</v>
      </c>
      <c r="K146" s="8" t="s">
        <v>35</v>
      </c>
      <c r="L146" s="73">
        <v>96.674700000000001</v>
      </c>
      <c r="M146" s="7" t="s">
        <v>489</v>
      </c>
      <c r="N146" s="124"/>
      <c r="O146" s="65"/>
      <c r="P146" s="65"/>
      <c r="Q146" s="66"/>
    </row>
    <row r="147" spans="1:18" x14ac:dyDescent="0.25">
      <c r="A147" s="104" t="s">
        <v>640</v>
      </c>
      <c r="B147" s="7" t="s">
        <v>45</v>
      </c>
      <c r="C147" s="6" t="s">
        <v>465</v>
      </c>
      <c r="D147" s="7" t="s">
        <v>466</v>
      </c>
      <c r="E147" s="7">
        <v>33</v>
      </c>
      <c r="F147" s="6" t="s">
        <v>97</v>
      </c>
      <c r="G147" s="7" t="s">
        <v>103</v>
      </c>
      <c r="H147" s="8">
        <v>48.5</v>
      </c>
      <c r="I147" s="8">
        <v>0</v>
      </c>
      <c r="J147" s="8" t="s">
        <v>35</v>
      </c>
      <c r="K147" s="8" t="s">
        <v>35</v>
      </c>
      <c r="L147" s="73">
        <v>127.7547</v>
      </c>
      <c r="M147" s="7" t="s">
        <v>492</v>
      </c>
      <c r="N147" s="124"/>
      <c r="O147" s="65"/>
      <c r="P147" s="65"/>
      <c r="Q147" s="66"/>
    </row>
    <row r="148" spans="1:18" s="2" customFormat="1" x14ac:dyDescent="0.25">
      <c r="A148" s="104" t="s">
        <v>640</v>
      </c>
      <c r="B148" s="35" t="s">
        <v>45</v>
      </c>
      <c r="C148" s="37" t="s">
        <v>469</v>
      </c>
      <c r="D148" s="35" t="s">
        <v>470</v>
      </c>
      <c r="E148" s="35">
        <v>33</v>
      </c>
      <c r="F148" s="37" t="s">
        <v>95</v>
      </c>
      <c r="G148" s="35" t="s">
        <v>99</v>
      </c>
      <c r="H148" s="36">
        <v>48.5</v>
      </c>
      <c r="I148" s="36">
        <v>0</v>
      </c>
      <c r="J148" s="36" t="s">
        <v>35</v>
      </c>
      <c r="K148" s="36" t="s">
        <v>35</v>
      </c>
      <c r="L148" s="74">
        <v>90.917599999999993</v>
      </c>
      <c r="M148" s="35" t="s">
        <v>487</v>
      </c>
      <c r="N148" s="37" t="s">
        <v>762</v>
      </c>
      <c r="O148" s="87"/>
      <c r="P148" s="87"/>
      <c r="Q148" s="46"/>
      <c r="R148" s="38"/>
    </row>
    <row r="149" spans="1:18" x14ac:dyDescent="0.25">
      <c r="A149" s="104" t="s">
        <v>640</v>
      </c>
      <c r="B149" s="7" t="s">
        <v>651</v>
      </c>
      <c r="C149" s="6" t="s">
        <v>467</v>
      </c>
      <c r="D149" s="7" t="s">
        <v>468</v>
      </c>
      <c r="E149" s="7">
        <v>33</v>
      </c>
      <c r="F149" s="6" t="s">
        <v>95</v>
      </c>
      <c r="G149" s="7" t="s">
        <v>99</v>
      </c>
      <c r="H149" s="8">
        <v>48.5</v>
      </c>
      <c r="I149" s="8">
        <v>0</v>
      </c>
      <c r="J149" s="8" t="s">
        <v>35</v>
      </c>
      <c r="K149" s="8" t="s">
        <v>35</v>
      </c>
      <c r="L149" s="73">
        <v>81.433099999999996</v>
      </c>
      <c r="M149" s="7" t="s">
        <v>486</v>
      </c>
      <c r="N149" s="124"/>
      <c r="O149" s="65">
        <v>0.9</v>
      </c>
      <c r="P149" s="65">
        <v>30</v>
      </c>
      <c r="Q149" s="66">
        <v>1</v>
      </c>
    </row>
    <row r="150" spans="1:18" x14ac:dyDescent="0.25">
      <c r="A150" s="104" t="s">
        <v>640</v>
      </c>
      <c r="B150" s="7" t="s">
        <v>195</v>
      </c>
      <c r="C150" s="6" t="s">
        <v>457</v>
      </c>
      <c r="D150" s="7" t="s">
        <v>458</v>
      </c>
      <c r="E150" s="7">
        <v>33</v>
      </c>
      <c r="F150" s="6" t="s">
        <v>459</v>
      </c>
      <c r="G150" s="7" t="s">
        <v>100</v>
      </c>
      <c r="H150" s="8">
        <v>48.5</v>
      </c>
      <c r="I150" s="8">
        <v>0</v>
      </c>
      <c r="J150" s="8" t="s">
        <v>35</v>
      </c>
      <c r="K150" s="8" t="s">
        <v>35</v>
      </c>
      <c r="L150" s="73">
        <v>16.6814</v>
      </c>
      <c r="M150" s="7" t="s">
        <v>482</v>
      </c>
      <c r="N150" s="124"/>
      <c r="O150" s="65"/>
      <c r="P150" s="65"/>
      <c r="Q150" s="66"/>
    </row>
    <row r="151" spans="1:18" x14ac:dyDescent="0.25">
      <c r="A151" s="104" t="s">
        <v>640</v>
      </c>
      <c r="B151" s="7" t="s">
        <v>195</v>
      </c>
      <c r="C151" s="6" t="s">
        <v>156</v>
      </c>
      <c r="D151" s="7" t="s">
        <v>157</v>
      </c>
      <c r="E151" s="7">
        <v>132</v>
      </c>
      <c r="F151" s="6" t="s">
        <v>490</v>
      </c>
      <c r="G151" s="7" t="s">
        <v>152</v>
      </c>
      <c r="H151" s="8">
        <v>48.5</v>
      </c>
      <c r="I151" s="8">
        <v>0</v>
      </c>
      <c r="J151" s="8" t="s">
        <v>35</v>
      </c>
      <c r="K151" s="8" t="s">
        <v>35</v>
      </c>
      <c r="L151" s="259">
        <v>83</v>
      </c>
      <c r="M151" s="268" t="s">
        <v>488</v>
      </c>
      <c r="N151" s="124"/>
      <c r="O151" s="65"/>
      <c r="P151" s="65"/>
      <c r="Q151" s="66"/>
    </row>
    <row r="152" spans="1:18" x14ac:dyDescent="0.25">
      <c r="A152" s="104" t="s">
        <v>640</v>
      </c>
      <c r="B152" s="7" t="s">
        <v>195</v>
      </c>
      <c r="C152" s="6" t="s">
        <v>471</v>
      </c>
      <c r="D152" s="7" t="s">
        <v>472</v>
      </c>
      <c r="E152" s="7">
        <v>132</v>
      </c>
      <c r="F152" s="6" t="s">
        <v>490</v>
      </c>
      <c r="G152" s="7" t="s">
        <v>39</v>
      </c>
      <c r="H152" s="8">
        <v>48.5</v>
      </c>
      <c r="I152" s="8">
        <v>0</v>
      </c>
      <c r="J152" s="8" t="s">
        <v>35</v>
      </c>
      <c r="K152" s="8" t="s">
        <v>35</v>
      </c>
      <c r="L152" s="259"/>
      <c r="M152" s="268"/>
      <c r="N152" s="124"/>
      <c r="O152" s="65"/>
      <c r="P152" s="65"/>
      <c r="Q152" s="66"/>
    </row>
    <row r="153" spans="1:18" x14ac:dyDescent="0.25">
      <c r="A153" s="106" t="s">
        <v>641</v>
      </c>
      <c r="B153" s="17" t="s">
        <v>653</v>
      </c>
      <c r="C153" s="22" t="s">
        <v>228</v>
      </c>
      <c r="D153" s="17" t="s">
        <v>229</v>
      </c>
      <c r="E153" s="17">
        <v>132</v>
      </c>
      <c r="F153" s="22" t="s">
        <v>506</v>
      </c>
      <c r="G153" s="41" t="s">
        <v>503</v>
      </c>
      <c r="H153" s="19">
        <v>48.4</v>
      </c>
      <c r="I153" s="19">
        <v>0</v>
      </c>
      <c r="J153" s="19" t="s">
        <v>35</v>
      </c>
      <c r="K153" s="19" t="s">
        <v>35</v>
      </c>
      <c r="L153" s="263">
        <v>268</v>
      </c>
      <c r="M153" s="258" t="s">
        <v>511</v>
      </c>
      <c r="N153" s="287"/>
      <c r="O153" s="65"/>
      <c r="P153" s="65"/>
      <c r="Q153" s="66"/>
    </row>
    <row r="154" spans="1:18" x14ac:dyDescent="0.25">
      <c r="A154" s="106" t="s">
        <v>641</v>
      </c>
      <c r="B154" s="17" t="s">
        <v>653</v>
      </c>
      <c r="C154" s="22" t="s">
        <v>163</v>
      </c>
      <c r="D154" s="17" t="s">
        <v>164</v>
      </c>
      <c r="E154" s="17">
        <v>132</v>
      </c>
      <c r="F154" s="22" t="s">
        <v>507</v>
      </c>
      <c r="G154" s="17" t="s">
        <v>191</v>
      </c>
      <c r="H154" s="19">
        <v>48.4</v>
      </c>
      <c r="I154" s="19">
        <v>0</v>
      </c>
      <c r="J154" s="19" t="s">
        <v>35</v>
      </c>
      <c r="K154" s="19" t="s">
        <v>35</v>
      </c>
      <c r="L154" s="263"/>
      <c r="M154" s="258"/>
      <c r="N154" s="289"/>
      <c r="O154" s="65"/>
      <c r="P154" s="65"/>
      <c r="Q154" s="66"/>
    </row>
    <row r="155" spans="1:18" x14ac:dyDescent="0.25">
      <c r="A155" s="106" t="s">
        <v>641</v>
      </c>
      <c r="B155" s="17" t="s">
        <v>653</v>
      </c>
      <c r="C155" s="22" t="s">
        <v>657</v>
      </c>
      <c r="D155" s="17" t="s">
        <v>495</v>
      </c>
      <c r="E155" s="17">
        <v>132</v>
      </c>
      <c r="F155" s="22" t="s">
        <v>508</v>
      </c>
      <c r="G155" s="17" t="s">
        <v>191</v>
      </c>
      <c r="H155" s="19">
        <v>48.4</v>
      </c>
      <c r="I155" s="19">
        <v>0</v>
      </c>
      <c r="J155" s="19" t="s">
        <v>35</v>
      </c>
      <c r="K155" s="19" t="s">
        <v>35</v>
      </c>
      <c r="L155" s="263"/>
      <c r="M155" s="258"/>
      <c r="N155" s="289"/>
      <c r="O155" s="65"/>
      <c r="P155" s="65"/>
      <c r="Q155" s="66"/>
    </row>
    <row r="156" spans="1:18" x14ac:dyDescent="0.25">
      <c r="A156" s="106" t="s">
        <v>641</v>
      </c>
      <c r="B156" s="17" t="s">
        <v>653</v>
      </c>
      <c r="C156" s="22" t="s">
        <v>657</v>
      </c>
      <c r="D156" s="17" t="s">
        <v>495</v>
      </c>
      <c r="E156" s="17">
        <v>132</v>
      </c>
      <c r="F156" s="22" t="s">
        <v>509</v>
      </c>
      <c r="G156" s="17" t="s">
        <v>38</v>
      </c>
      <c r="H156" s="19">
        <v>48.4</v>
      </c>
      <c r="I156" s="19">
        <v>0</v>
      </c>
      <c r="J156" s="19" t="s">
        <v>35</v>
      </c>
      <c r="K156" s="19" t="s">
        <v>35</v>
      </c>
      <c r="L156" s="263"/>
      <c r="M156" s="258"/>
      <c r="N156" s="288"/>
      <c r="O156" s="65"/>
      <c r="P156" s="65"/>
      <c r="Q156" s="66"/>
    </row>
    <row r="157" spans="1:18" s="2" customFormat="1" x14ac:dyDescent="0.25">
      <c r="A157" s="106" t="s">
        <v>641</v>
      </c>
      <c r="B157" s="46" t="s">
        <v>420</v>
      </c>
      <c r="C157" s="45" t="s">
        <v>518</v>
      </c>
      <c r="D157" s="46" t="s">
        <v>519</v>
      </c>
      <c r="E157" s="46">
        <v>132</v>
      </c>
      <c r="F157" s="45" t="s">
        <v>517</v>
      </c>
      <c r="G157" s="46" t="s">
        <v>521</v>
      </c>
      <c r="H157" s="47">
        <v>48.4</v>
      </c>
      <c r="I157" s="47">
        <v>0</v>
      </c>
      <c r="J157" s="47" t="s">
        <v>35</v>
      </c>
      <c r="K157" s="47" t="s">
        <v>35</v>
      </c>
      <c r="L157" s="269">
        <v>153</v>
      </c>
      <c r="M157" s="265" t="s">
        <v>512</v>
      </c>
      <c r="N157" s="285" t="s">
        <v>522</v>
      </c>
      <c r="O157" s="87"/>
      <c r="P157" s="87"/>
      <c r="Q157" s="46"/>
      <c r="R157" s="38"/>
    </row>
    <row r="158" spans="1:18" x14ac:dyDescent="0.25">
      <c r="A158" s="106" t="s">
        <v>641</v>
      </c>
      <c r="B158" s="17" t="s">
        <v>420</v>
      </c>
      <c r="C158" s="22" t="s">
        <v>422</v>
      </c>
      <c r="D158" s="17" t="s">
        <v>423</v>
      </c>
      <c r="E158" s="17">
        <v>132</v>
      </c>
      <c r="F158" s="22" t="s">
        <v>520</v>
      </c>
      <c r="G158" s="17" t="s">
        <v>504</v>
      </c>
      <c r="H158" s="19">
        <v>48.4</v>
      </c>
      <c r="I158" s="19">
        <v>0</v>
      </c>
      <c r="J158" s="19" t="s">
        <v>35</v>
      </c>
      <c r="K158" s="19" t="s">
        <v>35</v>
      </c>
      <c r="L158" s="269"/>
      <c r="M158" s="265"/>
      <c r="N158" s="286"/>
      <c r="O158" s="65"/>
      <c r="P158" s="65"/>
      <c r="Q158" s="66"/>
    </row>
    <row r="159" spans="1:18" x14ac:dyDescent="0.25">
      <c r="A159" s="106" t="s">
        <v>641</v>
      </c>
      <c r="B159" s="17" t="s">
        <v>577</v>
      </c>
      <c r="C159" s="22" t="s">
        <v>496</v>
      </c>
      <c r="D159" s="17" t="s">
        <v>497</v>
      </c>
      <c r="E159" s="17">
        <v>132</v>
      </c>
      <c r="F159" s="22" t="s">
        <v>523</v>
      </c>
      <c r="G159" s="17" t="s">
        <v>505</v>
      </c>
      <c r="H159" s="19">
        <v>48.4</v>
      </c>
      <c r="I159" s="19">
        <v>0</v>
      </c>
      <c r="J159" s="19" t="s">
        <v>35</v>
      </c>
      <c r="K159" s="19" t="s">
        <v>35</v>
      </c>
      <c r="L159" s="263">
        <v>232</v>
      </c>
      <c r="M159" s="265" t="s">
        <v>513</v>
      </c>
      <c r="N159" s="287"/>
      <c r="O159" s="65"/>
      <c r="P159" s="65"/>
      <c r="Q159" s="66"/>
    </row>
    <row r="160" spans="1:18" x14ac:dyDescent="0.25">
      <c r="A160" s="106" t="s">
        <v>641</v>
      </c>
      <c r="B160" s="17" t="s">
        <v>650</v>
      </c>
      <c r="C160" s="22" t="s">
        <v>409</v>
      </c>
      <c r="D160" s="17" t="s">
        <v>410</v>
      </c>
      <c r="E160" s="17">
        <v>132</v>
      </c>
      <c r="F160" s="22" t="s">
        <v>523</v>
      </c>
      <c r="G160" s="17" t="s">
        <v>152</v>
      </c>
      <c r="H160" s="19">
        <v>48.4</v>
      </c>
      <c r="I160" s="19">
        <v>0</v>
      </c>
      <c r="J160" s="19" t="s">
        <v>35</v>
      </c>
      <c r="K160" s="19" t="s">
        <v>35</v>
      </c>
      <c r="L160" s="263"/>
      <c r="M160" s="265"/>
      <c r="N160" s="288"/>
      <c r="O160" s="65"/>
      <c r="P160" s="65"/>
      <c r="Q160" s="66"/>
    </row>
    <row r="161" spans="1:18" x14ac:dyDescent="0.25">
      <c r="A161" s="106" t="s">
        <v>641</v>
      </c>
      <c r="B161" s="17" t="s">
        <v>45</v>
      </c>
      <c r="C161" s="22" t="s">
        <v>498</v>
      </c>
      <c r="D161" s="17" t="s">
        <v>499</v>
      </c>
      <c r="E161" s="17">
        <v>33</v>
      </c>
      <c r="F161" s="22" t="s">
        <v>95</v>
      </c>
      <c r="G161" s="17" t="s">
        <v>99</v>
      </c>
      <c r="H161" s="19">
        <v>48.4</v>
      </c>
      <c r="I161" s="19">
        <v>0</v>
      </c>
      <c r="J161" s="19" t="s">
        <v>35</v>
      </c>
      <c r="K161" s="19" t="s">
        <v>35</v>
      </c>
      <c r="L161" s="72">
        <v>14.7682</v>
      </c>
      <c r="M161" s="17" t="s">
        <v>514</v>
      </c>
      <c r="N161" s="20"/>
      <c r="O161" s="65"/>
      <c r="P161" s="65"/>
      <c r="Q161" s="66"/>
    </row>
    <row r="162" spans="1:18" x14ac:dyDescent="0.25">
      <c r="A162" s="106" t="s">
        <v>641</v>
      </c>
      <c r="B162" s="17" t="s">
        <v>651</v>
      </c>
      <c r="C162" s="22" t="s">
        <v>493</v>
      </c>
      <c r="D162" s="17" t="s">
        <v>494</v>
      </c>
      <c r="E162" s="17">
        <v>33</v>
      </c>
      <c r="F162" s="22" t="s">
        <v>95</v>
      </c>
      <c r="G162" s="17" t="s">
        <v>99</v>
      </c>
      <c r="H162" s="19">
        <v>48.4</v>
      </c>
      <c r="I162" s="19">
        <v>0</v>
      </c>
      <c r="J162" s="19" t="s">
        <v>35</v>
      </c>
      <c r="K162" s="19" t="s">
        <v>35</v>
      </c>
      <c r="L162" s="72">
        <v>61.635300000000001</v>
      </c>
      <c r="M162" s="17" t="s">
        <v>510</v>
      </c>
      <c r="N162" s="20"/>
      <c r="O162" s="65">
        <v>0.9</v>
      </c>
      <c r="P162" s="65">
        <v>60</v>
      </c>
      <c r="Q162" s="66">
        <v>2</v>
      </c>
    </row>
    <row r="163" spans="1:18" x14ac:dyDescent="0.25">
      <c r="A163" s="106" t="s">
        <v>641</v>
      </c>
      <c r="B163" s="17" t="s">
        <v>651</v>
      </c>
      <c r="C163" s="22" t="s">
        <v>543</v>
      </c>
      <c r="D163" s="17" t="s">
        <v>500</v>
      </c>
      <c r="E163" s="17">
        <v>33</v>
      </c>
      <c r="F163" s="23" t="s">
        <v>95</v>
      </c>
      <c r="G163" s="17" t="s">
        <v>99</v>
      </c>
      <c r="H163" s="19">
        <v>48.4</v>
      </c>
      <c r="I163" s="19">
        <v>0</v>
      </c>
      <c r="J163" s="19" t="s">
        <v>35</v>
      </c>
      <c r="K163" s="19" t="s">
        <v>35</v>
      </c>
      <c r="L163" s="72">
        <v>68.786900000000003</v>
      </c>
      <c r="M163" s="64" t="s">
        <v>516</v>
      </c>
      <c r="N163" s="20"/>
      <c r="O163" s="65"/>
      <c r="P163" s="65"/>
      <c r="Q163" s="66"/>
    </row>
    <row r="164" spans="1:18" x14ac:dyDescent="0.25">
      <c r="A164" s="106" t="s">
        <v>641</v>
      </c>
      <c r="B164" s="14" t="s">
        <v>649</v>
      </c>
      <c r="C164" s="13" t="s">
        <v>501</v>
      </c>
      <c r="D164" s="14" t="s">
        <v>502</v>
      </c>
      <c r="E164" s="14">
        <v>33</v>
      </c>
      <c r="F164" s="13" t="s">
        <v>95</v>
      </c>
      <c r="G164" s="14" t="s">
        <v>99</v>
      </c>
      <c r="H164" s="18">
        <v>48.4</v>
      </c>
      <c r="I164" s="18">
        <v>0</v>
      </c>
      <c r="J164" s="18" t="s">
        <v>35</v>
      </c>
      <c r="K164" s="18" t="s">
        <v>35</v>
      </c>
      <c r="L164" s="91">
        <v>60.301600000000001</v>
      </c>
      <c r="M164" s="14" t="s">
        <v>515</v>
      </c>
      <c r="N164" s="20"/>
      <c r="O164" s="65"/>
      <c r="P164" s="65"/>
      <c r="Q164" s="66"/>
    </row>
    <row r="165" spans="1:18" x14ac:dyDescent="0.25">
      <c r="A165" s="104" t="s">
        <v>642</v>
      </c>
      <c r="B165" s="7" t="s">
        <v>650</v>
      </c>
      <c r="C165" s="6" t="s">
        <v>524</v>
      </c>
      <c r="D165" s="7" t="s">
        <v>525</v>
      </c>
      <c r="E165" s="7">
        <v>22</v>
      </c>
      <c r="F165" s="6" t="s">
        <v>526</v>
      </c>
      <c r="G165" s="7" t="s">
        <v>477</v>
      </c>
      <c r="H165" s="8">
        <v>48.3</v>
      </c>
      <c r="I165" s="8">
        <v>0</v>
      </c>
      <c r="J165" s="8">
        <v>49.3</v>
      </c>
      <c r="K165" s="8">
        <v>120</v>
      </c>
      <c r="L165" s="76">
        <v>35.934699999999999</v>
      </c>
      <c r="M165" s="7" t="s">
        <v>558</v>
      </c>
      <c r="N165" s="124"/>
      <c r="O165" s="65"/>
      <c r="P165" s="65"/>
      <c r="Q165" s="66"/>
    </row>
    <row r="166" spans="1:18" x14ac:dyDescent="0.25">
      <c r="A166" s="104" t="s">
        <v>642</v>
      </c>
      <c r="B166" s="7" t="s">
        <v>577</v>
      </c>
      <c r="C166" s="6" t="s">
        <v>527</v>
      </c>
      <c r="D166" s="7" t="s">
        <v>528</v>
      </c>
      <c r="E166" s="7">
        <v>132</v>
      </c>
      <c r="F166" s="6" t="s">
        <v>555</v>
      </c>
      <c r="G166" s="7" t="s">
        <v>152</v>
      </c>
      <c r="H166" s="8">
        <v>48.3</v>
      </c>
      <c r="I166" s="8">
        <v>0</v>
      </c>
      <c r="J166" s="8">
        <v>49.3</v>
      </c>
      <c r="K166" s="8">
        <v>120</v>
      </c>
      <c r="L166" s="259">
        <v>41</v>
      </c>
      <c r="M166" s="268" t="s">
        <v>559</v>
      </c>
      <c r="N166" s="290"/>
      <c r="O166" s="65"/>
      <c r="P166" s="65"/>
      <c r="Q166" s="66"/>
    </row>
    <row r="167" spans="1:18" x14ac:dyDescent="0.25">
      <c r="A167" s="104" t="s">
        <v>642</v>
      </c>
      <c r="B167" s="7" t="s">
        <v>577</v>
      </c>
      <c r="C167" s="6" t="s">
        <v>529</v>
      </c>
      <c r="D167" s="7" t="s">
        <v>530</v>
      </c>
      <c r="E167" s="7">
        <v>132</v>
      </c>
      <c r="F167" s="6" t="s">
        <v>556</v>
      </c>
      <c r="G167" s="7" t="s">
        <v>44</v>
      </c>
      <c r="H167" s="8">
        <v>48.3</v>
      </c>
      <c r="I167" s="8">
        <v>0</v>
      </c>
      <c r="J167" s="8">
        <v>49.3</v>
      </c>
      <c r="K167" s="8">
        <v>120</v>
      </c>
      <c r="L167" s="259"/>
      <c r="M167" s="268"/>
      <c r="N167" s="291"/>
      <c r="O167" s="65"/>
      <c r="P167" s="65"/>
      <c r="Q167" s="66"/>
    </row>
    <row r="168" spans="1:18" x14ac:dyDescent="0.25">
      <c r="A168" s="104" t="s">
        <v>642</v>
      </c>
      <c r="B168" s="7" t="s">
        <v>577</v>
      </c>
      <c r="C168" s="6" t="s">
        <v>529</v>
      </c>
      <c r="D168" s="7" t="s">
        <v>530</v>
      </c>
      <c r="E168" s="7">
        <v>11</v>
      </c>
      <c r="F168" s="6" t="s">
        <v>96</v>
      </c>
      <c r="G168" s="7" t="s">
        <v>102</v>
      </c>
      <c r="H168" s="8">
        <v>48.3</v>
      </c>
      <c r="I168" s="8">
        <v>0</v>
      </c>
      <c r="J168" s="8">
        <v>49.3</v>
      </c>
      <c r="K168" s="8">
        <v>120</v>
      </c>
      <c r="L168" s="76" t="s">
        <v>692</v>
      </c>
      <c r="M168" s="7" t="s">
        <v>560</v>
      </c>
      <c r="N168" s="37"/>
      <c r="O168" s="65"/>
      <c r="P168" s="65"/>
      <c r="Q168" s="66"/>
    </row>
    <row r="169" spans="1:18" x14ac:dyDescent="0.25">
      <c r="A169" s="104" t="s">
        <v>642</v>
      </c>
      <c r="B169" s="7" t="s">
        <v>45</v>
      </c>
      <c r="C169" s="6" t="s">
        <v>533</v>
      </c>
      <c r="D169" s="7" t="s">
        <v>534</v>
      </c>
      <c r="E169" s="7">
        <v>33</v>
      </c>
      <c r="F169" s="6" t="s">
        <v>97</v>
      </c>
      <c r="G169" s="7" t="s">
        <v>103</v>
      </c>
      <c r="H169" s="8">
        <v>48.3</v>
      </c>
      <c r="I169" s="8">
        <v>0</v>
      </c>
      <c r="J169" s="8">
        <v>49.3</v>
      </c>
      <c r="K169" s="8">
        <v>120</v>
      </c>
      <c r="L169" s="76">
        <v>100.9312</v>
      </c>
      <c r="M169" s="7" t="s">
        <v>562</v>
      </c>
      <c r="N169" s="124"/>
      <c r="O169" s="65"/>
      <c r="P169" s="65"/>
      <c r="Q169" s="66"/>
    </row>
    <row r="170" spans="1:18" x14ac:dyDescent="0.25">
      <c r="A170" s="104" t="s">
        <v>642</v>
      </c>
      <c r="B170" s="7" t="s">
        <v>45</v>
      </c>
      <c r="C170" s="6" t="s">
        <v>535</v>
      </c>
      <c r="D170" s="7" t="s">
        <v>536</v>
      </c>
      <c r="E170" s="7">
        <v>33</v>
      </c>
      <c r="F170" s="6" t="s">
        <v>646</v>
      </c>
      <c r="G170" s="7" t="s">
        <v>647</v>
      </c>
      <c r="H170" s="8">
        <v>48.3</v>
      </c>
      <c r="I170" s="8">
        <v>0</v>
      </c>
      <c r="J170" s="8">
        <v>49.3</v>
      </c>
      <c r="K170" s="8">
        <v>120</v>
      </c>
      <c r="L170" s="76">
        <v>115.40560000000001</v>
      </c>
      <c r="M170" s="7" t="s">
        <v>648</v>
      </c>
      <c r="N170" s="124"/>
      <c r="O170" s="65"/>
      <c r="P170" s="65"/>
      <c r="Q170" s="66"/>
    </row>
    <row r="171" spans="1:18" x14ac:dyDescent="0.25">
      <c r="A171" s="104" t="s">
        <v>642</v>
      </c>
      <c r="B171" s="7" t="s">
        <v>654</v>
      </c>
      <c r="C171" s="6" t="s">
        <v>537</v>
      </c>
      <c r="D171" s="7" t="s">
        <v>538</v>
      </c>
      <c r="E171" s="7">
        <v>11</v>
      </c>
      <c r="F171" s="6" t="s">
        <v>96</v>
      </c>
      <c r="G171" s="7" t="s">
        <v>102</v>
      </c>
      <c r="H171" s="8">
        <v>48.3</v>
      </c>
      <c r="I171" s="8">
        <v>0</v>
      </c>
      <c r="J171" s="8">
        <v>49.3</v>
      </c>
      <c r="K171" s="8">
        <v>120</v>
      </c>
      <c r="L171" s="76">
        <v>21.521000000000001</v>
      </c>
      <c r="M171" s="7" t="s">
        <v>563</v>
      </c>
      <c r="N171" s="124"/>
      <c r="O171" s="65"/>
      <c r="P171" s="65"/>
      <c r="Q171" s="66"/>
    </row>
    <row r="172" spans="1:18" x14ac:dyDescent="0.25">
      <c r="A172" s="104" t="s">
        <v>642</v>
      </c>
      <c r="B172" s="7" t="s">
        <v>655</v>
      </c>
      <c r="C172" s="6" t="s">
        <v>539</v>
      </c>
      <c r="D172" s="7" t="s">
        <v>540</v>
      </c>
      <c r="E172" s="7">
        <v>132</v>
      </c>
      <c r="F172" s="6" t="s">
        <v>557</v>
      </c>
      <c r="G172" s="7">
        <v>705</v>
      </c>
      <c r="H172" s="8">
        <v>48.3</v>
      </c>
      <c r="I172" s="8">
        <v>0</v>
      </c>
      <c r="J172" s="8">
        <v>49.3</v>
      </c>
      <c r="K172" s="8">
        <v>120</v>
      </c>
      <c r="L172" s="259">
        <v>96</v>
      </c>
      <c r="M172" s="261" t="s">
        <v>566</v>
      </c>
      <c r="N172" s="290"/>
      <c r="O172" s="65"/>
      <c r="P172" s="65"/>
      <c r="Q172" s="66"/>
    </row>
    <row r="173" spans="1:18" x14ac:dyDescent="0.25">
      <c r="A173" s="104" t="s">
        <v>642</v>
      </c>
      <c r="B173" s="7" t="s">
        <v>655</v>
      </c>
      <c r="C173" s="6" t="s">
        <v>541</v>
      </c>
      <c r="D173" s="7" t="s">
        <v>542</v>
      </c>
      <c r="E173" s="7">
        <v>132</v>
      </c>
      <c r="F173" s="6" t="s">
        <v>564</v>
      </c>
      <c r="G173" s="7" t="s">
        <v>152</v>
      </c>
      <c r="H173" s="8">
        <v>48.3</v>
      </c>
      <c r="I173" s="8">
        <v>0</v>
      </c>
      <c r="J173" s="8">
        <v>49.3</v>
      </c>
      <c r="K173" s="8">
        <v>120</v>
      </c>
      <c r="L173" s="259"/>
      <c r="M173" s="261"/>
      <c r="N173" s="291"/>
      <c r="O173" s="65"/>
      <c r="P173" s="65"/>
      <c r="Q173" s="66"/>
    </row>
    <row r="174" spans="1:18" x14ac:dyDescent="0.25">
      <c r="A174" s="104" t="s">
        <v>642</v>
      </c>
      <c r="B174" s="7" t="s">
        <v>651</v>
      </c>
      <c r="C174" s="6" t="s">
        <v>531</v>
      </c>
      <c r="D174" s="7" t="s">
        <v>532</v>
      </c>
      <c r="E174" s="7">
        <v>33</v>
      </c>
      <c r="F174" s="6" t="s">
        <v>148</v>
      </c>
      <c r="G174" s="7" t="s">
        <v>544</v>
      </c>
      <c r="H174" s="8">
        <v>48.3</v>
      </c>
      <c r="I174" s="8">
        <v>0</v>
      </c>
      <c r="J174" s="8">
        <v>49.3</v>
      </c>
      <c r="K174" s="8">
        <v>120</v>
      </c>
      <c r="L174" s="76">
        <v>91.951700000000002</v>
      </c>
      <c r="M174" s="7" t="s">
        <v>561</v>
      </c>
      <c r="N174" s="124"/>
      <c r="O174" s="65">
        <v>0.9</v>
      </c>
      <c r="P174" s="65">
        <v>60</v>
      </c>
      <c r="Q174" s="66">
        <v>2</v>
      </c>
    </row>
    <row r="175" spans="1:18" x14ac:dyDescent="0.25">
      <c r="A175" s="104" t="s">
        <v>642</v>
      </c>
      <c r="B175" s="7" t="s">
        <v>651</v>
      </c>
      <c r="C175" s="6" t="s">
        <v>553</v>
      </c>
      <c r="D175" s="7" t="s">
        <v>554</v>
      </c>
      <c r="E175" s="7">
        <v>33</v>
      </c>
      <c r="F175" s="6" t="s">
        <v>148</v>
      </c>
      <c r="G175" s="7" t="s">
        <v>544</v>
      </c>
      <c r="H175" s="8">
        <v>48.3</v>
      </c>
      <c r="I175" s="8">
        <v>0</v>
      </c>
      <c r="J175" s="8">
        <v>49.3</v>
      </c>
      <c r="K175" s="8">
        <v>120</v>
      </c>
      <c r="L175" s="76">
        <v>148.42449999999999</v>
      </c>
      <c r="M175" s="71" t="s">
        <v>694</v>
      </c>
      <c r="N175" s="124"/>
      <c r="O175" s="65"/>
      <c r="P175" s="65"/>
      <c r="Q175" s="66"/>
    </row>
    <row r="176" spans="1:18" s="2" customFormat="1" x14ac:dyDescent="0.25">
      <c r="A176" s="104" t="s">
        <v>642</v>
      </c>
      <c r="B176" s="35" t="s">
        <v>651</v>
      </c>
      <c r="C176" s="37" t="s">
        <v>545</v>
      </c>
      <c r="D176" s="35" t="s">
        <v>546</v>
      </c>
      <c r="E176" s="35">
        <v>33</v>
      </c>
      <c r="F176" s="37" t="s">
        <v>95</v>
      </c>
      <c r="G176" s="35" t="s">
        <v>99</v>
      </c>
      <c r="H176" s="36">
        <v>48.3</v>
      </c>
      <c r="I176" s="36">
        <v>0</v>
      </c>
      <c r="J176" s="36">
        <v>49.3</v>
      </c>
      <c r="K176" s="36">
        <v>120</v>
      </c>
      <c r="L176" s="77">
        <v>57.145600000000002</v>
      </c>
      <c r="M176" s="94" t="s">
        <v>693</v>
      </c>
      <c r="N176" s="37" t="s">
        <v>763</v>
      </c>
      <c r="O176" s="87"/>
      <c r="P176" s="87"/>
      <c r="Q176" s="46"/>
      <c r="R176" s="38"/>
    </row>
    <row r="177" spans="1:18" x14ac:dyDescent="0.25">
      <c r="A177" s="104" t="s">
        <v>642</v>
      </c>
      <c r="B177" s="7" t="s">
        <v>649</v>
      </c>
      <c r="C177" s="6" t="s">
        <v>547</v>
      </c>
      <c r="D177" s="7" t="s">
        <v>548</v>
      </c>
      <c r="E177" s="7">
        <v>132</v>
      </c>
      <c r="F177" s="6" t="s">
        <v>549</v>
      </c>
      <c r="G177" s="7" t="s">
        <v>44</v>
      </c>
      <c r="H177" s="8">
        <v>48.3</v>
      </c>
      <c r="I177" s="8">
        <v>0</v>
      </c>
      <c r="J177" s="8">
        <v>49.3</v>
      </c>
      <c r="K177" s="8">
        <v>120</v>
      </c>
      <c r="L177" s="259">
        <v>144</v>
      </c>
      <c r="M177" s="261" t="s">
        <v>565</v>
      </c>
      <c r="N177" s="292" t="s">
        <v>764</v>
      </c>
      <c r="O177" s="65"/>
      <c r="P177" s="65"/>
      <c r="Q177" s="66"/>
    </row>
    <row r="178" spans="1:18" s="2" customFormat="1" x14ac:dyDescent="0.25">
      <c r="A178" s="104" t="s">
        <v>642</v>
      </c>
      <c r="B178" s="35" t="s">
        <v>649</v>
      </c>
      <c r="C178" s="37" t="s">
        <v>550</v>
      </c>
      <c r="D178" s="35" t="s">
        <v>551</v>
      </c>
      <c r="E178" s="35">
        <v>132</v>
      </c>
      <c r="F178" s="37" t="s">
        <v>552</v>
      </c>
      <c r="G178" s="35" t="s">
        <v>44</v>
      </c>
      <c r="H178" s="36">
        <v>48.3</v>
      </c>
      <c r="I178" s="36">
        <v>0</v>
      </c>
      <c r="J178" s="36">
        <v>49.3</v>
      </c>
      <c r="K178" s="36">
        <v>120</v>
      </c>
      <c r="L178" s="259"/>
      <c r="M178" s="261"/>
      <c r="N178" s="293"/>
      <c r="O178" s="87"/>
      <c r="P178" s="87"/>
      <c r="Q178" s="46"/>
      <c r="R178" s="38"/>
    </row>
    <row r="179" spans="1:18" x14ac:dyDescent="0.25">
      <c r="A179" s="106" t="s">
        <v>643</v>
      </c>
      <c r="B179" s="17" t="s">
        <v>649</v>
      </c>
      <c r="C179" s="22" t="s">
        <v>567</v>
      </c>
      <c r="D179" s="17" t="s">
        <v>568</v>
      </c>
      <c r="E179" s="17">
        <v>33</v>
      </c>
      <c r="F179" s="22" t="s">
        <v>95</v>
      </c>
      <c r="G179" s="17" t="s">
        <v>99</v>
      </c>
      <c r="H179" s="19">
        <v>48.2</v>
      </c>
      <c r="I179" s="19">
        <v>0</v>
      </c>
      <c r="J179" s="19">
        <v>49.3</v>
      </c>
      <c r="K179" s="19">
        <v>90</v>
      </c>
      <c r="L179" s="72">
        <v>80.565700000000007</v>
      </c>
      <c r="M179" s="17" t="s">
        <v>582</v>
      </c>
      <c r="N179" s="20"/>
      <c r="O179" s="65"/>
      <c r="P179" s="65"/>
      <c r="Q179" s="66"/>
    </row>
    <row r="180" spans="1:18" x14ac:dyDescent="0.25">
      <c r="A180" s="106" t="s">
        <v>643</v>
      </c>
      <c r="B180" s="17" t="s">
        <v>654</v>
      </c>
      <c r="C180" s="22" t="s">
        <v>356</v>
      </c>
      <c r="D180" s="17" t="s">
        <v>357</v>
      </c>
      <c r="E180" s="17">
        <v>132</v>
      </c>
      <c r="F180" s="22" t="s">
        <v>579</v>
      </c>
      <c r="G180" s="17" t="s">
        <v>39</v>
      </c>
      <c r="H180" s="19">
        <v>48.2</v>
      </c>
      <c r="I180" s="19">
        <v>0</v>
      </c>
      <c r="J180" s="19">
        <v>49.3</v>
      </c>
      <c r="K180" s="19">
        <v>90</v>
      </c>
      <c r="L180" s="263"/>
      <c r="M180" s="258"/>
      <c r="N180" s="20"/>
      <c r="O180" s="65"/>
      <c r="P180" s="65"/>
      <c r="Q180" s="66"/>
    </row>
    <row r="181" spans="1:18" x14ac:dyDescent="0.25">
      <c r="A181" s="106" t="s">
        <v>643</v>
      </c>
      <c r="B181" s="17" t="s">
        <v>654</v>
      </c>
      <c r="C181" s="22" t="s">
        <v>232</v>
      </c>
      <c r="D181" s="17" t="s">
        <v>233</v>
      </c>
      <c r="E181" s="17">
        <v>132</v>
      </c>
      <c r="F181" s="22" t="s">
        <v>580</v>
      </c>
      <c r="G181" s="17" t="s">
        <v>152</v>
      </c>
      <c r="H181" s="19">
        <v>48.2</v>
      </c>
      <c r="I181" s="19">
        <v>0</v>
      </c>
      <c r="J181" s="19">
        <v>49.3</v>
      </c>
      <c r="K181" s="19">
        <v>90</v>
      </c>
      <c r="L181" s="263"/>
      <c r="M181" s="258"/>
      <c r="N181" s="20"/>
      <c r="O181" s="65"/>
      <c r="P181" s="65"/>
      <c r="Q181" s="66"/>
    </row>
    <row r="182" spans="1:18" x14ac:dyDescent="0.25">
      <c r="A182" s="106" t="s">
        <v>643</v>
      </c>
      <c r="B182" s="17" t="s">
        <v>651</v>
      </c>
      <c r="C182" s="22" t="s">
        <v>571</v>
      </c>
      <c r="D182" s="17" t="s">
        <v>572</v>
      </c>
      <c r="E182" s="17">
        <v>132</v>
      </c>
      <c r="F182" s="22" t="s">
        <v>581</v>
      </c>
      <c r="G182" s="17" t="s">
        <v>44</v>
      </c>
      <c r="H182" s="19">
        <v>48.2</v>
      </c>
      <c r="I182" s="19">
        <v>0</v>
      </c>
      <c r="J182" s="19">
        <v>49.3</v>
      </c>
      <c r="K182" s="19">
        <v>90</v>
      </c>
      <c r="L182" s="263"/>
      <c r="M182" s="258"/>
      <c r="N182" s="20"/>
      <c r="O182" s="65"/>
      <c r="P182" s="65"/>
      <c r="Q182" s="66"/>
    </row>
    <row r="183" spans="1:18" x14ac:dyDescent="0.25">
      <c r="A183" s="106" t="s">
        <v>643</v>
      </c>
      <c r="B183" s="17" t="s">
        <v>651</v>
      </c>
      <c r="C183" s="22" t="s">
        <v>121</v>
      </c>
      <c r="D183" s="17" t="s">
        <v>122</v>
      </c>
      <c r="E183" s="17">
        <v>132</v>
      </c>
      <c r="F183" s="22" t="s">
        <v>578</v>
      </c>
      <c r="G183" s="17" t="s">
        <v>152</v>
      </c>
      <c r="H183" s="19">
        <v>48.2</v>
      </c>
      <c r="I183" s="19">
        <v>0</v>
      </c>
      <c r="J183" s="19">
        <v>49.3</v>
      </c>
      <c r="K183" s="19">
        <v>90</v>
      </c>
      <c r="L183" s="263"/>
      <c r="M183" s="258"/>
      <c r="N183" s="20"/>
      <c r="O183" s="65"/>
      <c r="P183" s="65"/>
      <c r="Q183" s="66"/>
    </row>
    <row r="184" spans="1:18" x14ac:dyDescent="0.25">
      <c r="A184" s="106" t="s">
        <v>643</v>
      </c>
      <c r="B184" s="17" t="s">
        <v>651</v>
      </c>
      <c r="C184" s="22" t="s">
        <v>569</v>
      </c>
      <c r="D184" s="17" t="s">
        <v>570</v>
      </c>
      <c r="E184" s="17">
        <v>33</v>
      </c>
      <c r="F184" s="22" t="s">
        <v>95</v>
      </c>
      <c r="G184" s="17" t="s">
        <v>99</v>
      </c>
      <c r="H184" s="19">
        <v>48.2</v>
      </c>
      <c r="I184" s="19">
        <v>0</v>
      </c>
      <c r="J184" s="19">
        <v>49.3</v>
      </c>
      <c r="K184" s="19">
        <v>90</v>
      </c>
      <c r="L184" s="72">
        <v>51.731200000000001</v>
      </c>
      <c r="M184" s="17" t="s">
        <v>583</v>
      </c>
      <c r="N184" s="20"/>
      <c r="O184" s="65"/>
      <c r="P184" s="65"/>
      <c r="Q184" s="66"/>
    </row>
    <row r="185" spans="1:18" s="2" customFormat="1" x14ac:dyDescent="0.25">
      <c r="A185" s="106" t="s">
        <v>643</v>
      </c>
      <c r="B185" s="46" t="s">
        <v>650</v>
      </c>
      <c r="C185" s="45" t="s">
        <v>125</v>
      </c>
      <c r="D185" s="46" t="s">
        <v>126</v>
      </c>
      <c r="E185" s="46">
        <v>132</v>
      </c>
      <c r="F185" s="45" t="s">
        <v>589</v>
      </c>
      <c r="G185" s="46" t="s">
        <v>38</v>
      </c>
      <c r="H185" s="47">
        <v>48.2</v>
      </c>
      <c r="I185" s="47">
        <v>0</v>
      </c>
      <c r="J185" s="47">
        <v>49.3</v>
      </c>
      <c r="K185" s="47">
        <v>90</v>
      </c>
      <c r="L185" s="264">
        <v>152</v>
      </c>
      <c r="M185" s="265" t="s">
        <v>584</v>
      </c>
      <c r="N185" s="285" t="s">
        <v>590</v>
      </c>
      <c r="O185" s="87"/>
      <c r="P185" s="87"/>
      <c r="Q185" s="46"/>
      <c r="R185" s="38"/>
    </row>
    <row r="186" spans="1:18" x14ac:dyDescent="0.25">
      <c r="A186" s="106" t="s">
        <v>643</v>
      </c>
      <c r="B186" s="17" t="s">
        <v>650</v>
      </c>
      <c r="C186" s="22" t="s">
        <v>573</v>
      </c>
      <c r="D186" s="17" t="s">
        <v>574</v>
      </c>
      <c r="E186" s="17">
        <v>132</v>
      </c>
      <c r="F186" s="22" t="s">
        <v>588</v>
      </c>
      <c r="G186" s="17" t="s">
        <v>39</v>
      </c>
      <c r="H186" s="19">
        <v>48.2</v>
      </c>
      <c r="I186" s="19">
        <v>0</v>
      </c>
      <c r="J186" s="19">
        <v>49.3</v>
      </c>
      <c r="K186" s="19">
        <v>90</v>
      </c>
      <c r="L186" s="264"/>
      <c r="M186" s="265"/>
      <c r="N186" s="286"/>
      <c r="O186" s="65"/>
      <c r="P186" s="65"/>
      <c r="Q186" s="66"/>
    </row>
    <row r="187" spans="1:18" x14ac:dyDescent="0.25">
      <c r="A187" s="106" t="s">
        <v>643</v>
      </c>
      <c r="B187" s="17" t="s">
        <v>577</v>
      </c>
      <c r="C187" s="22" t="s">
        <v>575</v>
      </c>
      <c r="D187" s="17" t="s">
        <v>576</v>
      </c>
      <c r="E187" s="17">
        <v>11</v>
      </c>
      <c r="F187" s="22" t="s">
        <v>96</v>
      </c>
      <c r="G187" s="17" t="s">
        <v>102</v>
      </c>
      <c r="H187" s="19">
        <v>48.2</v>
      </c>
      <c r="I187" s="19">
        <v>0</v>
      </c>
      <c r="J187" s="19">
        <v>49.3</v>
      </c>
      <c r="K187" s="19">
        <v>90</v>
      </c>
      <c r="L187" s="78">
        <v>7.3648999999999996</v>
      </c>
      <c r="M187" s="17" t="s">
        <v>585</v>
      </c>
      <c r="N187" s="20"/>
      <c r="O187" s="65"/>
      <c r="P187" s="65"/>
      <c r="Q187" s="66"/>
    </row>
    <row r="188" spans="1:18" x14ac:dyDescent="0.25">
      <c r="A188" s="106" t="s">
        <v>643</v>
      </c>
      <c r="B188" s="17" t="s">
        <v>577</v>
      </c>
      <c r="C188" s="22" t="s">
        <v>577</v>
      </c>
      <c r="D188" s="17" t="s">
        <v>450</v>
      </c>
      <c r="E188" s="17">
        <v>132</v>
      </c>
      <c r="F188" s="22" t="s">
        <v>586</v>
      </c>
      <c r="G188" s="17" t="s">
        <v>44</v>
      </c>
      <c r="H188" s="19">
        <v>48.2</v>
      </c>
      <c r="I188" s="19">
        <v>0</v>
      </c>
      <c r="J188" s="19">
        <v>49.3</v>
      </c>
      <c r="K188" s="19">
        <v>90</v>
      </c>
      <c r="L188" s="78">
        <v>111</v>
      </c>
      <c r="M188" s="17" t="s">
        <v>587</v>
      </c>
      <c r="N188" s="20"/>
      <c r="O188" s="65"/>
      <c r="P188" s="65"/>
      <c r="Q188" s="66"/>
    </row>
    <row r="189" spans="1:18" x14ac:dyDescent="0.25">
      <c r="A189" s="104" t="s">
        <v>644</v>
      </c>
      <c r="B189" s="7" t="s">
        <v>655</v>
      </c>
      <c r="C189" s="6" t="s">
        <v>407</v>
      </c>
      <c r="D189" s="7" t="s">
        <v>408</v>
      </c>
      <c r="E189" s="7">
        <v>11</v>
      </c>
      <c r="F189" s="6" t="s">
        <v>96</v>
      </c>
      <c r="G189" s="7" t="s">
        <v>102</v>
      </c>
      <c r="H189" s="8">
        <v>48.1</v>
      </c>
      <c r="I189" s="8">
        <v>0</v>
      </c>
      <c r="J189" s="8">
        <v>49.3</v>
      </c>
      <c r="K189" s="8">
        <v>60</v>
      </c>
      <c r="L189" s="76">
        <v>33.894399999999997</v>
      </c>
      <c r="M189" s="7" t="s">
        <v>609</v>
      </c>
      <c r="N189" s="124"/>
      <c r="O189" s="65"/>
      <c r="P189" s="65"/>
      <c r="Q189" s="66"/>
    </row>
    <row r="190" spans="1:18" x14ac:dyDescent="0.25">
      <c r="A190" s="104" t="s">
        <v>644</v>
      </c>
      <c r="B190" s="7" t="s">
        <v>107</v>
      </c>
      <c r="C190" s="6" t="s">
        <v>591</v>
      </c>
      <c r="D190" s="7" t="s">
        <v>592</v>
      </c>
      <c r="E190" s="7">
        <v>33</v>
      </c>
      <c r="F190" s="6" t="s">
        <v>97</v>
      </c>
      <c r="G190" s="7" t="s">
        <v>608</v>
      </c>
      <c r="H190" s="8">
        <v>48.1</v>
      </c>
      <c r="I190" s="8">
        <v>0</v>
      </c>
      <c r="J190" s="8">
        <v>49.3</v>
      </c>
      <c r="K190" s="8">
        <v>60</v>
      </c>
      <c r="L190" s="76">
        <v>30.6965</v>
      </c>
      <c r="M190" s="7" t="s">
        <v>610</v>
      </c>
      <c r="N190" s="124"/>
      <c r="O190" s="65"/>
      <c r="P190" s="65"/>
      <c r="Q190" s="66"/>
    </row>
    <row r="191" spans="1:18" x14ac:dyDescent="0.25">
      <c r="A191" s="104" t="s">
        <v>644</v>
      </c>
      <c r="B191" s="7" t="s">
        <v>45</v>
      </c>
      <c r="C191" s="6" t="s">
        <v>593</v>
      </c>
      <c r="D191" s="7" t="s">
        <v>594</v>
      </c>
      <c r="E191" s="7">
        <v>33</v>
      </c>
      <c r="F191" s="6" t="s">
        <v>97</v>
      </c>
      <c r="G191" s="10" t="s">
        <v>103</v>
      </c>
      <c r="H191" s="8">
        <v>48.1</v>
      </c>
      <c r="I191" s="8">
        <v>0</v>
      </c>
      <c r="J191" s="8">
        <v>49.3</v>
      </c>
      <c r="K191" s="8">
        <v>60</v>
      </c>
      <c r="L191" s="76">
        <v>36.762500000000003</v>
      </c>
      <c r="M191" s="7" t="s">
        <v>611</v>
      </c>
      <c r="N191" s="124"/>
      <c r="O191" s="65"/>
      <c r="P191" s="65"/>
      <c r="Q191" s="66"/>
    </row>
    <row r="192" spans="1:18" x14ac:dyDescent="0.25">
      <c r="A192" s="104" t="s">
        <v>644</v>
      </c>
      <c r="B192" s="7" t="s">
        <v>45</v>
      </c>
      <c r="C192" s="6" t="s">
        <v>603</v>
      </c>
      <c r="D192" s="7" t="s">
        <v>604</v>
      </c>
      <c r="E192" s="7">
        <v>33</v>
      </c>
      <c r="F192" s="58" t="s">
        <v>95</v>
      </c>
      <c r="G192" s="7" t="s">
        <v>188</v>
      </c>
      <c r="H192" s="8">
        <v>48.1</v>
      </c>
      <c r="I192" s="8">
        <v>0</v>
      </c>
      <c r="J192" s="8">
        <v>49.3</v>
      </c>
      <c r="K192" s="8">
        <v>60</v>
      </c>
      <c r="L192" s="76">
        <v>54.002299999999998</v>
      </c>
      <c r="M192" s="88" t="s">
        <v>617</v>
      </c>
      <c r="N192" s="124"/>
      <c r="O192" s="65"/>
      <c r="P192" s="65"/>
      <c r="Q192" s="66"/>
    </row>
    <row r="193" spans="1:17" x14ac:dyDescent="0.25">
      <c r="A193" s="104" t="s">
        <v>644</v>
      </c>
      <c r="B193" s="7" t="s">
        <v>649</v>
      </c>
      <c r="C193" s="6" t="s">
        <v>597</v>
      </c>
      <c r="D193" s="7" t="s">
        <v>598</v>
      </c>
      <c r="E193" s="7">
        <v>33</v>
      </c>
      <c r="F193" s="6" t="s">
        <v>95</v>
      </c>
      <c r="G193" s="10" t="s">
        <v>99</v>
      </c>
      <c r="H193" s="8">
        <v>48.1</v>
      </c>
      <c r="I193" s="8">
        <v>0</v>
      </c>
      <c r="J193" s="8">
        <v>49.3</v>
      </c>
      <c r="K193" s="8">
        <v>60</v>
      </c>
      <c r="L193" s="76">
        <v>98.395499999999998</v>
      </c>
      <c r="M193" s="7" t="s">
        <v>613</v>
      </c>
      <c r="N193" s="124"/>
      <c r="O193" s="65"/>
      <c r="P193" s="65"/>
      <c r="Q193" s="66"/>
    </row>
    <row r="194" spans="1:17" x14ac:dyDescent="0.25">
      <c r="A194" s="104" t="s">
        <v>644</v>
      </c>
      <c r="B194" s="7" t="s">
        <v>654</v>
      </c>
      <c r="C194" s="6" t="s">
        <v>599</v>
      </c>
      <c r="D194" s="7" t="s">
        <v>600</v>
      </c>
      <c r="E194" s="7">
        <v>11</v>
      </c>
      <c r="F194" s="6" t="s">
        <v>96</v>
      </c>
      <c r="G194" s="7" t="s">
        <v>102</v>
      </c>
      <c r="H194" s="8">
        <v>48.1</v>
      </c>
      <c r="I194" s="8">
        <v>0</v>
      </c>
      <c r="J194" s="8">
        <v>49.3</v>
      </c>
      <c r="K194" s="8">
        <v>60</v>
      </c>
      <c r="L194" s="76">
        <v>22.989899999999999</v>
      </c>
      <c r="M194" s="7" t="s">
        <v>614</v>
      </c>
      <c r="N194" s="124"/>
      <c r="O194" s="65"/>
      <c r="P194" s="65"/>
      <c r="Q194" s="66"/>
    </row>
    <row r="195" spans="1:17" x14ac:dyDescent="0.25">
      <c r="A195" s="104" t="s">
        <v>644</v>
      </c>
      <c r="B195" s="7" t="s">
        <v>654</v>
      </c>
      <c r="C195" s="6" t="s">
        <v>599</v>
      </c>
      <c r="D195" s="7" t="s">
        <v>600</v>
      </c>
      <c r="E195" s="7">
        <v>132</v>
      </c>
      <c r="F195" s="6" t="s">
        <v>607</v>
      </c>
      <c r="G195" s="10">
        <v>505605705</v>
      </c>
      <c r="H195" s="8">
        <v>48.1</v>
      </c>
      <c r="I195" s="8">
        <v>0</v>
      </c>
      <c r="J195" s="8">
        <v>49.3</v>
      </c>
      <c r="K195" s="8">
        <v>60</v>
      </c>
      <c r="L195" s="76">
        <v>40</v>
      </c>
      <c r="M195" s="7" t="s">
        <v>615</v>
      </c>
      <c r="N195" s="124"/>
      <c r="O195" s="65"/>
      <c r="P195" s="65"/>
      <c r="Q195" s="66"/>
    </row>
    <row r="196" spans="1:17" x14ac:dyDescent="0.25">
      <c r="A196" s="104" t="s">
        <v>644</v>
      </c>
      <c r="B196" s="7" t="s">
        <v>650</v>
      </c>
      <c r="C196" s="6" t="s">
        <v>601</v>
      </c>
      <c r="D196" s="7" t="s">
        <v>602</v>
      </c>
      <c r="E196" s="7">
        <v>11</v>
      </c>
      <c r="F196" s="6" t="s">
        <v>96</v>
      </c>
      <c r="G196" s="10" t="s">
        <v>102</v>
      </c>
      <c r="H196" s="8">
        <v>48.1</v>
      </c>
      <c r="I196" s="8">
        <v>0</v>
      </c>
      <c r="J196" s="8">
        <v>49.3</v>
      </c>
      <c r="K196" s="8">
        <v>60</v>
      </c>
      <c r="L196" s="76">
        <v>21.477900000000002</v>
      </c>
      <c r="M196" s="7" t="s">
        <v>616</v>
      </c>
      <c r="N196" s="124"/>
      <c r="O196" s="65"/>
      <c r="P196" s="65"/>
      <c r="Q196" s="66"/>
    </row>
    <row r="197" spans="1:17" x14ac:dyDescent="0.25">
      <c r="A197" s="104" t="s">
        <v>644</v>
      </c>
      <c r="B197" s="7" t="s">
        <v>650</v>
      </c>
      <c r="C197" s="6" t="s">
        <v>595</v>
      </c>
      <c r="D197" s="7" t="s">
        <v>596</v>
      </c>
      <c r="E197" s="7">
        <v>22</v>
      </c>
      <c r="F197" s="6" t="s">
        <v>94</v>
      </c>
      <c r="G197" s="10" t="s">
        <v>99</v>
      </c>
      <c r="H197" s="8">
        <v>48.1</v>
      </c>
      <c r="I197" s="8">
        <v>0</v>
      </c>
      <c r="J197" s="8">
        <v>49.3</v>
      </c>
      <c r="K197" s="8">
        <v>60</v>
      </c>
      <c r="L197" s="76">
        <v>22.8338</v>
      </c>
      <c r="M197" s="7" t="s">
        <v>612</v>
      </c>
      <c r="N197" s="124"/>
      <c r="O197" s="65"/>
      <c r="P197" s="65"/>
      <c r="Q197" s="66"/>
    </row>
    <row r="198" spans="1:17" x14ac:dyDescent="0.25">
      <c r="A198" s="104" t="s">
        <v>644</v>
      </c>
      <c r="B198" s="7" t="s">
        <v>577</v>
      </c>
      <c r="C198" s="6" t="s">
        <v>527</v>
      </c>
      <c r="D198" s="7" t="s">
        <v>528</v>
      </c>
      <c r="E198" s="7">
        <v>132</v>
      </c>
      <c r="F198" s="6" t="s">
        <v>618</v>
      </c>
      <c r="G198" s="7" t="s">
        <v>44</v>
      </c>
      <c r="H198" s="8">
        <v>48.1</v>
      </c>
      <c r="I198" s="8">
        <v>0</v>
      </c>
      <c r="J198" s="8">
        <v>49.3</v>
      </c>
      <c r="K198" s="8">
        <v>60</v>
      </c>
      <c r="L198" s="259">
        <v>105</v>
      </c>
      <c r="M198" s="256" t="s">
        <v>619</v>
      </c>
      <c r="N198" s="290"/>
      <c r="O198" s="65"/>
      <c r="P198" s="65"/>
      <c r="Q198" s="66"/>
    </row>
    <row r="199" spans="1:17" x14ac:dyDescent="0.25">
      <c r="A199" s="104" t="s">
        <v>644</v>
      </c>
      <c r="B199" s="7" t="s">
        <v>653</v>
      </c>
      <c r="C199" s="6" t="s">
        <v>605</v>
      </c>
      <c r="D199" s="7" t="s">
        <v>606</v>
      </c>
      <c r="E199" s="7">
        <v>132</v>
      </c>
      <c r="F199" s="6" t="s">
        <v>620</v>
      </c>
      <c r="G199" s="7" t="s">
        <v>152</v>
      </c>
      <c r="H199" s="8">
        <v>48.1</v>
      </c>
      <c r="I199" s="8">
        <v>0</v>
      </c>
      <c r="J199" s="8">
        <v>49.3</v>
      </c>
      <c r="K199" s="8">
        <v>60</v>
      </c>
      <c r="L199" s="259"/>
      <c r="M199" s="256"/>
      <c r="N199" s="291"/>
      <c r="O199" s="65"/>
      <c r="P199" s="65"/>
      <c r="Q199" s="66"/>
    </row>
    <row r="200" spans="1:17" x14ac:dyDescent="0.25">
      <c r="A200" s="68" t="s">
        <v>679</v>
      </c>
      <c r="B200" s="127" t="s">
        <v>577</v>
      </c>
      <c r="C200" s="95" t="s">
        <v>666</v>
      </c>
      <c r="D200" s="96" t="s">
        <v>667</v>
      </c>
      <c r="E200" s="96">
        <v>11</v>
      </c>
      <c r="F200" s="97" t="s">
        <v>668</v>
      </c>
      <c r="G200" s="96" t="s">
        <v>102</v>
      </c>
      <c r="H200" s="31" t="s">
        <v>35</v>
      </c>
      <c r="I200" s="31" t="s">
        <v>35</v>
      </c>
      <c r="J200" s="31" t="s">
        <v>35</v>
      </c>
      <c r="K200" s="31" t="s">
        <v>35</v>
      </c>
      <c r="L200" s="96">
        <v>10</v>
      </c>
      <c r="M200" s="96" t="s">
        <v>680</v>
      </c>
      <c r="N200" s="20"/>
      <c r="O200" s="65">
        <v>0.9</v>
      </c>
      <c r="P200" s="65">
        <v>30</v>
      </c>
      <c r="Q200" s="66">
        <v>1</v>
      </c>
    </row>
    <row r="201" spans="1:17" x14ac:dyDescent="0.25">
      <c r="A201" s="68" t="s">
        <v>679</v>
      </c>
      <c r="B201" s="128" t="s">
        <v>650</v>
      </c>
      <c r="C201" s="68" t="s">
        <v>670</v>
      </c>
      <c r="D201" s="66" t="s">
        <v>669</v>
      </c>
      <c r="E201" s="66">
        <v>11</v>
      </c>
      <c r="F201" s="20" t="s">
        <v>668</v>
      </c>
      <c r="G201" s="66" t="s">
        <v>102</v>
      </c>
      <c r="H201" s="19" t="s">
        <v>35</v>
      </c>
      <c r="I201" s="19" t="s">
        <v>35</v>
      </c>
      <c r="J201" s="19" t="s">
        <v>35</v>
      </c>
      <c r="K201" s="19" t="s">
        <v>35</v>
      </c>
      <c r="L201" s="66">
        <v>22</v>
      </c>
      <c r="M201" s="66" t="s">
        <v>681</v>
      </c>
      <c r="N201" s="20"/>
      <c r="O201" s="65">
        <v>0.9</v>
      </c>
      <c r="P201" s="65">
        <v>30</v>
      </c>
      <c r="Q201" s="66">
        <v>1</v>
      </c>
    </row>
    <row r="202" spans="1:17" x14ac:dyDescent="0.25">
      <c r="A202" s="68" t="s">
        <v>679</v>
      </c>
      <c r="B202" s="128" t="s">
        <v>649</v>
      </c>
      <c r="C202" s="68" t="s">
        <v>28</v>
      </c>
      <c r="D202" s="66" t="s">
        <v>29</v>
      </c>
      <c r="E202" s="66">
        <v>33</v>
      </c>
      <c r="F202" s="20" t="s">
        <v>95</v>
      </c>
      <c r="G202" s="66" t="s">
        <v>675</v>
      </c>
      <c r="H202" s="19" t="s">
        <v>35</v>
      </c>
      <c r="I202" s="19" t="s">
        <v>35</v>
      </c>
      <c r="J202" s="19" t="s">
        <v>35</v>
      </c>
      <c r="K202" s="19" t="s">
        <v>35</v>
      </c>
      <c r="L202" s="66">
        <v>90</v>
      </c>
      <c r="M202" s="66" t="s">
        <v>682</v>
      </c>
      <c r="N202" s="20"/>
      <c r="O202" s="65">
        <v>0.9</v>
      </c>
      <c r="P202" s="65">
        <v>30</v>
      </c>
      <c r="Q202" s="66">
        <v>1</v>
      </c>
    </row>
    <row r="203" spans="1:17" x14ac:dyDescent="0.25">
      <c r="A203" s="68" t="s">
        <v>658</v>
      </c>
      <c r="B203" s="24" t="s">
        <v>651</v>
      </c>
      <c r="C203" s="69" t="s">
        <v>345</v>
      </c>
      <c r="D203" s="17" t="s">
        <v>346</v>
      </c>
      <c r="E203" s="17">
        <v>11</v>
      </c>
      <c r="F203" s="22" t="s">
        <v>96</v>
      </c>
      <c r="G203" s="17" t="s">
        <v>102</v>
      </c>
      <c r="H203" s="19" t="s">
        <v>35</v>
      </c>
      <c r="I203" s="19" t="s">
        <v>35</v>
      </c>
      <c r="J203" s="19" t="s">
        <v>35</v>
      </c>
      <c r="K203" s="19" t="s">
        <v>35</v>
      </c>
      <c r="L203" s="66">
        <v>16</v>
      </c>
      <c r="M203" s="64" t="s">
        <v>683</v>
      </c>
      <c r="N203" s="20"/>
      <c r="O203" s="65">
        <v>0.9</v>
      </c>
      <c r="P203" s="65">
        <v>60</v>
      </c>
      <c r="Q203" s="66">
        <v>2</v>
      </c>
    </row>
    <row r="204" spans="1:17" x14ac:dyDescent="0.25">
      <c r="A204" s="68" t="s">
        <v>658</v>
      </c>
      <c r="B204" s="128" t="s">
        <v>651</v>
      </c>
      <c r="C204" s="68" t="s">
        <v>660</v>
      </c>
      <c r="D204" s="66" t="s">
        <v>661</v>
      </c>
      <c r="E204" s="66">
        <v>33</v>
      </c>
      <c r="F204" s="20" t="s">
        <v>98</v>
      </c>
      <c r="G204" s="66" t="s">
        <v>103</v>
      </c>
      <c r="H204" s="19" t="s">
        <v>35</v>
      </c>
      <c r="I204" s="19" t="s">
        <v>35</v>
      </c>
      <c r="J204" s="19" t="s">
        <v>35</v>
      </c>
      <c r="K204" s="19" t="s">
        <v>35</v>
      </c>
      <c r="L204" s="66">
        <v>90</v>
      </c>
      <c r="M204" s="66" t="s">
        <v>684</v>
      </c>
      <c r="N204" s="20"/>
      <c r="O204" s="65">
        <v>0.9</v>
      </c>
      <c r="P204" s="65">
        <v>60</v>
      </c>
      <c r="Q204" s="66">
        <v>2</v>
      </c>
    </row>
    <row r="205" spans="1:17" x14ac:dyDescent="0.25">
      <c r="A205" s="68" t="s">
        <v>658</v>
      </c>
      <c r="B205" s="128" t="s">
        <v>650</v>
      </c>
      <c r="C205" s="68" t="s">
        <v>670</v>
      </c>
      <c r="D205" s="66" t="s">
        <v>669</v>
      </c>
      <c r="E205" s="66">
        <v>33</v>
      </c>
      <c r="F205" s="20" t="s">
        <v>671</v>
      </c>
      <c r="G205" s="66" t="s">
        <v>103</v>
      </c>
      <c r="H205" s="19" t="s">
        <v>35</v>
      </c>
      <c r="I205" s="19" t="s">
        <v>35</v>
      </c>
      <c r="J205" s="19" t="s">
        <v>35</v>
      </c>
      <c r="K205" s="19" t="s">
        <v>35</v>
      </c>
      <c r="L205" s="66">
        <v>22</v>
      </c>
      <c r="M205" s="66" t="s">
        <v>685</v>
      </c>
      <c r="N205" s="20"/>
      <c r="O205" s="65">
        <v>0.9</v>
      </c>
      <c r="P205" s="65">
        <v>60</v>
      </c>
      <c r="Q205" s="66">
        <v>2</v>
      </c>
    </row>
    <row r="206" spans="1:17" x14ac:dyDescent="0.25">
      <c r="A206" s="68" t="s">
        <v>658</v>
      </c>
      <c r="B206" s="129" t="s">
        <v>649</v>
      </c>
      <c r="C206" s="70" t="s">
        <v>547</v>
      </c>
      <c r="D206" s="67" t="s">
        <v>548</v>
      </c>
      <c r="E206" s="66">
        <v>33</v>
      </c>
      <c r="F206" s="20" t="s">
        <v>95</v>
      </c>
      <c r="G206" s="66" t="s">
        <v>675</v>
      </c>
      <c r="H206" s="19" t="s">
        <v>35</v>
      </c>
      <c r="I206" s="19" t="s">
        <v>35</v>
      </c>
      <c r="J206" s="19" t="s">
        <v>35</v>
      </c>
      <c r="K206" s="19" t="s">
        <v>35</v>
      </c>
      <c r="L206" s="66">
        <v>86</v>
      </c>
      <c r="M206" s="66" t="s">
        <v>686</v>
      </c>
      <c r="N206" s="20"/>
      <c r="O206" s="65">
        <v>0.9</v>
      </c>
      <c r="P206" s="65">
        <v>60</v>
      </c>
      <c r="Q206" s="66">
        <v>2</v>
      </c>
    </row>
    <row r="207" spans="1:17" x14ac:dyDescent="0.25">
      <c r="A207" s="68" t="s">
        <v>663</v>
      </c>
      <c r="B207" s="128" t="s">
        <v>651</v>
      </c>
      <c r="C207" s="68" t="s">
        <v>660</v>
      </c>
      <c r="D207" s="66" t="s">
        <v>661</v>
      </c>
      <c r="E207" s="66">
        <v>11</v>
      </c>
      <c r="F207" s="20" t="s">
        <v>662</v>
      </c>
      <c r="G207" s="66" t="s">
        <v>102</v>
      </c>
      <c r="H207" s="19" t="s">
        <v>35</v>
      </c>
      <c r="I207" s="19" t="s">
        <v>35</v>
      </c>
      <c r="J207" s="19" t="s">
        <v>35</v>
      </c>
      <c r="K207" s="19" t="s">
        <v>35</v>
      </c>
      <c r="L207" s="66">
        <v>14</v>
      </c>
      <c r="M207" s="66" t="s">
        <v>687</v>
      </c>
      <c r="N207" s="20"/>
      <c r="O207" s="65">
        <v>0.9</v>
      </c>
      <c r="P207" s="65">
        <v>90</v>
      </c>
      <c r="Q207" s="66">
        <v>3</v>
      </c>
    </row>
    <row r="208" spans="1:17" x14ac:dyDescent="0.25">
      <c r="A208" s="68" t="s">
        <v>663</v>
      </c>
      <c r="B208" s="128" t="s">
        <v>651</v>
      </c>
      <c r="C208" s="68" t="s">
        <v>664</v>
      </c>
      <c r="D208" s="66" t="s">
        <v>665</v>
      </c>
      <c r="E208" s="66">
        <v>33</v>
      </c>
      <c r="F208" s="20" t="s">
        <v>146</v>
      </c>
      <c r="G208" s="66" t="s">
        <v>99</v>
      </c>
      <c r="H208" s="19" t="s">
        <v>35</v>
      </c>
      <c r="I208" s="19" t="s">
        <v>35</v>
      </c>
      <c r="J208" s="19" t="s">
        <v>35</v>
      </c>
      <c r="K208" s="19" t="s">
        <v>35</v>
      </c>
      <c r="L208" s="66">
        <v>74</v>
      </c>
      <c r="M208" s="66" t="s">
        <v>688</v>
      </c>
      <c r="N208" s="20"/>
      <c r="O208" s="65">
        <v>0.9</v>
      </c>
      <c r="P208" s="65">
        <v>90</v>
      </c>
      <c r="Q208" s="66">
        <v>3</v>
      </c>
    </row>
    <row r="209" spans="1:17" x14ac:dyDescent="0.25">
      <c r="A209" s="68" t="s">
        <v>663</v>
      </c>
      <c r="B209" s="128" t="s">
        <v>650</v>
      </c>
      <c r="C209" s="68" t="s">
        <v>409</v>
      </c>
      <c r="D209" s="66" t="s">
        <v>672</v>
      </c>
      <c r="E209" s="66">
        <v>33</v>
      </c>
      <c r="F209" s="20" t="s">
        <v>95</v>
      </c>
      <c r="G209" s="66" t="s">
        <v>99</v>
      </c>
      <c r="H209" s="19" t="s">
        <v>35</v>
      </c>
      <c r="I209" s="19" t="s">
        <v>35</v>
      </c>
      <c r="J209" s="19" t="s">
        <v>35</v>
      </c>
      <c r="K209" s="19" t="s">
        <v>35</v>
      </c>
      <c r="L209" s="66">
        <v>26</v>
      </c>
      <c r="M209" s="66" t="s">
        <v>689</v>
      </c>
      <c r="N209" s="20"/>
      <c r="O209" s="65">
        <v>0.9</v>
      </c>
      <c r="P209" s="65">
        <v>90</v>
      </c>
      <c r="Q209" s="66">
        <v>3</v>
      </c>
    </row>
    <row r="210" spans="1:17" x14ac:dyDescent="0.25">
      <c r="A210" s="68" t="s">
        <v>663</v>
      </c>
      <c r="B210" s="128" t="s">
        <v>650</v>
      </c>
      <c r="C210" s="68" t="s">
        <v>673</v>
      </c>
      <c r="D210" s="66" t="s">
        <v>674</v>
      </c>
      <c r="E210" s="66">
        <v>22</v>
      </c>
      <c r="F210" s="20" t="s">
        <v>94</v>
      </c>
      <c r="G210" s="66" t="s">
        <v>99</v>
      </c>
      <c r="H210" s="19" t="s">
        <v>35</v>
      </c>
      <c r="I210" s="19" t="s">
        <v>35</v>
      </c>
      <c r="J210" s="19" t="s">
        <v>35</v>
      </c>
      <c r="K210" s="19" t="s">
        <v>35</v>
      </c>
      <c r="L210" s="66">
        <v>22</v>
      </c>
      <c r="M210" s="66" t="s">
        <v>690</v>
      </c>
      <c r="N210" s="20"/>
      <c r="O210" s="65">
        <v>0.9</v>
      </c>
      <c r="P210" s="65">
        <v>90</v>
      </c>
      <c r="Q210" s="66">
        <v>3</v>
      </c>
    </row>
    <row r="211" spans="1:17" x14ac:dyDescent="0.25">
      <c r="A211" s="68" t="s">
        <v>663</v>
      </c>
      <c r="B211" s="128" t="s">
        <v>650</v>
      </c>
      <c r="C211" s="68" t="s">
        <v>673</v>
      </c>
      <c r="D211" s="66" t="s">
        <v>674</v>
      </c>
      <c r="E211" s="66">
        <v>33</v>
      </c>
      <c r="F211" s="20" t="s">
        <v>97</v>
      </c>
      <c r="G211" s="66" t="s">
        <v>103</v>
      </c>
      <c r="H211" s="19" t="s">
        <v>35</v>
      </c>
      <c r="I211" s="19" t="s">
        <v>35</v>
      </c>
      <c r="J211" s="19" t="s">
        <v>35</v>
      </c>
      <c r="K211" s="19" t="s">
        <v>35</v>
      </c>
      <c r="L211" s="66">
        <v>64</v>
      </c>
      <c r="M211" s="66" t="s">
        <v>691</v>
      </c>
      <c r="N211" s="20"/>
      <c r="O211" s="65">
        <v>0.9</v>
      </c>
      <c r="P211" s="65">
        <v>90</v>
      </c>
      <c r="Q211" s="66">
        <v>3</v>
      </c>
    </row>
    <row r="214" spans="1:17" x14ac:dyDescent="0.25">
      <c r="A214" s="5" t="s">
        <v>783</v>
      </c>
    </row>
    <row r="216" spans="1:17" x14ac:dyDescent="0.25">
      <c r="A216" s="158" t="s">
        <v>786</v>
      </c>
    </row>
    <row r="217" spans="1:17" x14ac:dyDescent="0.25">
      <c r="A217" s="5" t="s">
        <v>655</v>
      </c>
      <c r="B217" s="153">
        <f>SUMIF($B$2:$B$199,$A217,$L$2:$L$199)</f>
        <v>250.0522</v>
      </c>
      <c r="C217" s="5">
        <f>SUMIFS($L$3:$L$211, $B$3:$B$211, A217,$O$3:$O$211, "&gt;0")</f>
        <v>0</v>
      </c>
    </row>
    <row r="218" spans="1:17" x14ac:dyDescent="0.25">
      <c r="A218" s="5" t="s">
        <v>653</v>
      </c>
      <c r="B218" s="153">
        <f>SUMIF($B$2:$B$199,$A218,$L$2:$L$199)</f>
        <v>591.45139999999992</v>
      </c>
      <c r="C218" s="152">
        <f>SUMIFS($L$3:$L$211, $B$3:$B$211, A218,$O$3:$O$211, "&gt;0")</f>
        <v>0</v>
      </c>
    </row>
    <row r="219" spans="1:17" x14ac:dyDescent="0.25">
      <c r="A219" s="5" t="s">
        <v>420</v>
      </c>
      <c r="B219" s="153">
        <f>SUMIF($B$2:$B$199,$A219,$L$2:$L$199)</f>
        <v>215.6198</v>
      </c>
      <c r="C219" s="152">
        <f t="shared" ref="C219:C228" si="0">SUMIFS($L$3:$L$211, $B$3:$B$211, A219,$O$3:$O$211, "&gt;0")</f>
        <v>0</v>
      </c>
    </row>
    <row r="220" spans="1:17" x14ac:dyDescent="0.25">
      <c r="A220" s="5" t="s">
        <v>107</v>
      </c>
      <c r="B220" s="153">
        <f t="shared" ref="B220:B228" si="1">SUMIF($B$2:$B$199,$A220,$L$2:$L$199)</f>
        <v>441.25619999999992</v>
      </c>
      <c r="C220" s="152">
        <f t="shared" si="0"/>
        <v>0</v>
      </c>
    </row>
    <row r="221" spans="1:17" x14ac:dyDescent="0.25">
      <c r="A221" s="5" t="s">
        <v>650</v>
      </c>
      <c r="B221" s="153">
        <f t="shared" si="1"/>
        <v>588.74490000000003</v>
      </c>
      <c r="C221" s="152">
        <f t="shared" si="0"/>
        <v>223.97890000000001</v>
      </c>
    </row>
    <row r="222" spans="1:17" x14ac:dyDescent="0.25">
      <c r="A222" s="5" t="s">
        <v>577</v>
      </c>
      <c r="B222" s="153">
        <f t="shared" si="1"/>
        <v>963.44530000000009</v>
      </c>
      <c r="C222" s="152">
        <f t="shared" si="0"/>
        <v>10</v>
      </c>
    </row>
    <row r="223" spans="1:17" x14ac:dyDescent="0.25">
      <c r="A223" s="5" t="s">
        <v>195</v>
      </c>
      <c r="B223" s="153">
        <f t="shared" si="1"/>
        <v>310.15899999999999</v>
      </c>
      <c r="C223" s="152">
        <f t="shared" si="0"/>
        <v>0</v>
      </c>
    </row>
    <row r="224" spans="1:17" x14ac:dyDescent="0.25">
      <c r="A224" s="5" t="s">
        <v>651</v>
      </c>
      <c r="B224" s="153">
        <f t="shared" si="1"/>
        <v>1961.1835000000003</v>
      </c>
      <c r="C224" s="152">
        <f t="shared" si="0"/>
        <v>811.80139999999994</v>
      </c>
    </row>
    <row r="225" spans="1:3" x14ac:dyDescent="0.25">
      <c r="A225" s="5" t="s">
        <v>652</v>
      </c>
      <c r="B225" s="153">
        <f t="shared" si="1"/>
        <v>446.7296</v>
      </c>
      <c r="C225" s="152">
        <f t="shared" si="0"/>
        <v>0</v>
      </c>
    </row>
    <row r="226" spans="1:3" x14ac:dyDescent="0.25">
      <c r="A226" s="5" t="s">
        <v>649</v>
      </c>
      <c r="B226" s="153">
        <f t="shared" si="1"/>
        <v>1426.5639000000001</v>
      </c>
      <c r="C226" s="152">
        <f t="shared" si="0"/>
        <v>275.60680000000002</v>
      </c>
    </row>
    <row r="227" spans="1:3" x14ac:dyDescent="0.25">
      <c r="A227" s="5" t="s">
        <v>45</v>
      </c>
      <c r="B227" s="153">
        <f t="shared" si="1"/>
        <v>2179.556</v>
      </c>
      <c r="C227" s="152">
        <f t="shared" si="0"/>
        <v>74.944999999999993</v>
      </c>
    </row>
    <row r="228" spans="1:3" x14ac:dyDescent="0.25">
      <c r="A228" s="5" t="s">
        <v>654</v>
      </c>
      <c r="B228" s="153">
        <f t="shared" si="1"/>
        <v>422.5179</v>
      </c>
      <c r="C228" s="152">
        <f t="shared" si="0"/>
        <v>0</v>
      </c>
    </row>
    <row r="229" spans="1:3" x14ac:dyDescent="0.25">
      <c r="A229" s="155"/>
      <c r="B229" s="153"/>
    </row>
    <row r="230" spans="1:3" x14ac:dyDescent="0.25">
      <c r="A230" s="157" t="s">
        <v>785</v>
      </c>
      <c r="B230" s="153"/>
    </row>
    <row r="231" spans="1:3" x14ac:dyDescent="0.25">
      <c r="A231" s="156" t="s">
        <v>787</v>
      </c>
      <c r="B231" s="153">
        <f>SUMIFS(B217:B228,A217:A228,"*Kluang*")+SUMIFS(B217:B228,A217:A228,"*Johor Bahru*")+SUMIFS(B217:B228,A217:A228,"*Ayer Keroh*")</f>
        <v>2143.6415999999999</v>
      </c>
      <c r="C231" s="159">
        <f>SUMIFS(C217:C228,A217:A228,"*Kluang*")+SUMIFS(C217:C228,A217:A228,"*Johor Bahru*")+SUMIFS(C217:C228,A217:A228,"*Ayer Keroh*")</f>
        <v>233.97890000000001</v>
      </c>
    </row>
    <row r="232" spans="1:3" x14ac:dyDescent="0.25">
      <c r="A232" s="156" t="s">
        <v>784</v>
      </c>
      <c r="B232" s="153">
        <f>SUMIFS(B217:B228,A217:A228,"*Selangor*")+SUMIFS(B217:B228,A217:A228,"*Kuala Lumpur*")+SUMIFS(B217:B228,A217:A228,"*Seremban*")</f>
        <v>4563.2574000000004</v>
      </c>
      <c r="C232" s="152">
        <f>SUMIFS(C217:C228,A217:A228,"*Selangor*")+SUMIFS(C217:C228,A217:A228,"*Kuala Lumpur*")+SUMIFS(C217:C228,A217:A228,"*Seremban*")</f>
        <v>886.74639999999999</v>
      </c>
    </row>
    <row r="233" spans="1:3" x14ac:dyDescent="0.25">
      <c r="A233" s="156" t="s">
        <v>788</v>
      </c>
      <c r="B233" s="153">
        <f>SUMIFS(B217:B228,A217:A228,"*Ipoh*")+SUMIFS(B217:B228,A217:A228,"*Perda*")+SUMIFS(B217:B228,A217:A228,"*Alor Setar*")</f>
        <v>2117.8723</v>
      </c>
      <c r="C233" s="152">
        <f>SUMIFS(C217:C228,A217:A228,"*Ipoh*")+SUMIFS(C217:C228,A217:A228,"*Perda*")+SUMIFS(C217:C228,A217:A228,"*Alor Setar*")</f>
        <v>275.60680000000002</v>
      </c>
    </row>
    <row r="234" spans="1:3" x14ac:dyDescent="0.25">
      <c r="A234" s="156" t="s">
        <v>789</v>
      </c>
      <c r="B234" s="153">
        <f>SUMIFS(B217:B228,A217:A228,"*Dungun*")+SUMIFS(B217:B228,A217:A228,"*Kota Bharu*")+SUMIFS(B217:B228,A217:A228,"*Kuantan*")</f>
        <v>972.50840000000005</v>
      </c>
      <c r="C234" s="152">
        <f>SUMIFS(C217:C228,A217:A228,"*Dungun*")+SUMIFS(C217:C228,A217:A228,"*Kota Bharu*")+SUMIFS(C217:C228,A217:A228,"*Kuantan*")</f>
        <v>0</v>
      </c>
    </row>
    <row r="236" spans="1:3" x14ac:dyDescent="0.25">
      <c r="A236" s="154" t="s">
        <v>790</v>
      </c>
    </row>
    <row r="237" spans="1:3" x14ac:dyDescent="0.25">
      <c r="A237" s="5" t="s">
        <v>633</v>
      </c>
      <c r="B237" s="5">
        <f>SUMIF($A$2:$A$199,$A237,$L$2:$L$199)</f>
        <v>311</v>
      </c>
    </row>
    <row r="238" spans="1:3" x14ac:dyDescent="0.25">
      <c r="A238" s="5" t="s">
        <v>632</v>
      </c>
      <c r="B238" s="152">
        <f t="shared" ref="B238:B249" si="2">SUMIF($A$2:$A$199,$A238,$L$2:$L$199)</f>
        <v>1000.6459000000002</v>
      </c>
    </row>
    <row r="239" spans="1:3" x14ac:dyDescent="0.25">
      <c r="A239" s="5" t="s">
        <v>634</v>
      </c>
      <c r="B239" s="152">
        <f t="shared" si="2"/>
        <v>801.15820000000008</v>
      </c>
    </row>
    <row r="240" spans="1:3" x14ac:dyDescent="0.25">
      <c r="A240" s="5" t="s">
        <v>635</v>
      </c>
      <c r="B240" s="152">
        <f t="shared" si="2"/>
        <v>884.97269999999992</v>
      </c>
    </row>
    <row r="241" spans="1:2" x14ac:dyDescent="0.25">
      <c r="A241" s="5" t="s">
        <v>636</v>
      </c>
      <c r="B241" s="152">
        <f t="shared" si="2"/>
        <v>753.81540000000007</v>
      </c>
    </row>
    <row r="242" spans="1:2" x14ac:dyDescent="0.25">
      <c r="A242" s="5" t="s">
        <v>637</v>
      </c>
      <c r="B242" s="152">
        <f t="shared" si="2"/>
        <v>713.0498</v>
      </c>
    </row>
    <row r="243" spans="1:2" x14ac:dyDescent="0.25">
      <c r="A243" s="5" t="s">
        <v>638</v>
      </c>
      <c r="B243" s="152">
        <f t="shared" si="2"/>
        <v>931.42899999999997</v>
      </c>
    </row>
    <row r="244" spans="1:2" x14ac:dyDescent="0.25">
      <c r="A244" s="5" t="s">
        <v>639</v>
      </c>
      <c r="B244" s="152">
        <f t="shared" si="2"/>
        <v>906.03819999999985</v>
      </c>
    </row>
    <row r="245" spans="1:2" x14ac:dyDescent="0.25">
      <c r="A245" s="5" t="s">
        <v>640</v>
      </c>
      <c r="B245" s="152">
        <f t="shared" si="2"/>
        <v>915.64959999999996</v>
      </c>
    </row>
    <row r="246" spans="1:2" x14ac:dyDescent="0.25">
      <c r="A246" s="5" t="s">
        <v>641</v>
      </c>
      <c r="B246" s="152">
        <f t="shared" si="2"/>
        <v>858.49199999999996</v>
      </c>
    </row>
    <row r="247" spans="1:2" x14ac:dyDescent="0.25">
      <c r="A247" s="5" t="s">
        <v>642</v>
      </c>
      <c r="B247" s="152">
        <f t="shared" si="2"/>
        <v>852.3143</v>
      </c>
    </row>
    <row r="248" spans="1:2" x14ac:dyDescent="0.25">
      <c r="A248" s="5" t="s">
        <v>643</v>
      </c>
      <c r="B248" s="152">
        <f t="shared" si="2"/>
        <v>402.66179999999997</v>
      </c>
    </row>
    <row r="249" spans="1:2" x14ac:dyDescent="0.25">
      <c r="A249" s="5" t="s">
        <v>644</v>
      </c>
      <c r="B249" s="152">
        <f t="shared" si="2"/>
        <v>466.05279999999999</v>
      </c>
    </row>
    <row r="250" spans="1:2" x14ac:dyDescent="0.25">
      <c r="A250" s="155"/>
    </row>
    <row r="251" spans="1:2" x14ac:dyDescent="0.25">
      <c r="A251" s="154" t="s">
        <v>791</v>
      </c>
    </row>
    <row r="252" spans="1:2" x14ac:dyDescent="0.25">
      <c r="A252" s="5" t="s">
        <v>679</v>
      </c>
      <c r="B252" s="152">
        <f>SUMIF($P$3:$P$211,30,$L$3:$L$211)</f>
        <v>498.03549999999996</v>
      </c>
    </row>
    <row r="253" spans="1:2" x14ac:dyDescent="0.25">
      <c r="A253" s="5" t="s">
        <v>658</v>
      </c>
      <c r="B253" s="152">
        <f>SUMIF($P$3:$P$211,60,$L$3:$L$211)</f>
        <v>470.22390000000001</v>
      </c>
    </row>
    <row r="254" spans="1:2" x14ac:dyDescent="0.25">
      <c r="A254" s="5" t="s">
        <v>663</v>
      </c>
      <c r="B254" s="152">
        <f>SUMIF($P$3:$P$211,90,$L$3:$L$211)</f>
        <v>428.0727</v>
      </c>
    </row>
  </sheetData>
  <autoFilter ref="A2:Q211" xr:uid="{722A4A62-F3D1-4577-AFDB-10AA26B12C9A}"/>
  <mergeCells count="45">
    <mergeCell ref="L198:L199"/>
    <mergeCell ref="L180:L183"/>
    <mergeCell ref="M180:M183"/>
    <mergeCell ref="N166:N167"/>
    <mergeCell ref="N177:N178"/>
    <mergeCell ref="N185:N186"/>
    <mergeCell ref="N172:N173"/>
    <mergeCell ref="L185:L186"/>
    <mergeCell ref="N106:N108"/>
    <mergeCell ref="M198:M199"/>
    <mergeCell ref="M153:M156"/>
    <mergeCell ref="M159:M160"/>
    <mergeCell ref="M157:M158"/>
    <mergeCell ref="M177:M178"/>
    <mergeCell ref="M172:M173"/>
    <mergeCell ref="N157:N158"/>
    <mergeCell ref="N159:N160"/>
    <mergeCell ref="N153:N156"/>
    <mergeCell ref="N144:N145"/>
    <mergeCell ref="N121:N122"/>
    <mergeCell ref="N198:N199"/>
    <mergeCell ref="L106:L108"/>
    <mergeCell ref="L121:L122"/>
    <mergeCell ref="L151:L152"/>
    <mergeCell ref="M185:M186"/>
    <mergeCell ref="A1:N1"/>
    <mergeCell ref="M106:M108"/>
    <mergeCell ref="M121:M122"/>
    <mergeCell ref="M144:M145"/>
    <mergeCell ref="M151:M152"/>
    <mergeCell ref="L153:L156"/>
    <mergeCell ref="L157:L158"/>
    <mergeCell ref="L159:L160"/>
    <mergeCell ref="L166:L167"/>
    <mergeCell ref="M166:M167"/>
    <mergeCell ref="L172:L173"/>
    <mergeCell ref="L177:L178"/>
    <mergeCell ref="O1:Q1"/>
    <mergeCell ref="L92:L93"/>
    <mergeCell ref="L94:L95"/>
    <mergeCell ref="L96:L97"/>
    <mergeCell ref="N96:N97"/>
    <mergeCell ref="M92:M93"/>
    <mergeCell ref="M94:M95"/>
    <mergeCell ref="M96:M97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570C-1368-4CCB-BAF7-1CD499492856}">
  <dimension ref="A1:T254"/>
  <sheetViews>
    <sheetView topLeftCell="A37" zoomScale="90" zoomScaleNormal="90" workbookViewId="0">
      <selection activeCell="J99" sqref="J99"/>
    </sheetView>
  </sheetViews>
  <sheetFormatPr defaultColWidth="8.625" defaultRowHeight="15" x14ac:dyDescent="0.25"/>
  <cols>
    <col min="1" max="1" width="22.625" style="5" customWidth="1"/>
    <col min="2" max="2" width="17" style="5" customWidth="1"/>
    <col min="3" max="3" width="24.75" style="5" customWidth="1"/>
    <col min="4" max="4" width="16.625" style="5" customWidth="1"/>
    <col min="5" max="5" width="7.875" style="59" customWidth="1"/>
    <col min="6" max="6" width="23.625" style="5" customWidth="1"/>
    <col min="7" max="7" width="20" style="5" customWidth="1"/>
    <col min="8" max="8" width="6.75" style="5" customWidth="1"/>
    <col min="9" max="9" width="10.625" style="5" customWidth="1"/>
    <col min="10" max="10" width="6.25" style="5" customWidth="1"/>
    <col min="11" max="11" width="10.75" style="5" customWidth="1"/>
    <col min="12" max="13" width="15" style="59" customWidth="1"/>
    <col min="14" max="15" width="23.625" style="5" customWidth="1"/>
    <col min="16" max="16" width="94.75" style="5" customWidth="1"/>
    <col min="17" max="17" width="20.125" style="63" customWidth="1"/>
    <col min="18" max="18" width="17.125" style="63" customWidth="1"/>
    <col min="19" max="19" width="19.125" style="59" customWidth="1"/>
    <col min="20" max="20" width="8.625" style="5"/>
    <col min="21" max="16384" width="8.625" style="1"/>
  </cols>
  <sheetData>
    <row r="1" spans="1:20" s="131" customFormat="1" ht="51.4" customHeight="1" thickBot="1" x14ac:dyDescent="0.25">
      <c r="A1" s="273" t="s">
        <v>6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6" t="s">
        <v>7</v>
      </c>
      <c r="R1" s="276"/>
      <c r="S1" s="276"/>
      <c r="T1" s="130"/>
    </row>
    <row r="2" spans="1:20" s="3" customFormat="1" ht="32.25" thickBot="1" x14ac:dyDescent="0.25">
      <c r="A2" s="114" t="s">
        <v>748</v>
      </c>
      <c r="B2" s="115" t="s">
        <v>108</v>
      </c>
      <c r="C2" s="116" t="s">
        <v>0</v>
      </c>
      <c r="D2" s="116" t="s">
        <v>1</v>
      </c>
      <c r="E2" s="116" t="s">
        <v>34</v>
      </c>
      <c r="F2" s="116" t="s">
        <v>2</v>
      </c>
      <c r="G2" s="116" t="s">
        <v>3</v>
      </c>
      <c r="H2" s="116" t="s">
        <v>4</v>
      </c>
      <c r="I2" s="116" t="s">
        <v>8</v>
      </c>
      <c r="J2" s="116" t="s">
        <v>5</v>
      </c>
      <c r="K2" s="116" t="s">
        <v>9</v>
      </c>
      <c r="L2" s="117" t="s">
        <v>255</v>
      </c>
      <c r="M2" s="117" t="s">
        <v>792</v>
      </c>
      <c r="N2" s="118" t="s">
        <v>282</v>
      </c>
      <c r="O2" s="118"/>
      <c r="P2" s="119" t="s">
        <v>631</v>
      </c>
      <c r="Q2" s="120" t="s">
        <v>11</v>
      </c>
      <c r="R2" s="121" t="s">
        <v>10</v>
      </c>
      <c r="S2" s="122" t="s">
        <v>659</v>
      </c>
      <c r="T2" s="4"/>
    </row>
    <row r="3" spans="1:20" x14ac:dyDescent="0.25">
      <c r="A3" s="109" t="s">
        <v>633</v>
      </c>
      <c r="B3" s="84" t="s">
        <v>652</v>
      </c>
      <c r="C3" s="11" t="s">
        <v>12</v>
      </c>
      <c r="D3" s="12" t="s">
        <v>13</v>
      </c>
      <c r="E3" s="12">
        <v>132</v>
      </c>
      <c r="F3" s="11" t="s">
        <v>46</v>
      </c>
      <c r="G3" s="12" t="s">
        <v>36</v>
      </c>
      <c r="H3" s="43">
        <v>49.3</v>
      </c>
      <c r="I3" s="43">
        <v>0</v>
      </c>
      <c r="J3" s="43" t="s">
        <v>35</v>
      </c>
      <c r="K3" s="43" t="s">
        <v>35</v>
      </c>
      <c r="L3" s="170">
        <v>0</v>
      </c>
      <c r="M3" s="225"/>
      <c r="N3" s="56" t="s">
        <v>283</v>
      </c>
      <c r="O3" s="56"/>
      <c r="P3" s="125"/>
      <c r="Q3" s="111"/>
      <c r="R3" s="112"/>
      <c r="S3" s="113"/>
    </row>
    <row r="4" spans="1:20" x14ac:dyDescent="0.25">
      <c r="A4" s="104" t="s">
        <v>633</v>
      </c>
      <c r="B4" s="32" t="s">
        <v>650</v>
      </c>
      <c r="C4" s="6" t="s">
        <v>16</v>
      </c>
      <c r="D4" s="7" t="s">
        <v>17</v>
      </c>
      <c r="E4" s="7">
        <v>132</v>
      </c>
      <c r="F4" s="6" t="s">
        <v>257</v>
      </c>
      <c r="G4" s="7">
        <v>505</v>
      </c>
      <c r="H4" s="8">
        <v>49.3</v>
      </c>
      <c r="I4" s="8">
        <v>0</v>
      </c>
      <c r="J4" s="8" t="s">
        <v>35</v>
      </c>
      <c r="K4" s="8" t="s">
        <v>35</v>
      </c>
      <c r="L4" s="71">
        <v>26</v>
      </c>
      <c r="M4" s="226"/>
      <c r="N4" s="9" t="s">
        <v>285</v>
      </c>
      <c r="O4" s="9"/>
      <c r="P4" s="126"/>
      <c r="Q4" s="62"/>
      <c r="R4" s="172"/>
      <c r="S4" s="61"/>
    </row>
    <row r="5" spans="1:20" x14ac:dyDescent="0.25">
      <c r="A5" s="104" t="s">
        <v>633</v>
      </c>
      <c r="B5" s="32" t="s">
        <v>650</v>
      </c>
      <c r="C5" s="6" t="s">
        <v>18</v>
      </c>
      <c r="D5" s="7" t="s">
        <v>19</v>
      </c>
      <c r="E5" s="7">
        <v>132</v>
      </c>
      <c r="F5" s="6" t="s">
        <v>256</v>
      </c>
      <c r="G5" s="10" t="s">
        <v>38</v>
      </c>
      <c r="H5" s="8">
        <v>49.3</v>
      </c>
      <c r="I5" s="8">
        <v>0</v>
      </c>
      <c r="J5" s="8" t="s">
        <v>35</v>
      </c>
      <c r="K5" s="8" t="s">
        <v>35</v>
      </c>
      <c r="L5" s="71">
        <v>28</v>
      </c>
      <c r="M5" s="226"/>
      <c r="N5" s="9" t="s">
        <v>286</v>
      </c>
      <c r="O5" s="9"/>
      <c r="P5" s="124"/>
      <c r="Q5" s="160"/>
      <c r="R5" s="160"/>
      <c r="S5" s="66"/>
    </row>
    <row r="6" spans="1:20" x14ac:dyDescent="0.25">
      <c r="A6" s="104" t="s">
        <v>633</v>
      </c>
      <c r="B6" s="32" t="s">
        <v>650</v>
      </c>
      <c r="C6" s="6" t="s">
        <v>26</v>
      </c>
      <c r="D6" s="7" t="s">
        <v>27</v>
      </c>
      <c r="E6" s="7">
        <v>132</v>
      </c>
      <c r="F6" s="6" t="s">
        <v>52</v>
      </c>
      <c r="G6" s="10" t="s">
        <v>43</v>
      </c>
      <c r="H6" s="8">
        <v>49.3</v>
      </c>
      <c r="I6" s="8">
        <v>0</v>
      </c>
      <c r="J6" s="8" t="s">
        <v>35</v>
      </c>
      <c r="K6" s="8" t="s">
        <v>35</v>
      </c>
      <c r="L6" s="71">
        <v>2</v>
      </c>
      <c r="M6" s="226"/>
      <c r="N6" s="9" t="s">
        <v>291</v>
      </c>
      <c r="O6" s="9"/>
      <c r="P6" s="124"/>
      <c r="Q6" s="160"/>
      <c r="R6" s="160"/>
      <c r="S6" s="66"/>
    </row>
    <row r="7" spans="1:20" x14ac:dyDescent="0.25">
      <c r="A7" s="104" t="s">
        <v>633</v>
      </c>
      <c r="B7" s="32" t="s">
        <v>650</v>
      </c>
      <c r="C7" s="6" t="s">
        <v>22</v>
      </c>
      <c r="D7" s="7" t="s">
        <v>23</v>
      </c>
      <c r="E7" s="7">
        <v>275</v>
      </c>
      <c r="F7" s="6" t="s">
        <v>49</v>
      </c>
      <c r="G7" s="7" t="s">
        <v>40</v>
      </c>
      <c r="H7" s="8">
        <v>49.3</v>
      </c>
      <c r="I7" s="8">
        <v>0</v>
      </c>
      <c r="J7" s="8" t="s">
        <v>35</v>
      </c>
      <c r="K7" s="8" t="s">
        <v>35</v>
      </c>
      <c r="L7" s="71">
        <v>7</v>
      </c>
      <c r="M7" s="226"/>
      <c r="N7" s="9" t="s">
        <v>288</v>
      </c>
      <c r="O7" s="9"/>
      <c r="P7" s="124"/>
      <c r="Q7" s="160"/>
      <c r="R7" s="160"/>
      <c r="S7" s="66"/>
    </row>
    <row r="8" spans="1:20" x14ac:dyDescent="0.25">
      <c r="A8" s="104" t="s">
        <v>633</v>
      </c>
      <c r="B8" s="32" t="s">
        <v>652</v>
      </c>
      <c r="C8" s="6" t="s">
        <v>20</v>
      </c>
      <c r="D8" s="7" t="s">
        <v>21</v>
      </c>
      <c r="E8" s="7">
        <v>132</v>
      </c>
      <c r="F8" s="6" t="s">
        <v>48</v>
      </c>
      <c r="G8" s="7" t="s">
        <v>39</v>
      </c>
      <c r="H8" s="8">
        <v>49.3</v>
      </c>
      <c r="I8" s="8">
        <v>0</v>
      </c>
      <c r="J8" s="8" t="s">
        <v>35</v>
      </c>
      <c r="K8" s="8" t="s">
        <v>35</v>
      </c>
      <c r="L8" s="71">
        <v>0</v>
      </c>
      <c r="M8" s="226"/>
      <c r="N8" s="9" t="s">
        <v>287</v>
      </c>
      <c r="O8" s="9"/>
      <c r="P8" s="124"/>
      <c r="Q8" s="160"/>
      <c r="R8" s="160"/>
      <c r="S8" s="66"/>
    </row>
    <row r="9" spans="1:20" x14ac:dyDescent="0.25">
      <c r="A9" s="104" t="s">
        <v>633</v>
      </c>
      <c r="B9" s="32" t="s">
        <v>420</v>
      </c>
      <c r="C9" s="6" t="s">
        <v>740</v>
      </c>
      <c r="D9" s="7" t="s">
        <v>736</v>
      </c>
      <c r="E9" s="7">
        <v>275</v>
      </c>
      <c r="F9" s="6" t="s">
        <v>737</v>
      </c>
      <c r="G9" s="7" t="s">
        <v>40</v>
      </c>
      <c r="H9" s="8">
        <v>49.3</v>
      </c>
      <c r="I9" s="8">
        <v>1</v>
      </c>
      <c r="J9" s="8" t="s">
        <v>35</v>
      </c>
      <c r="K9" s="8" t="s">
        <v>35</v>
      </c>
      <c r="L9" s="71">
        <v>0</v>
      </c>
      <c r="M9" s="226"/>
      <c r="N9" s="9" t="s">
        <v>738</v>
      </c>
      <c r="O9" s="9"/>
      <c r="P9" s="124"/>
      <c r="Q9" s="160"/>
      <c r="R9" s="160"/>
      <c r="S9" s="66"/>
    </row>
    <row r="10" spans="1:20" x14ac:dyDescent="0.25">
      <c r="A10" s="104" t="s">
        <v>633</v>
      </c>
      <c r="B10" s="32" t="s">
        <v>45</v>
      </c>
      <c r="C10" s="6" t="s">
        <v>14</v>
      </c>
      <c r="D10" s="7" t="s">
        <v>15</v>
      </c>
      <c r="E10" s="7">
        <v>275</v>
      </c>
      <c r="F10" s="6" t="s">
        <v>47</v>
      </c>
      <c r="G10" s="7" t="s">
        <v>37</v>
      </c>
      <c r="H10" s="8">
        <v>49.3</v>
      </c>
      <c r="I10" s="8">
        <v>0</v>
      </c>
      <c r="J10" s="8" t="s">
        <v>35</v>
      </c>
      <c r="K10" s="8" t="s">
        <v>35</v>
      </c>
      <c r="L10" s="71">
        <v>25</v>
      </c>
      <c r="M10" s="226"/>
      <c r="N10" s="9" t="s">
        <v>284</v>
      </c>
      <c r="O10" s="9"/>
      <c r="P10" s="124"/>
      <c r="Q10" s="160"/>
      <c r="R10" s="160"/>
      <c r="S10" s="66"/>
    </row>
    <row r="11" spans="1:20" x14ac:dyDescent="0.25">
      <c r="A11" s="104" t="s">
        <v>633</v>
      </c>
      <c r="B11" s="84" t="s">
        <v>45</v>
      </c>
      <c r="C11" s="11" t="s">
        <v>24</v>
      </c>
      <c r="D11" s="12" t="s">
        <v>25</v>
      </c>
      <c r="E11" s="12">
        <v>132</v>
      </c>
      <c r="F11" s="11" t="s">
        <v>50</v>
      </c>
      <c r="G11" s="12" t="s">
        <v>41</v>
      </c>
      <c r="H11" s="8">
        <v>49.3</v>
      </c>
      <c r="I11" s="8">
        <v>0</v>
      </c>
      <c r="J11" s="8" t="s">
        <v>35</v>
      </c>
      <c r="K11" s="8" t="s">
        <v>35</v>
      </c>
      <c r="L11" s="71">
        <v>44</v>
      </c>
      <c r="M11" s="226"/>
      <c r="N11" s="9" t="s">
        <v>289</v>
      </c>
      <c r="O11" s="9"/>
      <c r="P11" s="124"/>
      <c r="Q11" s="160"/>
      <c r="R11" s="160"/>
      <c r="S11" s="66"/>
    </row>
    <row r="12" spans="1:20" x14ac:dyDescent="0.25">
      <c r="A12" s="104" t="s">
        <v>633</v>
      </c>
      <c r="B12" s="32" t="s">
        <v>45</v>
      </c>
      <c r="C12" s="6" t="s">
        <v>24</v>
      </c>
      <c r="D12" s="7" t="s">
        <v>25</v>
      </c>
      <c r="E12" s="7">
        <v>132</v>
      </c>
      <c r="F12" s="6" t="s">
        <v>51</v>
      </c>
      <c r="G12" s="7" t="s">
        <v>42</v>
      </c>
      <c r="H12" s="8">
        <v>49.3</v>
      </c>
      <c r="I12" s="8">
        <v>0</v>
      </c>
      <c r="J12" s="8" t="s">
        <v>35</v>
      </c>
      <c r="K12" s="8" t="s">
        <v>35</v>
      </c>
      <c r="L12" s="71">
        <v>60</v>
      </c>
      <c r="M12" s="226"/>
      <c r="N12" s="9" t="s">
        <v>290</v>
      </c>
      <c r="O12" s="9"/>
      <c r="P12" s="124"/>
      <c r="Q12" s="160"/>
      <c r="R12" s="160"/>
      <c r="S12" s="66"/>
    </row>
    <row r="13" spans="1:20" x14ac:dyDescent="0.25">
      <c r="A13" s="104" t="s">
        <v>633</v>
      </c>
      <c r="B13" s="84" t="s">
        <v>649</v>
      </c>
      <c r="C13" s="6" t="s">
        <v>28</v>
      </c>
      <c r="D13" s="7" t="s">
        <v>29</v>
      </c>
      <c r="E13" s="7">
        <v>132</v>
      </c>
      <c r="F13" s="6" t="s">
        <v>54</v>
      </c>
      <c r="G13" s="7">
        <v>905</v>
      </c>
      <c r="H13" s="8">
        <v>49.3</v>
      </c>
      <c r="I13" s="8">
        <v>0</v>
      </c>
      <c r="J13" s="8" t="s">
        <v>35</v>
      </c>
      <c r="K13" s="8" t="s">
        <v>35</v>
      </c>
      <c r="L13" s="71">
        <v>50</v>
      </c>
      <c r="M13" s="226"/>
      <c r="N13" s="9" t="s">
        <v>293</v>
      </c>
      <c r="O13" s="9"/>
      <c r="P13" s="124"/>
      <c r="Q13" s="160"/>
      <c r="R13" s="160"/>
      <c r="S13" s="66"/>
    </row>
    <row r="14" spans="1:20" x14ac:dyDescent="0.25">
      <c r="A14" s="104" t="s">
        <v>633</v>
      </c>
      <c r="B14" s="84" t="s">
        <v>649</v>
      </c>
      <c r="C14" s="6" t="s">
        <v>414</v>
      </c>
      <c r="D14" s="7" t="s">
        <v>415</v>
      </c>
      <c r="E14" s="7">
        <v>275</v>
      </c>
      <c r="F14" s="6" t="s">
        <v>695</v>
      </c>
      <c r="G14" s="7" t="s">
        <v>696</v>
      </c>
      <c r="H14" s="8">
        <v>49.3</v>
      </c>
      <c r="I14" s="8">
        <v>0</v>
      </c>
      <c r="J14" s="8" t="s">
        <v>35</v>
      </c>
      <c r="K14" s="8" t="s">
        <v>35</v>
      </c>
      <c r="L14" s="71">
        <v>6</v>
      </c>
      <c r="M14" s="226"/>
      <c r="N14" s="9" t="s">
        <v>697</v>
      </c>
      <c r="O14" s="9"/>
      <c r="P14" s="124"/>
      <c r="Q14" s="160"/>
      <c r="R14" s="160"/>
      <c r="S14" s="66"/>
    </row>
    <row r="15" spans="1:20" x14ac:dyDescent="0.25">
      <c r="A15" s="104" t="s">
        <v>633</v>
      </c>
      <c r="B15" s="32" t="s">
        <v>649</v>
      </c>
      <c r="C15" s="6" t="s">
        <v>30</v>
      </c>
      <c r="D15" s="7" t="s">
        <v>31</v>
      </c>
      <c r="E15" s="7">
        <v>132</v>
      </c>
      <c r="F15" s="6" t="s">
        <v>53</v>
      </c>
      <c r="G15" s="7" t="s">
        <v>39</v>
      </c>
      <c r="H15" s="8">
        <v>49.3</v>
      </c>
      <c r="I15" s="8">
        <v>0</v>
      </c>
      <c r="J15" s="8" t="s">
        <v>35</v>
      </c>
      <c r="K15" s="8" t="s">
        <v>35</v>
      </c>
      <c r="L15" s="71">
        <v>17</v>
      </c>
      <c r="M15" s="226"/>
      <c r="N15" s="9" t="s">
        <v>53</v>
      </c>
      <c r="O15" s="9"/>
      <c r="P15" s="124"/>
      <c r="Q15" s="160"/>
      <c r="R15" s="160"/>
      <c r="S15" s="66"/>
    </row>
    <row r="16" spans="1:20" x14ac:dyDescent="0.25">
      <c r="A16" s="105" t="s">
        <v>633</v>
      </c>
      <c r="B16" s="39" t="s">
        <v>649</v>
      </c>
      <c r="C16" s="34" t="s">
        <v>32</v>
      </c>
      <c r="D16" s="33" t="s">
        <v>33</v>
      </c>
      <c r="E16" s="33">
        <v>132</v>
      </c>
      <c r="F16" s="34" t="s">
        <v>55</v>
      </c>
      <c r="G16" s="33" t="s">
        <v>44</v>
      </c>
      <c r="H16" s="42">
        <v>49.3</v>
      </c>
      <c r="I16" s="42">
        <v>0</v>
      </c>
      <c r="J16" s="42" t="s">
        <v>35</v>
      </c>
      <c r="K16" s="42" t="s">
        <v>35</v>
      </c>
      <c r="L16" s="169">
        <v>46</v>
      </c>
      <c r="M16" s="227"/>
      <c r="N16" s="55" t="s">
        <v>292</v>
      </c>
      <c r="O16" s="55"/>
      <c r="P16" s="124"/>
      <c r="Q16" s="160"/>
      <c r="R16" s="160"/>
      <c r="S16" s="66"/>
    </row>
    <row r="17" spans="1:20" x14ac:dyDescent="0.25">
      <c r="A17" s="106" t="s">
        <v>632</v>
      </c>
      <c r="B17" s="17" t="s">
        <v>650</v>
      </c>
      <c r="C17" s="22" t="s">
        <v>56</v>
      </c>
      <c r="D17" s="17" t="s">
        <v>57</v>
      </c>
      <c r="E17" s="17">
        <v>22</v>
      </c>
      <c r="F17" s="22" t="s">
        <v>94</v>
      </c>
      <c r="G17" s="17" t="s">
        <v>99</v>
      </c>
      <c r="H17" s="19">
        <v>49.2</v>
      </c>
      <c r="I17" s="19">
        <v>0</v>
      </c>
      <c r="J17" s="19" t="s">
        <v>35</v>
      </c>
      <c r="K17" s="19" t="s">
        <v>35</v>
      </c>
      <c r="L17" s="72">
        <v>21.3659</v>
      </c>
      <c r="M17" s="72"/>
      <c r="N17" s="167" t="s">
        <v>294</v>
      </c>
      <c r="O17" s="167"/>
      <c r="P17" s="20"/>
      <c r="Q17" s="160"/>
      <c r="R17" s="160"/>
      <c r="S17" s="66"/>
    </row>
    <row r="18" spans="1:20" x14ac:dyDescent="0.25">
      <c r="A18" s="106" t="s">
        <v>632</v>
      </c>
      <c r="B18" s="17" t="s">
        <v>650</v>
      </c>
      <c r="C18" s="22" t="s">
        <v>18</v>
      </c>
      <c r="D18" s="17" t="s">
        <v>19</v>
      </c>
      <c r="E18" s="17">
        <v>22</v>
      </c>
      <c r="F18" s="22" t="s">
        <v>94</v>
      </c>
      <c r="G18" s="17" t="s">
        <v>99</v>
      </c>
      <c r="H18" s="19">
        <v>49.2</v>
      </c>
      <c r="I18" s="19">
        <v>0</v>
      </c>
      <c r="J18" s="19" t="s">
        <v>35</v>
      </c>
      <c r="K18" s="19" t="s">
        <v>35</v>
      </c>
      <c r="L18" s="72">
        <v>21.878900000000002</v>
      </c>
      <c r="M18" s="72"/>
      <c r="N18" s="167" t="s">
        <v>321</v>
      </c>
      <c r="O18" s="167"/>
      <c r="P18" s="20"/>
      <c r="Q18" s="160"/>
      <c r="R18" s="160"/>
      <c r="S18" s="66"/>
    </row>
    <row r="19" spans="1:20" x14ac:dyDescent="0.25">
      <c r="A19" s="106" t="s">
        <v>632</v>
      </c>
      <c r="B19" s="17" t="s">
        <v>650</v>
      </c>
      <c r="C19" s="22" t="s">
        <v>80</v>
      </c>
      <c r="D19" s="17" t="s">
        <v>81</v>
      </c>
      <c r="E19" s="17">
        <v>33</v>
      </c>
      <c r="F19" s="23" t="s">
        <v>95</v>
      </c>
      <c r="G19" s="26" t="s">
        <v>99</v>
      </c>
      <c r="H19" s="19">
        <v>49.2</v>
      </c>
      <c r="I19" s="19">
        <v>0</v>
      </c>
      <c r="J19" s="19" t="s">
        <v>35</v>
      </c>
      <c r="K19" s="19" t="s">
        <v>35</v>
      </c>
      <c r="L19" s="72">
        <v>64.076800000000006</v>
      </c>
      <c r="M19" s="72"/>
      <c r="N19" s="167" t="s">
        <v>306</v>
      </c>
      <c r="O19" s="167"/>
      <c r="P19" s="20"/>
      <c r="Q19" s="160"/>
      <c r="R19" s="160"/>
      <c r="S19" s="66"/>
    </row>
    <row r="20" spans="1:20" s="203" customFormat="1" x14ac:dyDescent="0.25">
      <c r="A20" s="192" t="s">
        <v>632</v>
      </c>
      <c r="B20" s="193" t="s">
        <v>649</v>
      </c>
      <c r="C20" s="194" t="s">
        <v>58</v>
      </c>
      <c r="D20" s="193" t="s">
        <v>59</v>
      </c>
      <c r="E20" s="193">
        <v>33</v>
      </c>
      <c r="F20" s="195" t="s">
        <v>95</v>
      </c>
      <c r="G20" s="193" t="s">
        <v>99</v>
      </c>
      <c r="H20" s="196">
        <v>49.2</v>
      </c>
      <c r="I20" s="196">
        <v>0</v>
      </c>
      <c r="J20" s="196" t="s">
        <v>35</v>
      </c>
      <c r="K20" s="196" t="s">
        <v>35</v>
      </c>
      <c r="L20" s="197">
        <v>41.546100000000003</v>
      </c>
      <c r="M20" s="197"/>
      <c r="N20" s="198" t="s">
        <v>295</v>
      </c>
      <c r="O20" s="198"/>
      <c r="P20" s="199"/>
      <c r="Q20" s="200"/>
      <c r="R20" s="200"/>
      <c r="S20" s="201"/>
      <c r="T20" s="202"/>
    </row>
    <row r="21" spans="1:20" x14ac:dyDescent="0.25">
      <c r="A21" s="106" t="s">
        <v>632</v>
      </c>
      <c r="B21" s="17" t="s">
        <v>652</v>
      </c>
      <c r="C21" s="22" t="s">
        <v>60</v>
      </c>
      <c r="D21" s="17" t="s">
        <v>61</v>
      </c>
      <c r="E21" s="17">
        <v>33</v>
      </c>
      <c r="F21" s="22" t="s">
        <v>95</v>
      </c>
      <c r="G21" s="17" t="s">
        <v>100</v>
      </c>
      <c r="H21" s="19">
        <v>49.2</v>
      </c>
      <c r="I21" s="19">
        <v>0</v>
      </c>
      <c r="J21" s="19" t="s">
        <v>35</v>
      </c>
      <c r="K21" s="19" t="s">
        <v>35</v>
      </c>
      <c r="L21" s="72">
        <v>18.5562</v>
      </c>
      <c r="M21" s="72"/>
      <c r="N21" s="167" t="s">
        <v>296</v>
      </c>
      <c r="O21" s="167"/>
      <c r="P21" s="20"/>
      <c r="Q21" s="160"/>
      <c r="R21" s="160"/>
      <c r="S21" s="66"/>
    </row>
    <row r="22" spans="1:20" x14ac:dyDescent="0.25">
      <c r="A22" s="106" t="s">
        <v>632</v>
      </c>
      <c r="B22" s="17" t="s">
        <v>653</v>
      </c>
      <c r="C22" s="22" t="s">
        <v>62</v>
      </c>
      <c r="D22" s="17" t="s">
        <v>63</v>
      </c>
      <c r="E22" s="17">
        <v>33</v>
      </c>
      <c r="F22" s="23" t="s">
        <v>95</v>
      </c>
      <c r="G22" s="17" t="s">
        <v>99</v>
      </c>
      <c r="H22" s="19">
        <v>49.2</v>
      </c>
      <c r="I22" s="19">
        <v>0</v>
      </c>
      <c r="J22" s="19" t="s">
        <v>35</v>
      </c>
      <c r="K22" s="19" t="s">
        <v>35</v>
      </c>
      <c r="L22" s="72">
        <v>15.386100000000001</v>
      </c>
      <c r="M22" s="72"/>
      <c r="N22" s="167" t="s">
        <v>312</v>
      </c>
      <c r="O22" s="167"/>
      <c r="P22" s="20"/>
      <c r="Q22" s="160"/>
      <c r="R22" s="160"/>
      <c r="S22" s="66"/>
    </row>
    <row r="23" spans="1:20" x14ac:dyDescent="0.25">
      <c r="A23" s="106" t="s">
        <v>632</v>
      </c>
      <c r="B23" s="17" t="s">
        <v>654</v>
      </c>
      <c r="C23" s="22" t="s">
        <v>64</v>
      </c>
      <c r="D23" s="17" t="s">
        <v>65</v>
      </c>
      <c r="E23" s="17">
        <v>33</v>
      </c>
      <c r="F23" s="23" t="s">
        <v>95</v>
      </c>
      <c r="G23" s="17" t="s">
        <v>99</v>
      </c>
      <c r="H23" s="19">
        <v>49.2</v>
      </c>
      <c r="I23" s="19">
        <v>0</v>
      </c>
      <c r="J23" s="19" t="s">
        <v>35</v>
      </c>
      <c r="K23" s="19" t="s">
        <v>35</v>
      </c>
      <c r="L23" s="72">
        <v>36.419699999999999</v>
      </c>
      <c r="M23" s="72"/>
      <c r="N23" s="167" t="s">
        <v>297</v>
      </c>
      <c r="O23" s="167"/>
      <c r="P23" s="20"/>
      <c r="Q23" s="160"/>
      <c r="R23" s="160"/>
      <c r="S23" s="66"/>
    </row>
    <row r="24" spans="1:20" s="203" customFormat="1" x14ac:dyDescent="0.25">
      <c r="A24" s="192" t="s">
        <v>632</v>
      </c>
      <c r="B24" s="193" t="s">
        <v>654</v>
      </c>
      <c r="C24" s="194" t="s">
        <v>66</v>
      </c>
      <c r="D24" s="193" t="s">
        <v>67</v>
      </c>
      <c r="E24" s="193">
        <v>11</v>
      </c>
      <c r="F24" s="195" t="s">
        <v>96</v>
      </c>
      <c r="G24" s="193" t="s">
        <v>105</v>
      </c>
      <c r="H24" s="196">
        <v>49.2</v>
      </c>
      <c r="I24" s="196">
        <v>0</v>
      </c>
      <c r="J24" s="196" t="s">
        <v>35</v>
      </c>
      <c r="K24" s="196" t="s">
        <v>35</v>
      </c>
      <c r="L24" s="197">
        <v>20.223299999999998</v>
      </c>
      <c r="M24" s="197"/>
      <c r="N24" s="198" t="s">
        <v>298</v>
      </c>
      <c r="O24" s="198"/>
      <c r="P24" s="199"/>
      <c r="Q24" s="200"/>
      <c r="R24" s="200"/>
      <c r="S24" s="201"/>
      <c r="T24" s="202"/>
    </row>
    <row r="25" spans="1:20" x14ac:dyDescent="0.25">
      <c r="A25" s="106" t="s">
        <v>632</v>
      </c>
      <c r="B25" s="17" t="s">
        <v>107</v>
      </c>
      <c r="C25" s="22" t="s">
        <v>68</v>
      </c>
      <c r="D25" s="17" t="s">
        <v>69</v>
      </c>
      <c r="E25" s="17">
        <v>11</v>
      </c>
      <c r="F25" s="22" t="s">
        <v>96</v>
      </c>
      <c r="G25" s="17" t="s">
        <v>102</v>
      </c>
      <c r="H25" s="19">
        <v>49.2</v>
      </c>
      <c r="I25" s="19">
        <v>0</v>
      </c>
      <c r="J25" s="19" t="s">
        <v>35</v>
      </c>
      <c r="K25" s="19" t="s">
        <v>35</v>
      </c>
      <c r="L25" s="72">
        <v>21.537199999999999</v>
      </c>
      <c r="M25" s="72"/>
      <c r="N25" s="167" t="s">
        <v>299</v>
      </c>
      <c r="O25" s="167"/>
      <c r="P25" s="20"/>
      <c r="Q25" s="160"/>
      <c r="R25" s="160"/>
      <c r="S25" s="66"/>
    </row>
    <row r="26" spans="1:20" x14ac:dyDescent="0.25">
      <c r="A26" s="106" t="s">
        <v>632</v>
      </c>
      <c r="B26" s="17" t="s">
        <v>107</v>
      </c>
      <c r="C26" s="22" t="s">
        <v>68</v>
      </c>
      <c r="D26" s="17" t="s">
        <v>69</v>
      </c>
      <c r="E26" s="17">
        <v>33</v>
      </c>
      <c r="F26" s="22" t="s">
        <v>97</v>
      </c>
      <c r="G26" s="17" t="s">
        <v>103</v>
      </c>
      <c r="H26" s="19">
        <v>49.2</v>
      </c>
      <c r="I26" s="19">
        <v>0</v>
      </c>
      <c r="J26" s="19" t="s">
        <v>35</v>
      </c>
      <c r="K26" s="19" t="s">
        <v>35</v>
      </c>
      <c r="L26" s="72">
        <v>25.2821</v>
      </c>
      <c r="M26" s="72"/>
      <c r="N26" s="167" t="s">
        <v>300</v>
      </c>
      <c r="O26" s="167"/>
      <c r="P26" s="20"/>
      <c r="Q26" s="160"/>
      <c r="R26" s="160"/>
      <c r="S26" s="66"/>
    </row>
    <row r="27" spans="1:20" x14ac:dyDescent="0.25">
      <c r="A27" s="106" t="s">
        <v>632</v>
      </c>
      <c r="B27" s="17" t="s">
        <v>107</v>
      </c>
      <c r="C27" s="22" t="s">
        <v>84</v>
      </c>
      <c r="D27" s="17" t="s">
        <v>85</v>
      </c>
      <c r="E27" s="17">
        <v>33</v>
      </c>
      <c r="F27" s="23" t="s">
        <v>98</v>
      </c>
      <c r="G27" s="86" t="s">
        <v>104</v>
      </c>
      <c r="H27" s="19">
        <v>49.2</v>
      </c>
      <c r="I27" s="19">
        <v>0</v>
      </c>
      <c r="J27" s="19" t="s">
        <v>35</v>
      </c>
      <c r="K27" s="19" t="s">
        <v>35</v>
      </c>
      <c r="L27" s="72">
        <v>61.577100000000002</v>
      </c>
      <c r="M27" s="72"/>
      <c r="N27" s="167" t="s">
        <v>320</v>
      </c>
      <c r="O27" s="167"/>
      <c r="P27" s="20"/>
      <c r="Q27" s="160"/>
      <c r="R27" s="160"/>
      <c r="S27" s="66"/>
    </row>
    <row r="28" spans="1:20" s="203" customFormat="1" x14ac:dyDescent="0.25">
      <c r="A28" s="192" t="s">
        <v>632</v>
      </c>
      <c r="B28" s="193" t="s">
        <v>107</v>
      </c>
      <c r="C28" s="194" t="s">
        <v>92</v>
      </c>
      <c r="D28" s="193" t="s">
        <v>93</v>
      </c>
      <c r="E28" s="193">
        <v>33</v>
      </c>
      <c r="F28" s="194" t="s">
        <v>97</v>
      </c>
      <c r="G28" s="204" t="s">
        <v>103</v>
      </c>
      <c r="H28" s="196">
        <v>49.2</v>
      </c>
      <c r="I28" s="196">
        <v>0</v>
      </c>
      <c r="J28" s="196" t="s">
        <v>35</v>
      </c>
      <c r="K28" s="196" t="s">
        <v>35</v>
      </c>
      <c r="L28" s="197">
        <v>83.921099999999996</v>
      </c>
      <c r="M28" s="197"/>
      <c r="N28" s="198" t="s">
        <v>311</v>
      </c>
      <c r="O28" s="198"/>
      <c r="P28" s="199"/>
      <c r="Q28" s="200"/>
      <c r="R28" s="200"/>
      <c r="S28" s="201"/>
      <c r="T28" s="202"/>
    </row>
    <row r="29" spans="1:20" x14ac:dyDescent="0.25">
      <c r="A29" s="106" t="s">
        <v>632</v>
      </c>
      <c r="B29" s="17" t="s">
        <v>45</v>
      </c>
      <c r="C29" s="22" t="s">
        <v>72</v>
      </c>
      <c r="D29" s="17" t="s">
        <v>73</v>
      </c>
      <c r="E29" s="17">
        <v>33</v>
      </c>
      <c r="F29" s="23" t="s">
        <v>95</v>
      </c>
      <c r="G29" s="17" t="s">
        <v>100</v>
      </c>
      <c r="H29" s="19">
        <v>49.2</v>
      </c>
      <c r="I29" s="19">
        <v>0</v>
      </c>
      <c r="J29" s="19" t="s">
        <v>35</v>
      </c>
      <c r="K29" s="19" t="s">
        <v>35</v>
      </c>
      <c r="L29" s="72">
        <v>76.023399999999995</v>
      </c>
      <c r="M29" s="72"/>
      <c r="N29" s="167" t="s">
        <v>302</v>
      </c>
      <c r="O29" s="167"/>
      <c r="P29" s="20"/>
      <c r="Q29" s="160"/>
      <c r="R29" s="160"/>
      <c r="S29" s="66"/>
    </row>
    <row r="30" spans="1:20" x14ac:dyDescent="0.25">
      <c r="A30" s="106" t="s">
        <v>632</v>
      </c>
      <c r="B30" s="17" t="s">
        <v>651</v>
      </c>
      <c r="C30" s="22" t="s">
        <v>74</v>
      </c>
      <c r="D30" s="17" t="s">
        <v>75</v>
      </c>
      <c r="E30" s="17">
        <v>33</v>
      </c>
      <c r="F30" s="23" t="s">
        <v>95</v>
      </c>
      <c r="G30" s="17" t="s">
        <v>99</v>
      </c>
      <c r="H30" s="19">
        <v>49.2</v>
      </c>
      <c r="I30" s="19">
        <v>0</v>
      </c>
      <c r="J30" s="19" t="s">
        <v>35</v>
      </c>
      <c r="K30" s="19" t="s">
        <v>35</v>
      </c>
      <c r="L30" s="72">
        <v>28.447500000000002</v>
      </c>
      <c r="M30" s="72"/>
      <c r="N30" s="167" t="s">
        <v>303</v>
      </c>
      <c r="O30" s="167"/>
      <c r="P30" s="20"/>
      <c r="Q30" s="160"/>
      <c r="R30" s="160"/>
      <c r="S30" s="66"/>
    </row>
    <row r="31" spans="1:20" x14ac:dyDescent="0.25">
      <c r="A31" s="106" t="s">
        <v>632</v>
      </c>
      <c r="B31" s="17" t="s">
        <v>651</v>
      </c>
      <c r="C31" s="22" t="s">
        <v>76</v>
      </c>
      <c r="D31" s="17" t="s">
        <v>77</v>
      </c>
      <c r="E31" s="17">
        <v>33</v>
      </c>
      <c r="F31" s="23" t="s">
        <v>95</v>
      </c>
      <c r="G31" s="17" t="s">
        <v>99</v>
      </c>
      <c r="H31" s="19">
        <v>49.2</v>
      </c>
      <c r="I31" s="19">
        <v>0</v>
      </c>
      <c r="J31" s="19" t="s">
        <v>35</v>
      </c>
      <c r="K31" s="19" t="s">
        <v>35</v>
      </c>
      <c r="L31" s="72">
        <v>89.868300000000005</v>
      </c>
      <c r="M31" s="72"/>
      <c r="N31" s="167" t="s">
        <v>304</v>
      </c>
      <c r="O31" s="167"/>
      <c r="P31" s="20"/>
      <c r="Q31" s="160">
        <v>0.9</v>
      </c>
      <c r="R31" s="160">
        <v>30</v>
      </c>
      <c r="S31" s="66">
        <v>1</v>
      </c>
    </row>
    <row r="32" spans="1:20" s="203" customFormat="1" x14ac:dyDescent="0.25">
      <c r="A32" s="192" t="s">
        <v>632</v>
      </c>
      <c r="B32" s="205" t="s">
        <v>651</v>
      </c>
      <c r="C32" s="206" t="s">
        <v>78</v>
      </c>
      <c r="D32" s="205" t="s">
        <v>79</v>
      </c>
      <c r="E32" s="205">
        <v>33</v>
      </c>
      <c r="F32" s="207" t="s">
        <v>95</v>
      </c>
      <c r="G32" s="205" t="s">
        <v>99</v>
      </c>
      <c r="H32" s="208">
        <v>49.2</v>
      </c>
      <c r="I32" s="208">
        <v>0</v>
      </c>
      <c r="J32" s="208" t="s">
        <v>35</v>
      </c>
      <c r="K32" s="208" t="s">
        <v>35</v>
      </c>
      <c r="L32" s="197">
        <v>71.005499999999998</v>
      </c>
      <c r="M32" s="197"/>
      <c r="N32" s="209" t="s">
        <v>305</v>
      </c>
      <c r="O32" s="209"/>
      <c r="P32" s="199"/>
      <c r="Q32" s="200"/>
      <c r="R32" s="200"/>
      <c r="S32" s="201"/>
      <c r="T32" s="202"/>
    </row>
    <row r="33" spans="1:20" s="203" customFormat="1" x14ac:dyDescent="0.25">
      <c r="A33" s="192" t="s">
        <v>632</v>
      </c>
      <c r="B33" s="193" t="s">
        <v>651</v>
      </c>
      <c r="C33" s="194" t="s">
        <v>70</v>
      </c>
      <c r="D33" s="193" t="s">
        <v>71</v>
      </c>
      <c r="E33" s="193">
        <v>33</v>
      </c>
      <c r="F33" s="195" t="s">
        <v>95</v>
      </c>
      <c r="G33" s="193" t="s">
        <v>106</v>
      </c>
      <c r="H33" s="196">
        <v>49.2</v>
      </c>
      <c r="I33" s="196">
        <v>0</v>
      </c>
      <c r="J33" s="196" t="s">
        <v>35</v>
      </c>
      <c r="K33" s="196" t="s">
        <v>35</v>
      </c>
      <c r="L33" s="197">
        <v>25.6995</v>
      </c>
      <c r="M33" s="197"/>
      <c r="N33" s="198" t="s">
        <v>301</v>
      </c>
      <c r="O33" s="198"/>
      <c r="P33" s="199"/>
      <c r="Q33" s="200"/>
      <c r="R33" s="200"/>
      <c r="S33" s="201"/>
      <c r="T33" s="202"/>
    </row>
    <row r="34" spans="1:20" x14ac:dyDescent="0.25">
      <c r="A34" s="106" t="s">
        <v>632</v>
      </c>
      <c r="B34" s="17" t="s">
        <v>651</v>
      </c>
      <c r="C34" s="22" t="s">
        <v>88</v>
      </c>
      <c r="D34" s="17" t="s">
        <v>89</v>
      </c>
      <c r="E34" s="17">
        <v>33</v>
      </c>
      <c r="F34" s="22" t="s">
        <v>109</v>
      </c>
      <c r="G34" s="17" t="s">
        <v>110</v>
      </c>
      <c r="H34" s="19">
        <v>49.2</v>
      </c>
      <c r="I34" s="19">
        <v>0</v>
      </c>
      <c r="J34" s="19" t="s">
        <v>35</v>
      </c>
      <c r="K34" s="19" t="s">
        <v>35</v>
      </c>
      <c r="L34" s="72">
        <v>157.1371</v>
      </c>
      <c r="M34" s="72"/>
      <c r="N34" s="167" t="s">
        <v>309</v>
      </c>
      <c r="O34" s="167"/>
      <c r="P34" s="20"/>
      <c r="Q34" s="160"/>
      <c r="R34" s="160"/>
      <c r="S34" s="66"/>
    </row>
    <row r="35" spans="1:20" s="203" customFormat="1" x14ac:dyDescent="0.25">
      <c r="A35" s="192" t="s">
        <v>632</v>
      </c>
      <c r="B35" s="193" t="s">
        <v>651</v>
      </c>
      <c r="C35" s="194" t="s">
        <v>90</v>
      </c>
      <c r="D35" s="193" t="s">
        <v>91</v>
      </c>
      <c r="E35" s="193">
        <v>33</v>
      </c>
      <c r="F35" s="194" t="s">
        <v>97</v>
      </c>
      <c r="G35" s="193" t="s">
        <v>103</v>
      </c>
      <c r="H35" s="196">
        <v>49.2</v>
      </c>
      <c r="I35" s="196">
        <v>0</v>
      </c>
      <c r="J35" s="196" t="s">
        <v>35</v>
      </c>
      <c r="K35" s="196" t="s">
        <v>35</v>
      </c>
      <c r="L35" s="197">
        <v>60.792400000000001</v>
      </c>
      <c r="M35" s="197"/>
      <c r="N35" s="198" t="s">
        <v>310</v>
      </c>
      <c r="O35" s="198"/>
      <c r="P35" s="199"/>
      <c r="Q35" s="200"/>
      <c r="R35" s="200"/>
      <c r="S35" s="201"/>
      <c r="T35" s="202"/>
    </row>
    <row r="36" spans="1:20" s="203" customFormat="1" x14ac:dyDescent="0.25">
      <c r="A36" s="192" t="s">
        <v>632</v>
      </c>
      <c r="B36" s="193" t="s">
        <v>655</v>
      </c>
      <c r="C36" s="194" t="s">
        <v>86</v>
      </c>
      <c r="D36" s="193" t="s">
        <v>87</v>
      </c>
      <c r="E36" s="193">
        <v>11</v>
      </c>
      <c r="F36" s="194" t="s">
        <v>96</v>
      </c>
      <c r="G36" s="193" t="s">
        <v>102</v>
      </c>
      <c r="H36" s="196">
        <v>49.2</v>
      </c>
      <c r="I36" s="196">
        <v>0</v>
      </c>
      <c r="J36" s="196" t="s">
        <v>35</v>
      </c>
      <c r="K36" s="196" t="s">
        <v>35</v>
      </c>
      <c r="L36" s="197">
        <v>17.210699999999999</v>
      </c>
      <c r="M36" s="197"/>
      <c r="N36" s="198" t="s">
        <v>308</v>
      </c>
      <c r="O36" s="198"/>
      <c r="P36" s="199"/>
      <c r="Q36" s="200"/>
      <c r="R36" s="200"/>
      <c r="S36" s="201"/>
      <c r="T36" s="202"/>
    </row>
    <row r="37" spans="1:20" x14ac:dyDescent="0.25">
      <c r="A37" s="106" t="s">
        <v>632</v>
      </c>
      <c r="B37" s="17" t="s">
        <v>655</v>
      </c>
      <c r="C37" s="22" t="s">
        <v>82</v>
      </c>
      <c r="D37" s="17" t="s">
        <v>83</v>
      </c>
      <c r="E37" s="17">
        <v>33</v>
      </c>
      <c r="F37" s="22" t="s">
        <v>95</v>
      </c>
      <c r="G37" s="17" t="s">
        <v>99</v>
      </c>
      <c r="H37" s="19">
        <v>49.2</v>
      </c>
      <c r="I37" s="19">
        <v>0</v>
      </c>
      <c r="J37" s="19" t="s">
        <v>35</v>
      </c>
      <c r="K37" s="19" t="s">
        <v>35</v>
      </c>
      <c r="L37" s="72">
        <v>42.691000000000003</v>
      </c>
      <c r="M37" s="72"/>
      <c r="N37" s="167" t="s">
        <v>307</v>
      </c>
      <c r="O37" s="167"/>
      <c r="P37" s="20"/>
      <c r="Q37" s="160"/>
      <c r="R37" s="160"/>
      <c r="S37" s="66"/>
    </row>
    <row r="38" spans="1:20" x14ac:dyDescent="0.25">
      <c r="A38" s="104" t="s">
        <v>634</v>
      </c>
      <c r="B38" s="7" t="s">
        <v>107</v>
      </c>
      <c r="C38" s="6" t="s">
        <v>111</v>
      </c>
      <c r="D38" s="7" t="s">
        <v>112</v>
      </c>
      <c r="E38" s="7">
        <v>33</v>
      </c>
      <c r="F38" s="6" t="s">
        <v>97</v>
      </c>
      <c r="G38" s="7" t="s">
        <v>103</v>
      </c>
      <c r="H38" s="8">
        <v>49.1</v>
      </c>
      <c r="I38" s="8">
        <v>0</v>
      </c>
      <c r="J38" s="8" t="s">
        <v>35</v>
      </c>
      <c r="K38" s="8" t="s">
        <v>35</v>
      </c>
      <c r="L38" s="73">
        <v>22.373200000000001</v>
      </c>
      <c r="M38" s="73"/>
      <c r="N38" s="163" t="s">
        <v>313</v>
      </c>
      <c r="O38" s="163"/>
      <c r="P38" s="124"/>
      <c r="Q38" s="160"/>
      <c r="R38" s="160"/>
      <c r="S38" s="66"/>
    </row>
    <row r="39" spans="1:20" x14ac:dyDescent="0.25">
      <c r="A39" s="104" t="s">
        <v>634</v>
      </c>
      <c r="B39" s="7" t="s">
        <v>107</v>
      </c>
      <c r="C39" s="6" t="s">
        <v>113</v>
      </c>
      <c r="D39" s="7" t="s">
        <v>114</v>
      </c>
      <c r="E39" s="7">
        <v>33</v>
      </c>
      <c r="F39" s="6" t="s">
        <v>97</v>
      </c>
      <c r="G39" s="7" t="s">
        <v>104</v>
      </c>
      <c r="H39" s="8">
        <v>49.1</v>
      </c>
      <c r="I39" s="8">
        <v>0</v>
      </c>
      <c r="J39" s="8" t="s">
        <v>35</v>
      </c>
      <c r="K39" s="8" t="s">
        <v>35</v>
      </c>
      <c r="L39" s="73">
        <v>24.6724</v>
      </c>
      <c r="M39" s="73"/>
      <c r="N39" s="163" t="s">
        <v>314</v>
      </c>
      <c r="O39" s="163"/>
      <c r="P39" s="124"/>
      <c r="Q39" s="160"/>
      <c r="R39" s="160"/>
      <c r="S39" s="66"/>
    </row>
    <row r="40" spans="1:20" x14ac:dyDescent="0.25">
      <c r="A40" s="104" t="s">
        <v>634</v>
      </c>
      <c r="B40" s="7" t="s">
        <v>107</v>
      </c>
      <c r="C40" s="6" t="s">
        <v>115</v>
      </c>
      <c r="D40" s="7" t="s">
        <v>116</v>
      </c>
      <c r="E40" s="7">
        <v>33</v>
      </c>
      <c r="F40" s="6" t="s">
        <v>95</v>
      </c>
      <c r="G40" s="7" t="s">
        <v>99</v>
      </c>
      <c r="H40" s="8">
        <v>49.1</v>
      </c>
      <c r="I40" s="8">
        <v>0</v>
      </c>
      <c r="J40" s="8" t="s">
        <v>35</v>
      </c>
      <c r="K40" s="8" t="s">
        <v>35</v>
      </c>
      <c r="L40" s="73">
        <v>32.143300000000004</v>
      </c>
      <c r="M40" s="73"/>
      <c r="N40" s="163" t="s">
        <v>315</v>
      </c>
      <c r="O40" s="163"/>
      <c r="P40" s="124"/>
      <c r="Q40" s="160"/>
      <c r="R40" s="160"/>
      <c r="S40" s="66"/>
    </row>
    <row r="41" spans="1:20" x14ac:dyDescent="0.25">
      <c r="A41" s="104" t="s">
        <v>634</v>
      </c>
      <c r="B41" s="7" t="s">
        <v>107</v>
      </c>
      <c r="C41" s="6" t="s">
        <v>135</v>
      </c>
      <c r="D41" s="7" t="s">
        <v>136</v>
      </c>
      <c r="E41" s="7">
        <v>33</v>
      </c>
      <c r="F41" s="6" t="s">
        <v>147</v>
      </c>
      <c r="G41" s="7" t="s">
        <v>99</v>
      </c>
      <c r="H41" s="8">
        <v>49.1</v>
      </c>
      <c r="I41" s="8">
        <v>0</v>
      </c>
      <c r="J41" s="8" t="s">
        <v>35</v>
      </c>
      <c r="K41" s="8" t="s">
        <v>35</v>
      </c>
      <c r="L41" s="73">
        <v>8.5343</v>
      </c>
      <c r="M41" s="73"/>
      <c r="N41" s="163" t="s">
        <v>331</v>
      </c>
      <c r="O41" s="163"/>
      <c r="P41" s="124"/>
      <c r="Q41" s="160"/>
      <c r="R41" s="160"/>
      <c r="S41" s="66"/>
    </row>
    <row r="42" spans="1:20" x14ac:dyDescent="0.25">
      <c r="A42" s="104" t="s">
        <v>634</v>
      </c>
      <c r="B42" s="7" t="s">
        <v>651</v>
      </c>
      <c r="C42" s="6" t="s">
        <v>143</v>
      </c>
      <c r="D42" s="7" t="s">
        <v>144</v>
      </c>
      <c r="E42" s="7">
        <v>33</v>
      </c>
      <c r="F42" s="6" t="s">
        <v>148</v>
      </c>
      <c r="G42" s="7" t="s">
        <v>154</v>
      </c>
      <c r="H42" s="8">
        <v>49.1</v>
      </c>
      <c r="I42" s="8">
        <v>0</v>
      </c>
      <c r="J42" s="8" t="s">
        <v>35</v>
      </c>
      <c r="K42" s="8" t="s">
        <v>35</v>
      </c>
      <c r="L42" s="73">
        <v>123.2475</v>
      </c>
      <c r="M42" s="73"/>
      <c r="N42" s="163" t="s">
        <v>327</v>
      </c>
      <c r="O42" s="163"/>
      <c r="P42" s="124"/>
      <c r="Q42" s="160"/>
      <c r="R42" s="160"/>
      <c r="S42" s="66"/>
    </row>
    <row r="43" spans="1:20" x14ac:dyDescent="0.25">
      <c r="A43" s="104" t="s">
        <v>634</v>
      </c>
      <c r="B43" s="7" t="s">
        <v>651</v>
      </c>
      <c r="C43" s="6" t="s">
        <v>121</v>
      </c>
      <c r="D43" s="7" t="s">
        <v>122</v>
      </c>
      <c r="E43" s="7">
        <v>11</v>
      </c>
      <c r="F43" s="6" t="s">
        <v>96</v>
      </c>
      <c r="G43" s="7" t="s">
        <v>102</v>
      </c>
      <c r="H43" s="8">
        <v>49.1</v>
      </c>
      <c r="I43" s="8">
        <v>0</v>
      </c>
      <c r="J43" s="8" t="s">
        <v>35</v>
      </c>
      <c r="K43" s="8" t="s">
        <v>35</v>
      </c>
      <c r="L43" s="73">
        <v>24.516100000000002</v>
      </c>
      <c r="M43" s="73"/>
      <c r="N43" s="163" t="s">
        <v>318</v>
      </c>
      <c r="O43" s="163"/>
      <c r="P43" s="124"/>
      <c r="Q43" s="160"/>
      <c r="R43" s="160"/>
      <c r="S43" s="66"/>
    </row>
    <row r="44" spans="1:20" x14ac:dyDescent="0.25">
      <c r="A44" s="104" t="s">
        <v>634</v>
      </c>
      <c r="B44" s="7" t="s">
        <v>650</v>
      </c>
      <c r="C44" s="6" t="s">
        <v>123</v>
      </c>
      <c r="D44" s="7" t="s">
        <v>124</v>
      </c>
      <c r="E44" s="7">
        <v>230</v>
      </c>
      <c r="F44" s="6" t="s">
        <v>149</v>
      </c>
      <c r="G44" s="7" t="s">
        <v>151</v>
      </c>
      <c r="H44" s="8">
        <v>49.1</v>
      </c>
      <c r="I44" s="8">
        <v>0</v>
      </c>
      <c r="J44" s="8" t="s">
        <v>35</v>
      </c>
      <c r="K44" s="8" t="s">
        <v>35</v>
      </c>
      <c r="L44" s="73" t="s">
        <v>692</v>
      </c>
      <c r="M44" s="73"/>
      <c r="N44" s="163" t="s">
        <v>339</v>
      </c>
      <c r="O44" s="163"/>
      <c r="P44" s="124"/>
      <c r="Q44" s="160"/>
      <c r="R44" s="160"/>
      <c r="S44" s="66"/>
    </row>
    <row r="45" spans="1:20" x14ac:dyDescent="0.25">
      <c r="A45" s="104" t="s">
        <v>634</v>
      </c>
      <c r="B45" s="7" t="s">
        <v>650</v>
      </c>
      <c r="C45" s="6" t="s">
        <v>125</v>
      </c>
      <c r="D45" s="7" t="s">
        <v>126</v>
      </c>
      <c r="E45" s="7">
        <v>22</v>
      </c>
      <c r="F45" s="6" t="s">
        <v>94</v>
      </c>
      <c r="G45" s="7" t="s">
        <v>99</v>
      </c>
      <c r="H45" s="8">
        <v>49.1</v>
      </c>
      <c r="I45" s="8">
        <v>0</v>
      </c>
      <c r="J45" s="8" t="s">
        <v>35</v>
      </c>
      <c r="K45" s="8" t="s">
        <v>35</v>
      </c>
      <c r="L45" s="73">
        <v>29.3428</v>
      </c>
      <c r="M45" s="73"/>
      <c r="N45" s="163" t="s">
        <v>322</v>
      </c>
      <c r="O45" s="163"/>
      <c r="P45" s="124"/>
      <c r="Q45" s="160"/>
      <c r="R45" s="160"/>
      <c r="S45" s="66"/>
    </row>
    <row r="46" spans="1:20" x14ac:dyDescent="0.25">
      <c r="A46" s="104" t="s">
        <v>634</v>
      </c>
      <c r="B46" s="7" t="s">
        <v>652</v>
      </c>
      <c r="C46" s="6" t="s">
        <v>129</v>
      </c>
      <c r="D46" s="7" t="s">
        <v>130</v>
      </c>
      <c r="E46" s="7">
        <v>132</v>
      </c>
      <c r="F46" s="6" t="s">
        <v>258</v>
      </c>
      <c r="G46" s="7" t="s">
        <v>152</v>
      </c>
      <c r="H46" s="8">
        <v>49.1</v>
      </c>
      <c r="I46" s="8">
        <v>0</v>
      </c>
      <c r="J46" s="8" t="s">
        <v>35</v>
      </c>
      <c r="K46" s="8" t="s">
        <v>35</v>
      </c>
      <c r="L46" s="73">
        <v>30</v>
      </c>
      <c r="M46" s="73"/>
      <c r="N46" s="163" t="s">
        <v>329</v>
      </c>
      <c r="O46" s="163"/>
      <c r="P46" s="124"/>
      <c r="Q46" s="160"/>
      <c r="R46" s="160"/>
      <c r="S46" s="66"/>
    </row>
    <row r="47" spans="1:20" x14ac:dyDescent="0.25">
      <c r="A47" s="104" t="s">
        <v>634</v>
      </c>
      <c r="B47" s="7" t="s">
        <v>654</v>
      </c>
      <c r="C47" s="6" t="s">
        <v>131</v>
      </c>
      <c r="D47" s="7" t="s">
        <v>132</v>
      </c>
      <c r="E47" s="7">
        <v>132</v>
      </c>
      <c r="F47" s="6" t="s">
        <v>150</v>
      </c>
      <c r="G47" s="7" t="s">
        <v>39</v>
      </c>
      <c r="H47" s="8">
        <v>49.1</v>
      </c>
      <c r="I47" s="8">
        <v>0</v>
      </c>
      <c r="J47" s="8" t="s">
        <v>35</v>
      </c>
      <c r="K47" s="8" t="s">
        <v>35</v>
      </c>
      <c r="L47" s="73">
        <v>36</v>
      </c>
      <c r="M47" s="73"/>
      <c r="N47" s="163" t="s">
        <v>330</v>
      </c>
      <c r="O47" s="163"/>
      <c r="P47" s="124"/>
      <c r="Q47" s="160"/>
      <c r="R47" s="160"/>
      <c r="S47" s="66"/>
    </row>
    <row r="48" spans="1:20" x14ac:dyDescent="0.25">
      <c r="A48" s="104" t="s">
        <v>634</v>
      </c>
      <c r="B48" s="7" t="s">
        <v>45</v>
      </c>
      <c r="C48" s="6" t="s">
        <v>127</v>
      </c>
      <c r="D48" s="7" t="s">
        <v>128</v>
      </c>
      <c r="E48" s="7">
        <v>33</v>
      </c>
      <c r="F48" s="6" t="s">
        <v>95</v>
      </c>
      <c r="G48" s="7" t="s">
        <v>99</v>
      </c>
      <c r="H48" s="8">
        <v>49.1</v>
      </c>
      <c r="I48" s="8">
        <v>0</v>
      </c>
      <c r="J48" s="8" t="s">
        <v>35</v>
      </c>
      <c r="K48" s="8" t="s">
        <v>35</v>
      </c>
      <c r="L48" s="73">
        <v>77.918000000000006</v>
      </c>
      <c r="M48" s="73"/>
      <c r="N48" s="163" t="s">
        <v>319</v>
      </c>
      <c r="O48" s="163"/>
      <c r="P48" s="124"/>
      <c r="Q48" s="160"/>
      <c r="R48" s="160"/>
      <c r="S48" s="66"/>
    </row>
    <row r="49" spans="1:20" x14ac:dyDescent="0.25">
      <c r="A49" s="104" t="s">
        <v>634</v>
      </c>
      <c r="B49" s="7" t="s">
        <v>45</v>
      </c>
      <c r="C49" s="6" t="s">
        <v>133</v>
      </c>
      <c r="D49" s="7" t="s">
        <v>134</v>
      </c>
      <c r="E49" s="7">
        <v>33</v>
      </c>
      <c r="F49" s="6" t="s">
        <v>148</v>
      </c>
      <c r="G49" s="7" t="s">
        <v>155</v>
      </c>
      <c r="H49" s="8">
        <v>49.1</v>
      </c>
      <c r="I49" s="8">
        <v>0</v>
      </c>
      <c r="J49" s="8" t="s">
        <v>35</v>
      </c>
      <c r="K49" s="8" t="s">
        <v>35</v>
      </c>
      <c r="L49" s="73">
        <v>72.869799999999998</v>
      </c>
      <c r="M49" s="73"/>
      <c r="N49" s="163" t="s">
        <v>323</v>
      </c>
      <c r="O49" s="163"/>
      <c r="P49" s="124"/>
      <c r="Q49" s="160"/>
      <c r="R49" s="160"/>
      <c r="S49" s="66"/>
    </row>
    <row r="50" spans="1:20" x14ac:dyDescent="0.25">
      <c r="A50" s="104" t="s">
        <v>634</v>
      </c>
      <c r="B50" s="7" t="s">
        <v>45</v>
      </c>
      <c r="C50" s="6" t="s">
        <v>119</v>
      </c>
      <c r="D50" s="7" t="s">
        <v>120</v>
      </c>
      <c r="E50" s="7">
        <v>33</v>
      </c>
      <c r="F50" s="6" t="s">
        <v>146</v>
      </c>
      <c r="G50" s="7" t="s">
        <v>99</v>
      </c>
      <c r="H50" s="8">
        <v>49.1</v>
      </c>
      <c r="I50" s="8">
        <v>0</v>
      </c>
      <c r="J50" s="8" t="s">
        <v>35</v>
      </c>
      <c r="K50" s="8" t="s">
        <v>35</v>
      </c>
      <c r="L50" s="73">
        <v>64</v>
      </c>
      <c r="M50" s="73"/>
      <c r="N50" s="163" t="s">
        <v>317</v>
      </c>
      <c r="O50" s="163"/>
      <c r="P50" s="124"/>
      <c r="Q50" s="160"/>
      <c r="R50" s="160"/>
      <c r="S50" s="66"/>
    </row>
    <row r="51" spans="1:20" s="191" customFormat="1" x14ac:dyDescent="0.25">
      <c r="A51" s="173" t="s">
        <v>634</v>
      </c>
      <c r="B51" s="185" t="s">
        <v>195</v>
      </c>
      <c r="C51" s="186" t="s">
        <v>137</v>
      </c>
      <c r="D51" s="185" t="s">
        <v>138</v>
      </c>
      <c r="E51" s="185">
        <v>33</v>
      </c>
      <c r="F51" s="186" t="s">
        <v>340</v>
      </c>
      <c r="G51" s="185" t="s">
        <v>187</v>
      </c>
      <c r="H51" s="187">
        <v>49.1</v>
      </c>
      <c r="I51" s="187">
        <v>0</v>
      </c>
      <c r="J51" s="187" t="s">
        <v>35</v>
      </c>
      <c r="K51" s="187" t="s">
        <v>35</v>
      </c>
      <c r="L51" s="188">
        <v>67.903099999999995</v>
      </c>
      <c r="M51" s="188"/>
      <c r="N51" s="189" t="s">
        <v>324</v>
      </c>
      <c r="O51" s="189"/>
      <c r="P51" s="186" t="s">
        <v>749</v>
      </c>
      <c r="Q51" s="189"/>
      <c r="R51" s="189"/>
      <c r="S51" s="185"/>
      <c r="T51" s="190"/>
    </row>
    <row r="52" spans="1:20" x14ac:dyDescent="0.25">
      <c r="A52" s="104" t="s">
        <v>634</v>
      </c>
      <c r="B52" s="7" t="s">
        <v>577</v>
      </c>
      <c r="C52" s="6" t="s">
        <v>139</v>
      </c>
      <c r="D52" s="7" t="s">
        <v>140</v>
      </c>
      <c r="E52" s="7">
        <v>11</v>
      </c>
      <c r="F52" s="6" t="s">
        <v>96</v>
      </c>
      <c r="G52" s="7" t="s">
        <v>102</v>
      </c>
      <c r="H52" s="8">
        <v>49.1</v>
      </c>
      <c r="I52" s="8">
        <v>0</v>
      </c>
      <c r="J52" s="8" t="s">
        <v>35</v>
      </c>
      <c r="K52" s="8" t="s">
        <v>35</v>
      </c>
      <c r="L52" s="73">
        <v>20.286300000000001</v>
      </c>
      <c r="M52" s="73"/>
      <c r="N52" s="163" t="s">
        <v>325</v>
      </c>
      <c r="O52" s="163"/>
      <c r="P52" s="124"/>
      <c r="Q52" s="160"/>
      <c r="R52" s="160"/>
      <c r="S52" s="66"/>
    </row>
    <row r="53" spans="1:20" s="183" customFormat="1" x14ac:dyDescent="0.25">
      <c r="A53" s="173" t="s">
        <v>634</v>
      </c>
      <c r="B53" s="174" t="s">
        <v>649</v>
      </c>
      <c r="C53" s="175" t="s">
        <v>117</v>
      </c>
      <c r="D53" s="174" t="s">
        <v>118</v>
      </c>
      <c r="E53" s="174">
        <v>33</v>
      </c>
      <c r="F53" s="175" t="s">
        <v>95</v>
      </c>
      <c r="G53" s="184" t="s">
        <v>99</v>
      </c>
      <c r="H53" s="176">
        <v>49.1</v>
      </c>
      <c r="I53" s="176">
        <v>0</v>
      </c>
      <c r="J53" s="176" t="s">
        <v>35</v>
      </c>
      <c r="K53" s="176" t="s">
        <v>35</v>
      </c>
      <c r="L53" s="177">
        <v>74.321299999999994</v>
      </c>
      <c r="M53" s="177"/>
      <c r="N53" s="178" t="s">
        <v>316</v>
      </c>
      <c r="O53" s="178"/>
      <c r="P53" s="179"/>
      <c r="Q53" s="180"/>
      <c r="R53" s="180"/>
      <c r="S53" s="181"/>
      <c r="T53" s="182"/>
    </row>
    <row r="54" spans="1:20" x14ac:dyDescent="0.25">
      <c r="A54" s="104" t="s">
        <v>634</v>
      </c>
      <c r="B54" s="7" t="s">
        <v>649</v>
      </c>
      <c r="C54" s="6" t="s">
        <v>141</v>
      </c>
      <c r="D54" s="7" t="s">
        <v>142</v>
      </c>
      <c r="E54" s="7">
        <v>33</v>
      </c>
      <c r="F54" s="58" t="s">
        <v>97</v>
      </c>
      <c r="G54" s="7" t="s">
        <v>153</v>
      </c>
      <c r="H54" s="8">
        <v>49.1</v>
      </c>
      <c r="I54" s="8">
        <v>0</v>
      </c>
      <c r="J54" s="8" t="s">
        <v>35</v>
      </c>
      <c r="K54" s="8" t="s">
        <v>35</v>
      </c>
      <c r="L54" s="73">
        <v>51.971400000000003</v>
      </c>
      <c r="M54" s="73"/>
      <c r="N54" s="163" t="s">
        <v>326</v>
      </c>
      <c r="O54" s="163"/>
      <c r="P54" s="124"/>
      <c r="Q54" s="160"/>
      <c r="R54" s="160"/>
      <c r="S54" s="66"/>
    </row>
    <row r="55" spans="1:20" x14ac:dyDescent="0.25">
      <c r="A55" s="104" t="s">
        <v>634</v>
      </c>
      <c r="B55" s="7" t="s">
        <v>649</v>
      </c>
      <c r="C55" s="6" t="s">
        <v>141</v>
      </c>
      <c r="D55" s="7" t="s">
        <v>142</v>
      </c>
      <c r="E55" s="7">
        <v>11</v>
      </c>
      <c r="F55" s="58" t="s">
        <v>96</v>
      </c>
      <c r="G55" s="7" t="s">
        <v>101</v>
      </c>
      <c r="H55" s="8">
        <v>49.1</v>
      </c>
      <c r="I55" s="8">
        <v>0</v>
      </c>
      <c r="J55" s="8" t="s">
        <v>35</v>
      </c>
      <c r="K55" s="8" t="s">
        <v>35</v>
      </c>
      <c r="L55" s="73">
        <v>31.654699999999998</v>
      </c>
      <c r="M55" s="73"/>
      <c r="N55" s="163" t="s">
        <v>332</v>
      </c>
      <c r="O55" s="163"/>
      <c r="P55" s="124"/>
      <c r="Q55" s="160"/>
      <c r="R55" s="160"/>
      <c r="S55" s="66"/>
    </row>
    <row r="56" spans="1:20" x14ac:dyDescent="0.25">
      <c r="A56" s="104" t="s">
        <v>634</v>
      </c>
      <c r="B56" s="7" t="s">
        <v>653</v>
      </c>
      <c r="C56" s="6" t="s">
        <v>656</v>
      </c>
      <c r="D56" s="7" t="s">
        <v>145</v>
      </c>
      <c r="E56" s="7">
        <v>11</v>
      </c>
      <c r="F56" s="6" t="s">
        <v>96</v>
      </c>
      <c r="G56" s="7" t="s">
        <v>102</v>
      </c>
      <c r="H56" s="8">
        <v>49.1</v>
      </c>
      <c r="I56" s="8">
        <v>0</v>
      </c>
      <c r="J56" s="8" t="s">
        <v>35</v>
      </c>
      <c r="K56" s="8" t="s">
        <v>35</v>
      </c>
      <c r="L56" s="73">
        <v>9.4039999999999999</v>
      </c>
      <c r="M56" s="73"/>
      <c r="N56" s="163" t="s">
        <v>328</v>
      </c>
      <c r="O56" s="163"/>
      <c r="P56" s="124"/>
      <c r="Q56" s="160"/>
      <c r="R56" s="160"/>
      <c r="S56" s="66"/>
    </row>
    <row r="57" spans="1:20" s="2" customFormat="1" x14ac:dyDescent="0.25">
      <c r="A57" s="107" t="s">
        <v>635</v>
      </c>
      <c r="B57" s="98" t="s">
        <v>195</v>
      </c>
      <c r="C57" s="99" t="s">
        <v>185</v>
      </c>
      <c r="D57" s="98" t="s">
        <v>186</v>
      </c>
      <c r="E57" s="98">
        <v>33</v>
      </c>
      <c r="F57" s="100" t="s">
        <v>95</v>
      </c>
      <c r="G57" s="98" t="s">
        <v>99</v>
      </c>
      <c r="H57" s="101">
        <v>49</v>
      </c>
      <c r="I57" s="101">
        <v>0</v>
      </c>
      <c r="J57" s="101" t="s">
        <v>35</v>
      </c>
      <c r="K57" s="101" t="s">
        <v>35</v>
      </c>
      <c r="L57" s="98">
        <v>60</v>
      </c>
      <c r="M57" s="98"/>
      <c r="N57" s="102" t="s">
        <v>333</v>
      </c>
      <c r="O57" s="102"/>
      <c r="P57" s="45" t="s">
        <v>750</v>
      </c>
      <c r="Q57" s="87"/>
      <c r="R57" s="87"/>
      <c r="S57" s="46"/>
      <c r="T57" s="38"/>
    </row>
    <row r="58" spans="1:20" x14ac:dyDescent="0.25">
      <c r="A58" s="108" t="s">
        <v>635</v>
      </c>
      <c r="B58" s="17" t="s">
        <v>653</v>
      </c>
      <c r="C58" s="22" t="s">
        <v>163</v>
      </c>
      <c r="D58" s="17" t="s">
        <v>164</v>
      </c>
      <c r="E58" s="17">
        <v>11</v>
      </c>
      <c r="F58" s="22" t="s">
        <v>183</v>
      </c>
      <c r="G58" s="17" t="s">
        <v>102</v>
      </c>
      <c r="H58" s="19">
        <v>49</v>
      </c>
      <c r="I58" s="19">
        <v>0</v>
      </c>
      <c r="J58" s="19" t="s">
        <v>35</v>
      </c>
      <c r="K58" s="19" t="s">
        <v>35</v>
      </c>
      <c r="L58" s="72">
        <v>26.876999999999999</v>
      </c>
      <c r="M58" s="72"/>
      <c r="N58" s="17" t="s">
        <v>337</v>
      </c>
      <c r="O58" s="17"/>
      <c r="P58" s="20"/>
      <c r="Q58" s="160"/>
      <c r="R58" s="160"/>
      <c r="S58" s="66"/>
    </row>
    <row r="59" spans="1:20" x14ac:dyDescent="0.25">
      <c r="A59" s="108" t="s">
        <v>635</v>
      </c>
      <c r="B59" s="17" t="s">
        <v>653</v>
      </c>
      <c r="C59" s="22" t="s">
        <v>165</v>
      </c>
      <c r="D59" s="17" t="s">
        <v>166</v>
      </c>
      <c r="E59" s="17">
        <v>11</v>
      </c>
      <c r="F59" s="22" t="s">
        <v>184</v>
      </c>
      <c r="G59" s="17" t="s">
        <v>190</v>
      </c>
      <c r="H59" s="19">
        <v>49</v>
      </c>
      <c r="I59" s="19">
        <v>0</v>
      </c>
      <c r="J59" s="19" t="s">
        <v>35</v>
      </c>
      <c r="K59" s="19" t="s">
        <v>35</v>
      </c>
      <c r="L59" s="72">
        <v>32.391599999999997</v>
      </c>
      <c r="M59" s="72"/>
      <c r="N59" s="17" t="s">
        <v>338</v>
      </c>
      <c r="O59" s="17"/>
      <c r="P59" s="20"/>
      <c r="Q59" s="160"/>
      <c r="R59" s="160"/>
      <c r="S59" s="66"/>
    </row>
    <row r="60" spans="1:20" x14ac:dyDescent="0.25">
      <c r="A60" s="108" t="s">
        <v>635</v>
      </c>
      <c r="B60" s="17" t="s">
        <v>45</v>
      </c>
      <c r="C60" s="22" t="s">
        <v>158</v>
      </c>
      <c r="D60" s="17" t="s">
        <v>25</v>
      </c>
      <c r="E60" s="17">
        <v>11</v>
      </c>
      <c r="F60" s="22" t="s">
        <v>96</v>
      </c>
      <c r="G60" s="17" t="s">
        <v>102</v>
      </c>
      <c r="H60" s="19">
        <v>49</v>
      </c>
      <c r="I60" s="19">
        <v>0</v>
      </c>
      <c r="J60" s="19" t="s">
        <v>35</v>
      </c>
      <c r="K60" s="19" t="s">
        <v>35</v>
      </c>
      <c r="L60" s="72">
        <v>18.985199999999999</v>
      </c>
      <c r="M60" s="72"/>
      <c r="N60" s="17" t="s">
        <v>621</v>
      </c>
      <c r="O60" s="17"/>
      <c r="P60" s="20"/>
      <c r="Q60" s="160"/>
      <c r="R60" s="160"/>
      <c r="S60" s="66"/>
    </row>
    <row r="61" spans="1:20" x14ac:dyDescent="0.25">
      <c r="A61" s="108" t="s">
        <v>635</v>
      </c>
      <c r="B61" s="17" t="s">
        <v>45</v>
      </c>
      <c r="C61" s="22" t="s">
        <v>167</v>
      </c>
      <c r="D61" s="17" t="s">
        <v>168</v>
      </c>
      <c r="E61" s="17">
        <v>132</v>
      </c>
      <c r="F61" s="22" t="s">
        <v>192</v>
      </c>
      <c r="G61" s="17" t="s">
        <v>191</v>
      </c>
      <c r="H61" s="19">
        <v>49</v>
      </c>
      <c r="I61" s="19">
        <v>0</v>
      </c>
      <c r="J61" s="19" t="s">
        <v>35</v>
      </c>
      <c r="K61" s="19" t="s">
        <v>35</v>
      </c>
      <c r="L61" s="72">
        <v>130</v>
      </c>
      <c r="M61" s="72"/>
      <c r="N61" s="17" t="s">
        <v>622</v>
      </c>
      <c r="O61" s="17"/>
      <c r="P61" s="20"/>
      <c r="Q61" s="160"/>
      <c r="R61" s="160"/>
      <c r="S61" s="66"/>
    </row>
    <row r="62" spans="1:20" x14ac:dyDescent="0.25">
      <c r="A62" s="108" t="s">
        <v>635</v>
      </c>
      <c r="B62" s="17" t="s">
        <v>45</v>
      </c>
      <c r="C62" s="22" t="s">
        <v>169</v>
      </c>
      <c r="D62" s="17" t="s">
        <v>170</v>
      </c>
      <c r="E62" s="17">
        <v>33</v>
      </c>
      <c r="F62" s="22" t="s">
        <v>97</v>
      </c>
      <c r="G62" s="41" t="s">
        <v>103</v>
      </c>
      <c r="H62" s="19">
        <v>49</v>
      </c>
      <c r="I62" s="19">
        <v>0</v>
      </c>
      <c r="J62" s="19" t="s">
        <v>35</v>
      </c>
      <c r="K62" s="19" t="s">
        <v>35</v>
      </c>
      <c r="L62" s="72">
        <v>41.836399999999998</v>
      </c>
      <c r="M62" s="72"/>
      <c r="N62" s="167" t="s">
        <v>623</v>
      </c>
      <c r="O62" s="167"/>
      <c r="P62" s="20"/>
      <c r="Q62" s="160"/>
      <c r="R62" s="160"/>
      <c r="S62" s="66"/>
    </row>
    <row r="63" spans="1:20" x14ac:dyDescent="0.25">
      <c r="A63" s="108" t="s">
        <v>635</v>
      </c>
      <c r="B63" s="17" t="s">
        <v>652</v>
      </c>
      <c r="C63" s="22" t="s">
        <v>161</v>
      </c>
      <c r="D63" s="17" t="s">
        <v>162</v>
      </c>
      <c r="E63" s="17">
        <v>11</v>
      </c>
      <c r="F63" s="22" t="s">
        <v>96</v>
      </c>
      <c r="G63" s="17" t="s">
        <v>102</v>
      </c>
      <c r="H63" s="19">
        <v>49</v>
      </c>
      <c r="I63" s="19">
        <v>0</v>
      </c>
      <c r="J63" s="19" t="s">
        <v>35</v>
      </c>
      <c r="K63" s="19" t="s">
        <v>35</v>
      </c>
      <c r="L63" s="72">
        <v>28.040600000000001</v>
      </c>
      <c r="M63" s="72"/>
      <c r="N63" s="17" t="s">
        <v>335</v>
      </c>
      <c r="O63" s="17"/>
      <c r="P63" s="20"/>
      <c r="Q63" s="160"/>
      <c r="R63" s="160"/>
      <c r="S63" s="66"/>
    </row>
    <row r="64" spans="1:20" x14ac:dyDescent="0.25">
      <c r="A64" s="108" t="s">
        <v>635</v>
      </c>
      <c r="B64" s="17" t="s">
        <v>652</v>
      </c>
      <c r="C64" s="22" t="s">
        <v>161</v>
      </c>
      <c r="D64" s="17" t="s">
        <v>162</v>
      </c>
      <c r="E64" s="17">
        <v>33</v>
      </c>
      <c r="F64" s="22" t="s">
        <v>97</v>
      </c>
      <c r="G64" s="17" t="s">
        <v>189</v>
      </c>
      <c r="H64" s="19">
        <v>49</v>
      </c>
      <c r="I64" s="19">
        <v>0</v>
      </c>
      <c r="J64" s="19" t="s">
        <v>35</v>
      </c>
      <c r="K64" s="19" t="s">
        <v>35</v>
      </c>
      <c r="L64" s="72">
        <v>98.081900000000005</v>
      </c>
      <c r="M64" s="72"/>
      <c r="N64" s="17" t="s">
        <v>336</v>
      </c>
      <c r="O64" s="17"/>
      <c r="P64" s="20"/>
      <c r="Q64" s="160"/>
      <c r="R64" s="160"/>
      <c r="S64" s="66"/>
    </row>
    <row r="65" spans="1:20" x14ac:dyDescent="0.25">
      <c r="A65" s="108" t="s">
        <v>635</v>
      </c>
      <c r="B65" s="17" t="s">
        <v>652</v>
      </c>
      <c r="C65" s="22" t="s">
        <v>175</v>
      </c>
      <c r="D65" s="17" t="s">
        <v>176</v>
      </c>
      <c r="E65" s="17">
        <v>11</v>
      </c>
      <c r="F65" s="22" t="s">
        <v>96</v>
      </c>
      <c r="G65" s="17" t="s">
        <v>102</v>
      </c>
      <c r="H65" s="19">
        <v>49</v>
      </c>
      <c r="I65" s="19">
        <v>0</v>
      </c>
      <c r="J65" s="19" t="s">
        <v>35</v>
      </c>
      <c r="K65" s="19" t="s">
        <v>35</v>
      </c>
      <c r="L65" s="72">
        <v>23.207999999999998</v>
      </c>
      <c r="M65" s="72"/>
      <c r="N65" s="17" t="s">
        <v>626</v>
      </c>
      <c r="O65" s="17"/>
      <c r="P65" s="20"/>
      <c r="Q65" s="160"/>
      <c r="R65" s="160"/>
      <c r="S65" s="66"/>
    </row>
    <row r="66" spans="1:20" s="82" customFormat="1" x14ac:dyDescent="0.25">
      <c r="A66" s="108" t="s">
        <v>635</v>
      </c>
      <c r="B66" s="17" t="s">
        <v>649</v>
      </c>
      <c r="C66" s="22" t="s">
        <v>742</v>
      </c>
      <c r="D66" s="17" t="s">
        <v>744</v>
      </c>
      <c r="E66" s="67">
        <v>33</v>
      </c>
      <c r="F66" s="81" t="s">
        <v>743</v>
      </c>
      <c r="G66" s="67" t="s">
        <v>99</v>
      </c>
      <c r="H66" s="19">
        <v>49</v>
      </c>
      <c r="I66" s="19">
        <v>0</v>
      </c>
      <c r="J66" s="19" t="s">
        <v>35</v>
      </c>
      <c r="K66" s="19" t="s">
        <v>35</v>
      </c>
      <c r="L66" s="72"/>
      <c r="M66" s="72"/>
      <c r="N66" s="17" t="s">
        <v>747</v>
      </c>
      <c r="O66" s="17"/>
      <c r="P66" s="20"/>
      <c r="Q66" s="160"/>
      <c r="R66" s="160"/>
      <c r="S66" s="66"/>
      <c r="T66" s="5"/>
    </row>
    <row r="67" spans="1:20" s="82" customFormat="1" x14ac:dyDescent="0.25">
      <c r="A67" s="108" t="s">
        <v>635</v>
      </c>
      <c r="B67" s="17" t="s">
        <v>649</v>
      </c>
      <c r="C67" s="22" t="s">
        <v>742</v>
      </c>
      <c r="D67" s="17" t="s">
        <v>744</v>
      </c>
      <c r="E67" s="17">
        <v>11</v>
      </c>
      <c r="F67" s="22" t="s">
        <v>745</v>
      </c>
      <c r="G67" s="67">
        <v>35</v>
      </c>
      <c r="H67" s="19">
        <v>49</v>
      </c>
      <c r="I67" s="19">
        <v>0</v>
      </c>
      <c r="J67" s="19" t="s">
        <v>35</v>
      </c>
      <c r="K67" s="19" t="s">
        <v>35</v>
      </c>
      <c r="L67" s="72"/>
      <c r="M67" s="72"/>
      <c r="N67" s="17" t="s">
        <v>746</v>
      </c>
      <c r="O67" s="17"/>
      <c r="P67" s="20"/>
      <c r="Q67" s="160"/>
      <c r="R67" s="160"/>
      <c r="S67" s="66"/>
      <c r="T67" s="5"/>
    </row>
    <row r="68" spans="1:20" x14ac:dyDescent="0.25">
      <c r="A68" s="108" t="s">
        <v>635</v>
      </c>
      <c r="B68" s="17" t="s">
        <v>649</v>
      </c>
      <c r="C68" s="22" t="s">
        <v>177</v>
      </c>
      <c r="D68" s="17" t="s">
        <v>178</v>
      </c>
      <c r="E68" s="17">
        <v>33</v>
      </c>
      <c r="F68" s="22" t="s">
        <v>97</v>
      </c>
      <c r="G68" s="17" t="s">
        <v>103</v>
      </c>
      <c r="H68" s="19">
        <v>49</v>
      </c>
      <c r="I68" s="19">
        <v>0</v>
      </c>
      <c r="J68" s="19" t="s">
        <v>35</v>
      </c>
      <c r="K68" s="19" t="s">
        <v>35</v>
      </c>
      <c r="L68" s="72">
        <v>61.612099999999998</v>
      </c>
      <c r="M68" s="72"/>
      <c r="N68" s="17" t="s">
        <v>627</v>
      </c>
      <c r="O68" s="17"/>
      <c r="P68" s="20"/>
      <c r="Q68" s="160"/>
      <c r="R68" s="160"/>
      <c r="S68" s="66"/>
    </row>
    <row r="69" spans="1:20" x14ac:dyDescent="0.25">
      <c r="A69" s="108" t="s">
        <v>635</v>
      </c>
      <c r="B69" s="17" t="s">
        <v>651</v>
      </c>
      <c r="C69" s="22" t="s">
        <v>159</v>
      </c>
      <c r="D69" s="17" t="s">
        <v>160</v>
      </c>
      <c r="E69" s="17">
        <v>33</v>
      </c>
      <c r="F69" s="23" t="s">
        <v>95</v>
      </c>
      <c r="G69" s="17" t="s">
        <v>99</v>
      </c>
      <c r="H69" s="19">
        <v>49</v>
      </c>
      <c r="I69" s="19">
        <v>0</v>
      </c>
      <c r="J69" s="19" t="s">
        <v>35</v>
      </c>
      <c r="K69" s="19" t="s">
        <v>35</v>
      </c>
      <c r="L69" s="72">
        <v>85.188500000000005</v>
      </c>
      <c r="M69" s="72"/>
      <c r="N69" s="167" t="s">
        <v>334</v>
      </c>
      <c r="O69" s="167"/>
      <c r="P69" s="20"/>
      <c r="Q69" s="160"/>
      <c r="R69" s="160"/>
      <c r="S69" s="66"/>
    </row>
    <row r="70" spans="1:20" x14ac:dyDescent="0.25">
      <c r="A70" s="108" t="s">
        <v>635</v>
      </c>
      <c r="B70" s="17" t="s">
        <v>651</v>
      </c>
      <c r="C70" s="22" t="s">
        <v>171</v>
      </c>
      <c r="D70" s="17" t="s">
        <v>172</v>
      </c>
      <c r="E70" s="17">
        <v>33</v>
      </c>
      <c r="F70" s="22" t="s">
        <v>97</v>
      </c>
      <c r="G70" s="17" t="s">
        <v>103</v>
      </c>
      <c r="H70" s="19">
        <v>49</v>
      </c>
      <c r="I70" s="19">
        <v>0</v>
      </c>
      <c r="J70" s="19" t="s">
        <v>35</v>
      </c>
      <c r="K70" s="19" t="s">
        <v>35</v>
      </c>
      <c r="L70" s="72">
        <v>75.867199999999997</v>
      </c>
      <c r="M70" s="72"/>
      <c r="N70" s="17" t="s">
        <v>624</v>
      </c>
      <c r="O70" s="17"/>
      <c r="P70" s="20"/>
      <c r="Q70" s="160"/>
      <c r="R70" s="160"/>
      <c r="S70" s="66"/>
    </row>
    <row r="71" spans="1:20" x14ac:dyDescent="0.25">
      <c r="A71" s="108" t="s">
        <v>635</v>
      </c>
      <c r="B71" s="17" t="s">
        <v>651</v>
      </c>
      <c r="C71" s="22" t="s">
        <v>173</v>
      </c>
      <c r="D71" s="17" t="s">
        <v>174</v>
      </c>
      <c r="E71" s="17">
        <v>33</v>
      </c>
      <c r="F71" s="22" t="s">
        <v>95</v>
      </c>
      <c r="G71" s="17" t="s">
        <v>99</v>
      </c>
      <c r="H71" s="19">
        <v>49</v>
      </c>
      <c r="I71" s="19">
        <v>0</v>
      </c>
      <c r="J71" s="19" t="s">
        <v>35</v>
      </c>
      <c r="K71" s="19" t="s">
        <v>35</v>
      </c>
      <c r="L71" s="72">
        <v>65.073499999999996</v>
      </c>
      <c r="M71" s="72"/>
      <c r="N71" s="17" t="s">
        <v>625</v>
      </c>
      <c r="O71" s="17"/>
      <c r="P71" s="20"/>
      <c r="Q71" s="160"/>
      <c r="R71" s="160"/>
      <c r="S71" s="66"/>
    </row>
    <row r="72" spans="1:20" x14ac:dyDescent="0.25">
      <c r="A72" s="108" t="s">
        <v>635</v>
      </c>
      <c r="B72" s="17" t="s">
        <v>651</v>
      </c>
      <c r="C72" s="22" t="s">
        <v>179</v>
      </c>
      <c r="D72" s="17" t="s">
        <v>180</v>
      </c>
      <c r="E72" s="17">
        <v>33</v>
      </c>
      <c r="F72" s="22" t="s">
        <v>95</v>
      </c>
      <c r="G72" s="17" t="s">
        <v>99</v>
      </c>
      <c r="H72" s="19">
        <v>49</v>
      </c>
      <c r="I72" s="19">
        <v>0</v>
      </c>
      <c r="J72" s="19" t="s">
        <v>35</v>
      </c>
      <c r="K72" s="19" t="s">
        <v>35</v>
      </c>
      <c r="L72" s="72">
        <v>85.680400000000006</v>
      </c>
      <c r="M72" s="72"/>
      <c r="N72" s="17" t="s">
        <v>628</v>
      </c>
      <c r="O72" s="17"/>
      <c r="P72" s="20"/>
      <c r="Q72" s="160"/>
      <c r="R72" s="160"/>
      <c r="S72" s="66"/>
    </row>
    <row r="73" spans="1:20" x14ac:dyDescent="0.25">
      <c r="A73" s="108" t="s">
        <v>635</v>
      </c>
      <c r="B73" s="14" t="s">
        <v>651</v>
      </c>
      <c r="C73" s="13" t="s">
        <v>181</v>
      </c>
      <c r="D73" s="14" t="s">
        <v>182</v>
      </c>
      <c r="E73" s="14">
        <v>33</v>
      </c>
      <c r="F73" s="13" t="s">
        <v>97</v>
      </c>
      <c r="G73" s="14" t="s">
        <v>103</v>
      </c>
      <c r="H73" s="18">
        <v>49</v>
      </c>
      <c r="I73" s="18">
        <v>0</v>
      </c>
      <c r="J73" s="18" t="s">
        <v>35</v>
      </c>
      <c r="K73" s="18" t="s">
        <v>35</v>
      </c>
      <c r="L73" s="91">
        <v>52.130299999999998</v>
      </c>
      <c r="M73" s="91"/>
      <c r="N73" s="14" t="s">
        <v>629</v>
      </c>
      <c r="O73" s="14"/>
      <c r="P73" s="20"/>
      <c r="Q73" s="160"/>
      <c r="R73" s="160"/>
      <c r="S73" s="66"/>
    </row>
    <row r="74" spans="1:20" x14ac:dyDescent="0.25">
      <c r="A74" s="104" t="s">
        <v>636</v>
      </c>
      <c r="B74" s="7" t="s">
        <v>195</v>
      </c>
      <c r="C74" s="6" t="s">
        <v>195</v>
      </c>
      <c r="D74" s="7" t="s">
        <v>196</v>
      </c>
      <c r="E74" s="7">
        <v>33</v>
      </c>
      <c r="F74" s="6" t="s">
        <v>216</v>
      </c>
      <c r="G74" s="7" t="s">
        <v>217</v>
      </c>
      <c r="H74" s="8">
        <v>48.9</v>
      </c>
      <c r="I74" s="8">
        <v>0</v>
      </c>
      <c r="J74" s="8" t="s">
        <v>35</v>
      </c>
      <c r="K74" s="8" t="s">
        <v>35</v>
      </c>
      <c r="L74" s="73">
        <v>82.5745</v>
      </c>
      <c r="M74" s="73"/>
      <c r="N74" s="163" t="s">
        <v>271</v>
      </c>
      <c r="O74" s="163"/>
      <c r="P74" s="124"/>
      <c r="Q74" s="160"/>
      <c r="R74" s="160"/>
      <c r="S74" s="66"/>
    </row>
    <row r="75" spans="1:20" s="2" customFormat="1" x14ac:dyDescent="0.25">
      <c r="A75" s="104" t="s">
        <v>636</v>
      </c>
      <c r="B75" s="35" t="s">
        <v>45</v>
      </c>
      <c r="C75" s="37" t="s">
        <v>197</v>
      </c>
      <c r="D75" s="35" t="s">
        <v>198</v>
      </c>
      <c r="E75" s="35">
        <v>33</v>
      </c>
      <c r="F75" s="37" t="s">
        <v>95</v>
      </c>
      <c r="G75" s="35" t="s">
        <v>99</v>
      </c>
      <c r="H75" s="36">
        <v>48.9</v>
      </c>
      <c r="I75" s="36">
        <v>0</v>
      </c>
      <c r="J75" s="36" t="s">
        <v>35</v>
      </c>
      <c r="K75" s="36" t="s">
        <v>35</v>
      </c>
      <c r="L75" s="74">
        <v>65.720699999999994</v>
      </c>
      <c r="M75" s="74"/>
      <c r="N75" s="89" t="s">
        <v>272</v>
      </c>
      <c r="O75" s="89"/>
      <c r="P75" s="37" t="s">
        <v>751</v>
      </c>
      <c r="Q75" s="87"/>
      <c r="R75" s="87"/>
      <c r="S75" s="46"/>
      <c r="T75" s="38"/>
    </row>
    <row r="76" spans="1:20" s="2" customFormat="1" x14ac:dyDescent="0.25">
      <c r="A76" s="104" t="s">
        <v>636</v>
      </c>
      <c r="B76" s="35" t="s">
        <v>577</v>
      </c>
      <c r="C76" s="37" t="s">
        <v>199</v>
      </c>
      <c r="D76" s="35" t="s">
        <v>200</v>
      </c>
      <c r="E76" s="35">
        <v>33</v>
      </c>
      <c r="F76" s="37" t="s">
        <v>95</v>
      </c>
      <c r="G76" s="35" t="s">
        <v>99</v>
      </c>
      <c r="H76" s="36">
        <v>48.9</v>
      </c>
      <c r="I76" s="36">
        <v>0</v>
      </c>
      <c r="J76" s="36" t="s">
        <v>35</v>
      </c>
      <c r="K76" s="36" t="s">
        <v>35</v>
      </c>
      <c r="L76" s="74">
        <v>111.12690000000001</v>
      </c>
      <c r="M76" s="74"/>
      <c r="N76" s="89" t="s">
        <v>273</v>
      </c>
      <c r="O76" s="89"/>
      <c r="P76" s="37" t="s">
        <v>752</v>
      </c>
      <c r="Q76" s="87"/>
      <c r="R76" s="87"/>
      <c r="S76" s="46"/>
      <c r="T76" s="38"/>
    </row>
    <row r="77" spans="1:20" x14ac:dyDescent="0.25">
      <c r="A77" s="104" t="s">
        <v>636</v>
      </c>
      <c r="B77" s="7" t="s">
        <v>650</v>
      </c>
      <c r="C77" s="6" t="s">
        <v>26</v>
      </c>
      <c r="D77" s="7" t="s">
        <v>27</v>
      </c>
      <c r="E77" s="7">
        <v>22</v>
      </c>
      <c r="F77" s="6" t="s">
        <v>94</v>
      </c>
      <c r="G77" s="7" t="s">
        <v>99</v>
      </c>
      <c r="H77" s="8">
        <v>48.9</v>
      </c>
      <c r="I77" s="8">
        <v>0</v>
      </c>
      <c r="J77" s="8" t="s">
        <v>35</v>
      </c>
      <c r="K77" s="8" t="s">
        <v>35</v>
      </c>
      <c r="L77" s="73">
        <v>37.270800000000001</v>
      </c>
      <c r="M77" s="73"/>
      <c r="N77" s="163" t="s">
        <v>274</v>
      </c>
      <c r="O77" s="163"/>
      <c r="P77" s="124"/>
      <c r="Q77" s="160"/>
      <c r="R77" s="160"/>
      <c r="S77" s="66"/>
    </row>
    <row r="78" spans="1:20" x14ac:dyDescent="0.25">
      <c r="A78" s="104" t="s">
        <v>636</v>
      </c>
      <c r="B78" s="7" t="s">
        <v>650</v>
      </c>
      <c r="C78" s="6" t="s">
        <v>26</v>
      </c>
      <c r="D78" s="7" t="s">
        <v>27</v>
      </c>
      <c r="E78" s="7">
        <v>22</v>
      </c>
      <c r="F78" s="6" t="s">
        <v>214</v>
      </c>
      <c r="G78" s="7" t="s">
        <v>218</v>
      </c>
      <c r="H78" s="8">
        <v>48.9</v>
      </c>
      <c r="I78" s="8">
        <v>0</v>
      </c>
      <c r="J78" s="8" t="s">
        <v>35</v>
      </c>
      <c r="K78" s="8" t="s">
        <v>35</v>
      </c>
      <c r="L78" s="73">
        <v>15.0562</v>
      </c>
      <c r="M78" s="73"/>
      <c r="N78" s="163" t="s">
        <v>274</v>
      </c>
      <c r="O78" s="163"/>
      <c r="P78" s="124"/>
      <c r="Q78" s="160"/>
      <c r="R78" s="160"/>
      <c r="S78" s="66"/>
    </row>
    <row r="79" spans="1:20" x14ac:dyDescent="0.25">
      <c r="A79" s="104" t="s">
        <v>636</v>
      </c>
      <c r="B79" s="7" t="s">
        <v>45</v>
      </c>
      <c r="C79" s="6" t="s">
        <v>209</v>
      </c>
      <c r="D79" s="7" t="s">
        <v>210</v>
      </c>
      <c r="E79" s="7">
        <v>33</v>
      </c>
      <c r="F79" s="6" t="s">
        <v>95</v>
      </c>
      <c r="G79" s="7" t="s">
        <v>99</v>
      </c>
      <c r="H79" s="8">
        <v>48.9</v>
      </c>
      <c r="I79" s="8">
        <v>0</v>
      </c>
      <c r="J79" s="8" t="s">
        <v>35</v>
      </c>
      <c r="K79" s="8" t="s">
        <v>35</v>
      </c>
      <c r="L79" s="73">
        <v>83.051400000000001</v>
      </c>
      <c r="M79" s="73"/>
      <c r="N79" s="163" t="s">
        <v>279</v>
      </c>
      <c r="O79" s="163"/>
      <c r="P79" s="124"/>
      <c r="Q79" s="160"/>
      <c r="R79" s="160"/>
      <c r="S79" s="66"/>
    </row>
    <row r="80" spans="1:20" x14ac:dyDescent="0.25">
      <c r="A80" s="104" t="s">
        <v>636</v>
      </c>
      <c r="B80" s="7" t="s">
        <v>45</v>
      </c>
      <c r="C80" s="6" t="s">
        <v>203</v>
      </c>
      <c r="D80" s="7" t="s">
        <v>204</v>
      </c>
      <c r="E80" s="7">
        <v>33</v>
      </c>
      <c r="F80" s="6" t="s">
        <v>95</v>
      </c>
      <c r="G80" s="7" t="s">
        <v>99</v>
      </c>
      <c r="H80" s="8">
        <v>48.9</v>
      </c>
      <c r="I80" s="8">
        <v>0</v>
      </c>
      <c r="J80" s="8" t="s">
        <v>35</v>
      </c>
      <c r="K80" s="8" t="s">
        <v>35</v>
      </c>
      <c r="L80" s="73">
        <v>62.5762</v>
      </c>
      <c r="M80" s="73"/>
      <c r="N80" s="163" t="s">
        <v>276</v>
      </c>
      <c r="O80" s="163"/>
      <c r="P80" s="124"/>
      <c r="Q80" s="160"/>
      <c r="R80" s="160"/>
      <c r="S80" s="66"/>
    </row>
    <row r="81" spans="1:20" s="2" customFormat="1" x14ac:dyDescent="0.25">
      <c r="A81" s="104" t="s">
        <v>636</v>
      </c>
      <c r="B81" s="35" t="s">
        <v>651</v>
      </c>
      <c r="C81" s="37" t="s">
        <v>207</v>
      </c>
      <c r="D81" s="35" t="s">
        <v>208</v>
      </c>
      <c r="E81" s="35">
        <v>33</v>
      </c>
      <c r="F81" s="37" t="s">
        <v>95</v>
      </c>
      <c r="G81" s="35" t="s">
        <v>99</v>
      </c>
      <c r="H81" s="36">
        <v>48.9</v>
      </c>
      <c r="I81" s="36">
        <v>0</v>
      </c>
      <c r="J81" s="36" t="s">
        <v>35</v>
      </c>
      <c r="K81" s="36" t="s">
        <v>35</v>
      </c>
      <c r="L81" s="74">
        <v>67.990499999999997</v>
      </c>
      <c r="M81" s="74"/>
      <c r="N81" s="89" t="s">
        <v>278</v>
      </c>
      <c r="O81" s="89"/>
      <c r="P81" s="37" t="s">
        <v>753</v>
      </c>
      <c r="Q81" s="160">
        <v>0.9</v>
      </c>
      <c r="R81" s="160">
        <v>60</v>
      </c>
      <c r="S81" s="66">
        <v>2</v>
      </c>
      <c r="T81" s="38"/>
    </row>
    <row r="82" spans="1:20" x14ac:dyDescent="0.25">
      <c r="A82" s="104" t="s">
        <v>636</v>
      </c>
      <c r="B82" s="7" t="s">
        <v>651</v>
      </c>
      <c r="C82" s="6" t="s">
        <v>201</v>
      </c>
      <c r="D82" s="7" t="s">
        <v>202</v>
      </c>
      <c r="E82" s="7">
        <v>33</v>
      </c>
      <c r="F82" s="6" t="s">
        <v>95</v>
      </c>
      <c r="G82" s="7" t="s">
        <v>99</v>
      </c>
      <c r="H82" s="8">
        <v>48.9</v>
      </c>
      <c r="I82" s="8">
        <v>0</v>
      </c>
      <c r="J82" s="8" t="s">
        <v>35</v>
      </c>
      <c r="K82" s="8" t="s">
        <v>35</v>
      </c>
      <c r="L82" s="73">
        <v>68.1678</v>
      </c>
      <c r="M82" s="73"/>
      <c r="N82" s="163" t="s">
        <v>275</v>
      </c>
      <c r="O82" s="163"/>
      <c r="P82" s="124"/>
      <c r="Q82" s="160">
        <v>0.9</v>
      </c>
      <c r="R82" s="160">
        <v>90</v>
      </c>
      <c r="S82" s="66">
        <v>3</v>
      </c>
    </row>
    <row r="83" spans="1:20" x14ac:dyDescent="0.25">
      <c r="A83" s="104" t="s">
        <v>636</v>
      </c>
      <c r="B83" s="7" t="s">
        <v>651</v>
      </c>
      <c r="C83" s="6" t="s">
        <v>193</v>
      </c>
      <c r="D83" s="7" t="s">
        <v>194</v>
      </c>
      <c r="E83" s="7">
        <v>33</v>
      </c>
      <c r="F83" s="58" t="s">
        <v>95</v>
      </c>
      <c r="G83" s="7" t="s">
        <v>188</v>
      </c>
      <c r="H83" s="8">
        <v>48.9</v>
      </c>
      <c r="I83" s="8">
        <v>0</v>
      </c>
      <c r="J83" s="8" t="s">
        <v>35</v>
      </c>
      <c r="K83" s="8" t="s">
        <v>35</v>
      </c>
      <c r="L83" s="73">
        <v>51.941000000000003</v>
      </c>
      <c r="M83" s="73"/>
      <c r="N83" s="163" t="s">
        <v>270</v>
      </c>
      <c r="O83" s="163"/>
      <c r="P83" s="124"/>
      <c r="Q83" s="160"/>
      <c r="R83" s="160"/>
      <c r="S83" s="66"/>
    </row>
    <row r="84" spans="1:20" s="2" customFormat="1" x14ac:dyDescent="0.25">
      <c r="A84" s="104" t="s">
        <v>636</v>
      </c>
      <c r="B84" s="35" t="s">
        <v>654</v>
      </c>
      <c r="C84" s="37" t="s">
        <v>205</v>
      </c>
      <c r="D84" s="35" t="s">
        <v>206</v>
      </c>
      <c r="E84" s="35">
        <v>33</v>
      </c>
      <c r="F84" s="90" t="s">
        <v>95</v>
      </c>
      <c r="G84" s="35" t="s">
        <v>99</v>
      </c>
      <c r="H84" s="36">
        <v>48.9</v>
      </c>
      <c r="I84" s="36">
        <v>0</v>
      </c>
      <c r="J84" s="36" t="s">
        <v>35</v>
      </c>
      <c r="K84" s="36" t="s">
        <v>35</v>
      </c>
      <c r="L84" s="74">
        <v>64.8369</v>
      </c>
      <c r="M84" s="74"/>
      <c r="N84" s="89" t="s">
        <v>277</v>
      </c>
      <c r="O84" s="89"/>
      <c r="P84" s="37" t="s">
        <v>754</v>
      </c>
      <c r="Q84" s="132"/>
      <c r="R84" s="132"/>
      <c r="S84" s="133"/>
      <c r="T84" s="38"/>
    </row>
    <row r="85" spans="1:20" x14ac:dyDescent="0.25">
      <c r="A85" s="104" t="s">
        <v>636</v>
      </c>
      <c r="B85" s="7" t="s">
        <v>654</v>
      </c>
      <c r="C85" s="6" t="s">
        <v>211</v>
      </c>
      <c r="D85" s="7" t="s">
        <v>212</v>
      </c>
      <c r="E85" s="7">
        <v>11</v>
      </c>
      <c r="F85" s="6" t="s">
        <v>96</v>
      </c>
      <c r="G85" s="10" t="s">
        <v>102</v>
      </c>
      <c r="H85" s="8">
        <v>48.9</v>
      </c>
      <c r="I85" s="8">
        <v>0</v>
      </c>
      <c r="J85" s="8" t="s">
        <v>35</v>
      </c>
      <c r="K85" s="8" t="s">
        <v>35</v>
      </c>
      <c r="L85" s="73">
        <v>17.659600000000001</v>
      </c>
      <c r="M85" s="73"/>
      <c r="N85" s="163" t="s">
        <v>280</v>
      </c>
      <c r="O85" s="163"/>
      <c r="P85" s="124"/>
      <c r="Q85" s="160"/>
      <c r="R85" s="160"/>
      <c r="S85" s="66"/>
    </row>
    <row r="86" spans="1:20" x14ac:dyDescent="0.25">
      <c r="A86" s="104" t="s">
        <v>636</v>
      </c>
      <c r="B86" s="7" t="s">
        <v>652</v>
      </c>
      <c r="C86" s="6" t="s">
        <v>213</v>
      </c>
      <c r="D86" s="7" t="s">
        <v>21</v>
      </c>
      <c r="E86" s="7">
        <v>11</v>
      </c>
      <c r="F86" s="6" t="s">
        <v>215</v>
      </c>
      <c r="G86" s="10" t="s">
        <v>219</v>
      </c>
      <c r="H86" s="8">
        <v>48.9</v>
      </c>
      <c r="I86" s="8">
        <v>0</v>
      </c>
      <c r="J86" s="8" t="s">
        <v>35</v>
      </c>
      <c r="K86" s="8" t="s">
        <v>35</v>
      </c>
      <c r="L86" s="73">
        <v>25.8429</v>
      </c>
      <c r="M86" s="73"/>
      <c r="N86" s="163" t="s">
        <v>281</v>
      </c>
      <c r="O86" s="163"/>
      <c r="P86" s="124"/>
      <c r="Q86" s="160"/>
      <c r="R86" s="160"/>
      <c r="S86" s="66"/>
    </row>
    <row r="87" spans="1:20" x14ac:dyDescent="0.25">
      <c r="A87" s="106" t="s">
        <v>637</v>
      </c>
      <c r="B87" s="17" t="s">
        <v>655</v>
      </c>
      <c r="C87" s="22" t="s">
        <v>220</v>
      </c>
      <c r="D87" s="17" t="s">
        <v>221</v>
      </c>
      <c r="E87" s="17">
        <v>11</v>
      </c>
      <c r="F87" s="22" t="s">
        <v>96</v>
      </c>
      <c r="G87" s="17" t="s">
        <v>102</v>
      </c>
      <c r="H87" s="19">
        <v>48.8</v>
      </c>
      <c r="I87" s="19">
        <v>0</v>
      </c>
      <c r="J87" s="19" t="s">
        <v>35</v>
      </c>
      <c r="K87" s="19" t="s">
        <v>35</v>
      </c>
      <c r="L87" s="72">
        <v>25.7531</v>
      </c>
      <c r="M87" s="72"/>
      <c r="N87" s="167" t="s">
        <v>266</v>
      </c>
      <c r="O87" s="167"/>
      <c r="P87" s="20"/>
      <c r="Q87" s="160"/>
      <c r="R87" s="160"/>
      <c r="S87" s="66"/>
    </row>
    <row r="88" spans="1:20" x14ac:dyDescent="0.25">
      <c r="A88" s="106" t="s">
        <v>637</v>
      </c>
      <c r="B88" s="17" t="s">
        <v>651</v>
      </c>
      <c r="C88" s="22" t="s">
        <v>222</v>
      </c>
      <c r="D88" s="17" t="s">
        <v>223</v>
      </c>
      <c r="E88" s="17">
        <v>33</v>
      </c>
      <c r="F88" s="22" t="s">
        <v>95</v>
      </c>
      <c r="G88" s="17" t="s">
        <v>99</v>
      </c>
      <c r="H88" s="19">
        <v>48.8</v>
      </c>
      <c r="I88" s="19">
        <v>0</v>
      </c>
      <c r="J88" s="19" t="s">
        <v>35</v>
      </c>
      <c r="K88" s="19" t="s">
        <v>35</v>
      </c>
      <c r="L88" s="72">
        <v>71.794799999999995</v>
      </c>
      <c r="M88" s="72"/>
      <c r="N88" s="167" t="s">
        <v>267</v>
      </c>
      <c r="O88" s="167"/>
      <c r="P88" s="20"/>
      <c r="Q88" s="160">
        <v>0.9</v>
      </c>
      <c r="R88" s="160">
        <v>30</v>
      </c>
      <c r="S88" s="66">
        <v>1</v>
      </c>
    </row>
    <row r="89" spans="1:20" x14ac:dyDescent="0.25">
      <c r="A89" s="106" t="s">
        <v>637</v>
      </c>
      <c r="B89" s="17" t="s">
        <v>45</v>
      </c>
      <c r="C89" s="22" t="s">
        <v>224</v>
      </c>
      <c r="D89" s="17" t="s">
        <v>225</v>
      </c>
      <c r="E89" s="17">
        <v>33</v>
      </c>
      <c r="F89" s="22" t="s">
        <v>95</v>
      </c>
      <c r="G89" s="17" t="s">
        <v>99</v>
      </c>
      <c r="H89" s="19">
        <v>48.8</v>
      </c>
      <c r="I89" s="19">
        <v>0</v>
      </c>
      <c r="J89" s="19" t="s">
        <v>35</v>
      </c>
      <c r="K89" s="19" t="s">
        <v>35</v>
      </c>
      <c r="L89" s="72">
        <v>74.944999999999993</v>
      </c>
      <c r="M89" s="72"/>
      <c r="N89" s="167" t="s">
        <v>268</v>
      </c>
      <c r="O89" s="167"/>
      <c r="P89" s="20"/>
      <c r="Q89" s="160">
        <v>0.9</v>
      </c>
      <c r="R89" s="160">
        <v>90</v>
      </c>
      <c r="S89" s="66">
        <v>3</v>
      </c>
    </row>
    <row r="90" spans="1:20" x14ac:dyDescent="0.25">
      <c r="A90" s="106" t="s">
        <v>637</v>
      </c>
      <c r="B90" s="17" t="s">
        <v>45</v>
      </c>
      <c r="C90" s="22" t="s">
        <v>226</v>
      </c>
      <c r="D90" s="17" t="s">
        <v>227</v>
      </c>
      <c r="E90" s="17">
        <v>33</v>
      </c>
      <c r="F90" s="22" t="s">
        <v>97</v>
      </c>
      <c r="G90" s="17" t="s">
        <v>103</v>
      </c>
      <c r="H90" s="19">
        <v>48.8</v>
      </c>
      <c r="I90" s="19">
        <v>0</v>
      </c>
      <c r="J90" s="19" t="s">
        <v>35</v>
      </c>
      <c r="K90" s="19" t="s">
        <v>35</v>
      </c>
      <c r="L90" s="72">
        <v>69.463099999999997</v>
      </c>
      <c r="M90" s="72"/>
      <c r="N90" s="167" t="s">
        <v>269</v>
      </c>
      <c r="O90" s="167"/>
      <c r="P90" s="20"/>
      <c r="Q90" s="160"/>
      <c r="R90" s="160"/>
      <c r="S90" s="66"/>
    </row>
    <row r="91" spans="1:20" x14ac:dyDescent="0.25">
      <c r="A91" s="106" t="s">
        <v>637</v>
      </c>
      <c r="B91" s="17" t="s">
        <v>45</v>
      </c>
      <c r="C91" s="22" t="s">
        <v>245</v>
      </c>
      <c r="D91" s="17" t="s">
        <v>246</v>
      </c>
      <c r="E91" s="17">
        <v>33</v>
      </c>
      <c r="F91" s="22" t="s">
        <v>95</v>
      </c>
      <c r="G91" s="17" t="s">
        <v>99</v>
      </c>
      <c r="H91" s="19">
        <v>48.8</v>
      </c>
      <c r="I91" s="19">
        <v>0</v>
      </c>
      <c r="J91" s="19" t="s">
        <v>35</v>
      </c>
      <c r="K91" s="19" t="s">
        <v>35</v>
      </c>
      <c r="L91" s="72">
        <v>60.1524</v>
      </c>
      <c r="M91" s="72"/>
      <c r="N91" s="167" t="s">
        <v>265</v>
      </c>
      <c r="O91" s="167"/>
      <c r="P91" s="20"/>
      <c r="Q91" s="160"/>
      <c r="R91" s="160"/>
      <c r="S91" s="66"/>
    </row>
    <row r="92" spans="1:20" x14ac:dyDescent="0.25">
      <c r="A92" s="106" t="s">
        <v>637</v>
      </c>
      <c r="B92" s="17" t="s">
        <v>653</v>
      </c>
      <c r="C92" s="22" t="s">
        <v>228</v>
      </c>
      <c r="D92" s="17" t="s">
        <v>229</v>
      </c>
      <c r="E92" s="17">
        <v>132</v>
      </c>
      <c r="F92" s="22" t="s">
        <v>247</v>
      </c>
      <c r="G92" s="41" t="s">
        <v>44</v>
      </c>
      <c r="H92" s="19">
        <v>48.8</v>
      </c>
      <c r="I92" s="19">
        <v>0</v>
      </c>
      <c r="J92" s="19" t="s">
        <v>35</v>
      </c>
      <c r="K92" s="19" t="s">
        <v>35</v>
      </c>
      <c r="L92" s="270">
        <v>49</v>
      </c>
      <c r="M92" s="160"/>
      <c r="N92" s="270" t="s">
        <v>259</v>
      </c>
      <c r="O92" s="160"/>
      <c r="P92" s="20"/>
      <c r="Q92" s="160"/>
      <c r="R92" s="160"/>
      <c r="S92" s="66"/>
    </row>
    <row r="93" spans="1:20" x14ac:dyDescent="0.25">
      <c r="A93" s="106" t="s">
        <v>637</v>
      </c>
      <c r="B93" s="17" t="s">
        <v>654</v>
      </c>
      <c r="C93" s="22" t="s">
        <v>230</v>
      </c>
      <c r="D93" s="17" t="s">
        <v>231</v>
      </c>
      <c r="E93" s="17">
        <v>132</v>
      </c>
      <c r="F93" s="22" t="s">
        <v>248</v>
      </c>
      <c r="G93" s="41" t="s">
        <v>44</v>
      </c>
      <c r="H93" s="19">
        <v>48.8</v>
      </c>
      <c r="I93" s="19">
        <v>0</v>
      </c>
      <c r="J93" s="19" t="s">
        <v>35</v>
      </c>
      <c r="K93" s="19" t="s">
        <v>35</v>
      </c>
      <c r="L93" s="270"/>
      <c r="M93" s="160"/>
      <c r="N93" s="270"/>
      <c r="O93" s="160"/>
      <c r="P93" s="20"/>
      <c r="Q93" s="160"/>
      <c r="R93" s="160"/>
      <c r="S93" s="66"/>
    </row>
    <row r="94" spans="1:20" x14ac:dyDescent="0.25">
      <c r="A94" s="106" t="s">
        <v>637</v>
      </c>
      <c r="B94" s="17" t="s">
        <v>654</v>
      </c>
      <c r="C94" s="22" t="s">
        <v>232</v>
      </c>
      <c r="D94" s="17" t="s">
        <v>233</v>
      </c>
      <c r="E94" s="17">
        <v>132</v>
      </c>
      <c r="F94" s="22" t="s">
        <v>249</v>
      </c>
      <c r="G94" s="17" t="s">
        <v>44</v>
      </c>
      <c r="H94" s="19">
        <v>48.8</v>
      </c>
      <c r="I94" s="19">
        <v>0</v>
      </c>
      <c r="J94" s="19" t="s">
        <v>35</v>
      </c>
      <c r="K94" s="19" t="s">
        <v>35</v>
      </c>
      <c r="L94" s="270">
        <v>140</v>
      </c>
      <c r="M94" s="160"/>
      <c r="N94" s="270" t="s">
        <v>260</v>
      </c>
      <c r="O94" s="160"/>
      <c r="P94" s="20"/>
      <c r="Q94" s="160"/>
      <c r="R94" s="160"/>
      <c r="S94" s="66"/>
    </row>
    <row r="95" spans="1:20" x14ac:dyDescent="0.25">
      <c r="A95" s="106" t="s">
        <v>637</v>
      </c>
      <c r="B95" s="17" t="s">
        <v>654</v>
      </c>
      <c r="C95" s="22" t="s">
        <v>234</v>
      </c>
      <c r="D95" s="17" t="s">
        <v>235</v>
      </c>
      <c r="E95" s="17">
        <v>132</v>
      </c>
      <c r="F95" s="22" t="s">
        <v>250</v>
      </c>
      <c r="G95" s="17" t="s">
        <v>39</v>
      </c>
      <c r="H95" s="19">
        <v>48.8</v>
      </c>
      <c r="I95" s="19">
        <v>0</v>
      </c>
      <c r="J95" s="19" t="s">
        <v>35</v>
      </c>
      <c r="K95" s="19" t="s">
        <v>35</v>
      </c>
      <c r="L95" s="270"/>
      <c r="M95" s="160"/>
      <c r="N95" s="270"/>
      <c r="O95" s="160"/>
      <c r="P95" s="20"/>
      <c r="Q95" s="160"/>
      <c r="R95" s="160"/>
      <c r="S95" s="66"/>
    </row>
    <row r="96" spans="1:20" x14ac:dyDescent="0.25">
      <c r="A96" s="106" t="s">
        <v>637</v>
      </c>
      <c r="B96" s="17" t="s">
        <v>652</v>
      </c>
      <c r="C96" s="22" t="s">
        <v>236</v>
      </c>
      <c r="D96" s="17" t="s">
        <v>237</v>
      </c>
      <c r="E96" s="17">
        <v>132</v>
      </c>
      <c r="F96" s="22" t="s">
        <v>252</v>
      </c>
      <c r="G96" s="17" t="s">
        <v>251</v>
      </c>
      <c r="H96" s="19">
        <v>48.8</v>
      </c>
      <c r="I96" s="19">
        <v>0</v>
      </c>
      <c r="J96" s="19" t="s">
        <v>35</v>
      </c>
      <c r="K96" s="19" t="s">
        <v>35</v>
      </c>
      <c r="L96" s="270">
        <v>133</v>
      </c>
      <c r="M96" s="160"/>
      <c r="N96" s="270" t="s">
        <v>261</v>
      </c>
      <c r="O96" s="210"/>
      <c r="P96" s="277" t="s">
        <v>755</v>
      </c>
      <c r="Q96" s="160"/>
      <c r="R96" s="160"/>
      <c r="S96" s="66"/>
    </row>
    <row r="97" spans="1:20" s="2" customFormat="1" x14ac:dyDescent="0.25">
      <c r="A97" s="106" t="s">
        <v>637</v>
      </c>
      <c r="B97" s="46" t="s">
        <v>652</v>
      </c>
      <c r="C97" s="45" t="s">
        <v>238</v>
      </c>
      <c r="D97" s="46" t="s">
        <v>130</v>
      </c>
      <c r="E97" s="46">
        <v>132</v>
      </c>
      <c r="F97" s="45" t="s">
        <v>253</v>
      </c>
      <c r="G97" s="46" t="s">
        <v>254</v>
      </c>
      <c r="H97" s="47">
        <v>48.8</v>
      </c>
      <c r="I97" s="47">
        <v>0</v>
      </c>
      <c r="J97" s="47" t="s">
        <v>35</v>
      </c>
      <c r="K97" s="47" t="s">
        <v>35</v>
      </c>
      <c r="L97" s="270"/>
      <c r="M97" s="160"/>
      <c r="N97" s="270"/>
      <c r="O97" s="211"/>
      <c r="P97" s="278"/>
      <c r="Q97" s="87"/>
      <c r="R97" s="87"/>
      <c r="S97" s="46"/>
      <c r="T97" s="38"/>
    </row>
    <row r="98" spans="1:20" x14ac:dyDescent="0.25">
      <c r="A98" s="106" t="s">
        <v>637</v>
      </c>
      <c r="B98" s="17" t="s">
        <v>649</v>
      </c>
      <c r="C98" s="22" t="s">
        <v>239</v>
      </c>
      <c r="D98" s="17" t="s">
        <v>240</v>
      </c>
      <c r="E98" s="17">
        <v>33</v>
      </c>
      <c r="F98" s="22" t="s">
        <v>97</v>
      </c>
      <c r="G98" s="41" t="s">
        <v>103</v>
      </c>
      <c r="H98" s="19">
        <v>48.8</v>
      </c>
      <c r="I98" s="19">
        <v>0</v>
      </c>
      <c r="J98" s="19" t="s">
        <v>35</v>
      </c>
      <c r="K98" s="19" t="s">
        <v>35</v>
      </c>
      <c r="L98" s="72">
        <v>56.750300000000003</v>
      </c>
      <c r="M98" s="72"/>
      <c r="N98" s="167" t="s">
        <v>262</v>
      </c>
      <c r="O98" s="167"/>
      <c r="P98" s="20"/>
      <c r="Q98" s="160"/>
      <c r="R98" s="160"/>
      <c r="S98" s="66"/>
    </row>
    <row r="99" spans="1:20" x14ac:dyDescent="0.25">
      <c r="A99" s="106" t="s">
        <v>637</v>
      </c>
      <c r="B99" s="17" t="s">
        <v>649</v>
      </c>
      <c r="C99" s="22" t="s">
        <v>241</v>
      </c>
      <c r="D99" s="17" t="s">
        <v>242</v>
      </c>
      <c r="E99" s="17">
        <v>11</v>
      </c>
      <c r="F99" s="22" t="s">
        <v>96</v>
      </c>
      <c r="G99" s="17" t="s">
        <v>102</v>
      </c>
      <c r="H99" s="19">
        <v>48.8</v>
      </c>
      <c r="I99" s="19">
        <v>0</v>
      </c>
      <c r="J99" s="19" t="s">
        <v>35</v>
      </c>
      <c r="K99" s="19" t="s">
        <v>35</v>
      </c>
      <c r="L99" s="72">
        <v>9.3911999999999995</v>
      </c>
      <c r="M99" s="72"/>
      <c r="N99" s="167" t="s">
        <v>263</v>
      </c>
      <c r="O99" s="167"/>
      <c r="P99" s="20"/>
      <c r="Q99" s="160"/>
      <c r="R99" s="160"/>
      <c r="S99" s="66"/>
    </row>
    <row r="100" spans="1:20" x14ac:dyDescent="0.25">
      <c r="A100" s="106" t="s">
        <v>637</v>
      </c>
      <c r="B100" s="17" t="s">
        <v>649</v>
      </c>
      <c r="C100" s="22" t="s">
        <v>243</v>
      </c>
      <c r="D100" s="17" t="s">
        <v>244</v>
      </c>
      <c r="E100" s="17">
        <v>33</v>
      </c>
      <c r="F100" s="22" t="s">
        <v>95</v>
      </c>
      <c r="G100" s="17" t="s">
        <v>99</v>
      </c>
      <c r="H100" s="19">
        <v>48.8</v>
      </c>
      <c r="I100" s="19">
        <v>0</v>
      </c>
      <c r="J100" s="19" t="s">
        <v>35</v>
      </c>
      <c r="K100" s="19" t="s">
        <v>35</v>
      </c>
      <c r="L100" s="72">
        <v>22.799900000000001</v>
      </c>
      <c r="M100" s="72"/>
      <c r="N100" s="167" t="s">
        <v>264</v>
      </c>
      <c r="O100" s="167"/>
      <c r="P100" s="20"/>
      <c r="Q100" s="160"/>
      <c r="R100" s="160"/>
      <c r="S100" s="66"/>
    </row>
    <row r="101" spans="1:20" x14ac:dyDescent="0.25">
      <c r="A101" s="104" t="s">
        <v>638</v>
      </c>
      <c r="B101" s="7" t="s">
        <v>107</v>
      </c>
      <c r="C101" s="6" t="s">
        <v>341</v>
      </c>
      <c r="D101" s="7" t="s">
        <v>342</v>
      </c>
      <c r="E101" s="7">
        <v>33</v>
      </c>
      <c r="F101" s="6" t="s">
        <v>95</v>
      </c>
      <c r="G101" s="7" t="s">
        <v>99</v>
      </c>
      <c r="H101" s="8">
        <v>48.7</v>
      </c>
      <c r="I101" s="8">
        <v>0</v>
      </c>
      <c r="J101" s="8" t="s">
        <v>35</v>
      </c>
      <c r="K101" s="8" t="s">
        <v>35</v>
      </c>
      <c r="L101" s="73">
        <v>58.122599999999998</v>
      </c>
      <c r="M101" s="73"/>
      <c r="N101" s="163" t="s">
        <v>372</v>
      </c>
      <c r="O101" s="163"/>
      <c r="P101" s="124"/>
      <c r="Q101" s="160"/>
      <c r="R101" s="160"/>
      <c r="S101" s="66"/>
    </row>
    <row r="102" spans="1:20" x14ac:dyDescent="0.25">
      <c r="A102" s="104" t="s">
        <v>638</v>
      </c>
      <c r="B102" s="7" t="s">
        <v>107</v>
      </c>
      <c r="C102" s="6" t="s">
        <v>360</v>
      </c>
      <c r="D102" s="7" t="s">
        <v>361</v>
      </c>
      <c r="E102" s="7">
        <v>33</v>
      </c>
      <c r="F102" s="6" t="s">
        <v>97</v>
      </c>
      <c r="G102" s="7" t="s">
        <v>103</v>
      </c>
      <c r="H102" s="8">
        <v>48.7</v>
      </c>
      <c r="I102" s="8">
        <v>0</v>
      </c>
      <c r="J102" s="8" t="s">
        <v>35</v>
      </c>
      <c r="K102" s="8" t="s">
        <v>35</v>
      </c>
      <c r="L102" s="73">
        <v>72.3964</v>
      </c>
      <c r="M102" s="73"/>
      <c r="N102" s="7" t="s">
        <v>381</v>
      </c>
      <c r="O102" s="7"/>
      <c r="P102" s="124"/>
      <c r="Q102" s="160"/>
      <c r="R102" s="160"/>
      <c r="S102" s="66"/>
    </row>
    <row r="103" spans="1:20" x14ac:dyDescent="0.25">
      <c r="A103" s="104" t="s">
        <v>638</v>
      </c>
      <c r="B103" s="7" t="s">
        <v>651</v>
      </c>
      <c r="C103" s="6" t="s">
        <v>364</v>
      </c>
      <c r="D103" s="7" t="s">
        <v>365</v>
      </c>
      <c r="E103" s="7">
        <v>33</v>
      </c>
      <c r="F103" s="58" t="s">
        <v>95</v>
      </c>
      <c r="G103" s="7" t="s">
        <v>99</v>
      </c>
      <c r="H103" s="8">
        <v>48.7</v>
      </c>
      <c r="I103" s="8">
        <v>0</v>
      </c>
      <c r="J103" s="8" t="s">
        <v>35</v>
      </c>
      <c r="K103" s="8" t="s">
        <v>35</v>
      </c>
      <c r="L103" s="73">
        <v>38.901899999999998</v>
      </c>
      <c r="M103" s="73"/>
      <c r="N103" s="163" t="s">
        <v>383</v>
      </c>
      <c r="O103" s="163"/>
      <c r="P103" s="124"/>
      <c r="Q103" s="160"/>
      <c r="R103" s="160"/>
      <c r="S103" s="66"/>
    </row>
    <row r="104" spans="1:20" x14ac:dyDescent="0.25">
      <c r="A104" s="104" t="s">
        <v>638</v>
      </c>
      <c r="B104" s="7" t="s">
        <v>651</v>
      </c>
      <c r="C104" s="6" t="s">
        <v>345</v>
      </c>
      <c r="D104" s="7" t="s">
        <v>346</v>
      </c>
      <c r="E104" s="7">
        <v>33</v>
      </c>
      <c r="F104" s="6" t="s">
        <v>97</v>
      </c>
      <c r="G104" s="7" t="s">
        <v>103</v>
      </c>
      <c r="H104" s="8">
        <v>48.7</v>
      </c>
      <c r="I104" s="8">
        <v>0</v>
      </c>
      <c r="J104" s="8" t="s">
        <v>35</v>
      </c>
      <c r="K104" s="8" t="s">
        <v>35</v>
      </c>
      <c r="L104" s="73">
        <v>84.959900000000005</v>
      </c>
      <c r="M104" s="73"/>
      <c r="N104" s="163" t="s">
        <v>374</v>
      </c>
      <c r="O104" s="163"/>
      <c r="P104" s="124"/>
      <c r="Q104" s="160">
        <v>0.9</v>
      </c>
      <c r="R104" s="160">
        <v>90</v>
      </c>
      <c r="S104" s="66">
        <v>3</v>
      </c>
    </row>
    <row r="105" spans="1:20" x14ac:dyDescent="0.25">
      <c r="A105" s="104" t="s">
        <v>638</v>
      </c>
      <c r="B105" s="7" t="s">
        <v>577</v>
      </c>
      <c r="C105" s="6" t="s">
        <v>366</v>
      </c>
      <c r="D105" s="7" t="s">
        <v>367</v>
      </c>
      <c r="E105" s="7">
        <v>11</v>
      </c>
      <c r="F105" s="6" t="s">
        <v>96</v>
      </c>
      <c r="G105" s="7" t="s">
        <v>102</v>
      </c>
      <c r="H105" s="8">
        <v>48.7</v>
      </c>
      <c r="I105" s="8">
        <v>0</v>
      </c>
      <c r="J105" s="8" t="s">
        <v>35</v>
      </c>
      <c r="K105" s="8" t="s">
        <v>35</v>
      </c>
      <c r="L105" s="73">
        <v>17.323799999999999</v>
      </c>
      <c r="M105" s="73"/>
      <c r="N105" s="7" t="s">
        <v>384</v>
      </c>
      <c r="O105" s="7"/>
      <c r="P105" s="124"/>
      <c r="Q105" s="160"/>
      <c r="R105" s="160"/>
      <c r="S105" s="66"/>
    </row>
    <row r="106" spans="1:20" x14ac:dyDescent="0.25">
      <c r="A106" s="104" t="s">
        <v>638</v>
      </c>
      <c r="B106" s="7" t="s">
        <v>577</v>
      </c>
      <c r="C106" s="6" t="s">
        <v>347</v>
      </c>
      <c r="D106" s="7" t="s">
        <v>348</v>
      </c>
      <c r="E106" s="7">
        <v>132</v>
      </c>
      <c r="F106" s="6" t="s">
        <v>369</v>
      </c>
      <c r="G106" s="7" t="s">
        <v>44</v>
      </c>
      <c r="H106" s="8">
        <v>48.7</v>
      </c>
      <c r="I106" s="8">
        <v>0</v>
      </c>
      <c r="J106" s="8" t="s">
        <v>35</v>
      </c>
      <c r="K106" s="8" t="s">
        <v>35</v>
      </c>
      <c r="L106" s="261">
        <v>298</v>
      </c>
      <c r="M106" s="164"/>
      <c r="N106" s="256" t="s">
        <v>371</v>
      </c>
      <c r="O106" s="212"/>
      <c r="P106" s="282" t="s">
        <v>756</v>
      </c>
      <c r="Q106" s="160"/>
      <c r="R106" s="160"/>
      <c r="S106" s="66"/>
    </row>
    <row r="107" spans="1:20" x14ac:dyDescent="0.25">
      <c r="A107" s="104" t="s">
        <v>638</v>
      </c>
      <c r="B107" s="7" t="s">
        <v>654</v>
      </c>
      <c r="C107" s="6" t="s">
        <v>232</v>
      </c>
      <c r="D107" s="7" t="s">
        <v>233</v>
      </c>
      <c r="E107" s="7">
        <v>132</v>
      </c>
      <c r="F107" s="6" t="s">
        <v>370</v>
      </c>
      <c r="G107" s="7" t="s">
        <v>191</v>
      </c>
      <c r="H107" s="8">
        <v>48.7</v>
      </c>
      <c r="I107" s="8">
        <v>0</v>
      </c>
      <c r="J107" s="8" t="s">
        <v>35</v>
      </c>
      <c r="K107" s="8" t="s">
        <v>35</v>
      </c>
      <c r="L107" s="261"/>
      <c r="M107" s="164"/>
      <c r="N107" s="256"/>
      <c r="O107" s="213"/>
      <c r="P107" s="283"/>
      <c r="Q107" s="160"/>
      <c r="R107" s="160"/>
      <c r="S107" s="66"/>
    </row>
    <row r="108" spans="1:20" s="2" customFormat="1" x14ac:dyDescent="0.25">
      <c r="A108" s="104" t="s">
        <v>638</v>
      </c>
      <c r="B108" s="35" t="s">
        <v>653</v>
      </c>
      <c r="C108" s="37" t="s">
        <v>351</v>
      </c>
      <c r="D108" s="35" t="s">
        <v>352</v>
      </c>
      <c r="E108" s="35">
        <v>132</v>
      </c>
      <c r="F108" s="37" t="s">
        <v>353</v>
      </c>
      <c r="G108" s="35" t="s">
        <v>39</v>
      </c>
      <c r="H108" s="36">
        <v>48.7</v>
      </c>
      <c r="I108" s="36">
        <v>0</v>
      </c>
      <c r="J108" s="36" t="s">
        <v>35</v>
      </c>
      <c r="K108" s="36" t="s">
        <v>35</v>
      </c>
      <c r="L108" s="261"/>
      <c r="M108" s="164"/>
      <c r="N108" s="256"/>
      <c r="O108" s="214"/>
      <c r="P108" s="284"/>
      <c r="Q108" s="87"/>
      <c r="R108" s="87"/>
      <c r="S108" s="46"/>
      <c r="T108" s="38"/>
    </row>
    <row r="109" spans="1:20" s="2" customFormat="1" x14ac:dyDescent="0.25">
      <c r="A109" s="104" t="s">
        <v>638</v>
      </c>
      <c r="B109" s="35" t="s">
        <v>653</v>
      </c>
      <c r="C109" s="37" t="s">
        <v>349</v>
      </c>
      <c r="D109" s="35" t="s">
        <v>350</v>
      </c>
      <c r="E109" s="35">
        <v>11</v>
      </c>
      <c r="F109" s="37" t="s">
        <v>96</v>
      </c>
      <c r="G109" s="35" t="s">
        <v>102</v>
      </c>
      <c r="H109" s="36">
        <v>48.7</v>
      </c>
      <c r="I109" s="36">
        <v>0</v>
      </c>
      <c r="J109" s="36" t="s">
        <v>35</v>
      </c>
      <c r="K109" s="36" t="s">
        <v>35</v>
      </c>
      <c r="L109" s="74">
        <v>18</v>
      </c>
      <c r="M109" s="74"/>
      <c r="N109" s="35" t="s">
        <v>375</v>
      </c>
      <c r="O109" s="35"/>
      <c r="P109" s="37" t="s">
        <v>756</v>
      </c>
      <c r="Q109" s="87"/>
      <c r="R109" s="87"/>
      <c r="S109" s="46"/>
      <c r="T109" s="38"/>
    </row>
    <row r="110" spans="1:20" s="2" customFormat="1" x14ac:dyDescent="0.25">
      <c r="A110" s="104" t="s">
        <v>638</v>
      </c>
      <c r="B110" s="35" t="s">
        <v>653</v>
      </c>
      <c r="C110" s="37" t="s">
        <v>349</v>
      </c>
      <c r="D110" s="35" t="s">
        <v>350</v>
      </c>
      <c r="E110" s="35">
        <v>33</v>
      </c>
      <c r="F110" s="37" t="s">
        <v>97</v>
      </c>
      <c r="G110" s="35" t="s">
        <v>103</v>
      </c>
      <c r="H110" s="36">
        <v>48.7</v>
      </c>
      <c r="I110" s="36">
        <v>0</v>
      </c>
      <c r="J110" s="36" t="s">
        <v>35</v>
      </c>
      <c r="K110" s="36" t="s">
        <v>35</v>
      </c>
      <c r="L110" s="74">
        <v>60</v>
      </c>
      <c r="M110" s="74"/>
      <c r="N110" s="35" t="s">
        <v>376</v>
      </c>
      <c r="O110" s="35"/>
      <c r="P110" s="37" t="s">
        <v>756</v>
      </c>
      <c r="Q110" s="87"/>
      <c r="R110" s="87"/>
      <c r="S110" s="46"/>
      <c r="T110" s="38"/>
    </row>
    <row r="111" spans="1:20" s="2" customFormat="1" x14ac:dyDescent="0.25">
      <c r="A111" s="104" t="s">
        <v>638</v>
      </c>
      <c r="B111" s="35" t="s">
        <v>653</v>
      </c>
      <c r="C111" s="37" t="s">
        <v>354</v>
      </c>
      <c r="D111" s="35" t="s">
        <v>355</v>
      </c>
      <c r="E111" s="35">
        <v>11</v>
      </c>
      <c r="F111" s="37" t="s">
        <v>96</v>
      </c>
      <c r="G111" s="35" t="s">
        <v>102</v>
      </c>
      <c r="H111" s="36">
        <v>48.7</v>
      </c>
      <c r="I111" s="36">
        <v>0</v>
      </c>
      <c r="J111" s="36" t="s">
        <v>35</v>
      </c>
      <c r="K111" s="36" t="s">
        <v>35</v>
      </c>
      <c r="L111" s="74">
        <v>30</v>
      </c>
      <c r="M111" s="74"/>
      <c r="N111" s="35" t="s">
        <v>377</v>
      </c>
      <c r="O111" s="35"/>
      <c r="P111" s="37" t="s">
        <v>756</v>
      </c>
      <c r="Q111" s="87"/>
      <c r="R111" s="87"/>
      <c r="S111" s="46"/>
      <c r="T111" s="38"/>
    </row>
    <row r="112" spans="1:20" s="2" customFormat="1" x14ac:dyDescent="0.25">
      <c r="A112" s="104" t="s">
        <v>638</v>
      </c>
      <c r="B112" s="35" t="s">
        <v>653</v>
      </c>
      <c r="C112" s="37" t="s">
        <v>354</v>
      </c>
      <c r="D112" s="35" t="s">
        <v>355</v>
      </c>
      <c r="E112" s="35">
        <v>33</v>
      </c>
      <c r="F112" s="37" t="s">
        <v>97</v>
      </c>
      <c r="G112" s="35" t="s">
        <v>103</v>
      </c>
      <c r="H112" s="36">
        <v>48.7</v>
      </c>
      <c r="I112" s="36">
        <v>0</v>
      </c>
      <c r="J112" s="36" t="s">
        <v>35</v>
      </c>
      <c r="K112" s="36" t="s">
        <v>35</v>
      </c>
      <c r="L112" s="74">
        <v>61</v>
      </c>
      <c r="M112" s="74"/>
      <c r="N112" s="35" t="s">
        <v>378</v>
      </c>
      <c r="O112" s="35"/>
      <c r="P112" s="37" t="s">
        <v>756</v>
      </c>
      <c r="Q112" s="87"/>
      <c r="R112" s="87"/>
      <c r="S112" s="46"/>
      <c r="T112" s="38"/>
    </row>
    <row r="113" spans="1:20" s="2" customFormat="1" x14ac:dyDescent="0.25">
      <c r="A113" s="104" t="s">
        <v>638</v>
      </c>
      <c r="B113" s="35" t="s">
        <v>654</v>
      </c>
      <c r="C113" s="37" t="s">
        <v>356</v>
      </c>
      <c r="D113" s="35" t="s">
        <v>357</v>
      </c>
      <c r="E113" s="35">
        <v>11</v>
      </c>
      <c r="F113" s="37" t="s">
        <v>96</v>
      </c>
      <c r="G113" s="35" t="s">
        <v>102</v>
      </c>
      <c r="H113" s="36">
        <v>48.7</v>
      </c>
      <c r="I113" s="36">
        <v>0</v>
      </c>
      <c r="J113" s="36" t="s">
        <v>35</v>
      </c>
      <c r="K113" s="36" t="s">
        <v>35</v>
      </c>
      <c r="L113" s="74">
        <v>22.8675</v>
      </c>
      <c r="M113" s="74"/>
      <c r="N113" s="35" t="s">
        <v>379</v>
      </c>
      <c r="O113" s="35"/>
      <c r="P113" s="37" t="s">
        <v>757</v>
      </c>
      <c r="Q113" s="87"/>
      <c r="R113" s="87"/>
      <c r="S113" s="46"/>
      <c r="T113" s="38"/>
    </row>
    <row r="114" spans="1:20" x14ac:dyDescent="0.25">
      <c r="A114" s="104" t="s">
        <v>638</v>
      </c>
      <c r="B114" s="7" t="s">
        <v>45</v>
      </c>
      <c r="C114" s="6" t="s">
        <v>358</v>
      </c>
      <c r="D114" s="7" t="s">
        <v>359</v>
      </c>
      <c r="E114" s="7">
        <v>33</v>
      </c>
      <c r="F114" s="6" t="s">
        <v>385</v>
      </c>
      <c r="G114" s="7" t="s">
        <v>110</v>
      </c>
      <c r="H114" s="8">
        <v>48.7</v>
      </c>
      <c r="I114" s="8">
        <v>0</v>
      </c>
      <c r="J114" s="8" t="s">
        <v>35</v>
      </c>
      <c r="K114" s="8" t="s">
        <v>35</v>
      </c>
      <c r="L114" s="73">
        <v>71.397199999999998</v>
      </c>
      <c r="M114" s="73"/>
      <c r="N114" s="7" t="s">
        <v>380</v>
      </c>
      <c r="O114" s="7"/>
      <c r="P114" s="124"/>
      <c r="Q114" s="160"/>
      <c r="R114" s="160"/>
      <c r="S114" s="66"/>
    </row>
    <row r="115" spans="1:20" x14ac:dyDescent="0.25">
      <c r="A115" s="104" t="s">
        <v>638</v>
      </c>
      <c r="B115" s="7" t="s">
        <v>45</v>
      </c>
      <c r="C115" s="6" t="s">
        <v>343</v>
      </c>
      <c r="D115" s="7" t="s">
        <v>344</v>
      </c>
      <c r="E115" s="7">
        <v>33</v>
      </c>
      <c r="F115" s="6" t="s">
        <v>95</v>
      </c>
      <c r="G115" s="7" t="s">
        <v>368</v>
      </c>
      <c r="H115" s="8">
        <v>48.7</v>
      </c>
      <c r="I115" s="8">
        <v>0</v>
      </c>
      <c r="J115" s="8" t="s">
        <v>35</v>
      </c>
      <c r="K115" s="8" t="s">
        <v>35</v>
      </c>
      <c r="L115" s="73">
        <v>66.698800000000006</v>
      </c>
      <c r="M115" s="73"/>
      <c r="N115" s="163" t="s">
        <v>373</v>
      </c>
      <c r="O115" s="163"/>
      <c r="P115" s="124"/>
      <c r="Q115" s="160"/>
      <c r="R115" s="160"/>
      <c r="S115" s="66"/>
    </row>
    <row r="116" spans="1:20" x14ac:dyDescent="0.25">
      <c r="A116" s="104" t="s">
        <v>638</v>
      </c>
      <c r="B116" s="7" t="s">
        <v>45</v>
      </c>
      <c r="C116" s="6" t="s">
        <v>362</v>
      </c>
      <c r="D116" s="7" t="s">
        <v>363</v>
      </c>
      <c r="E116" s="7">
        <v>11</v>
      </c>
      <c r="F116" s="6" t="s">
        <v>96</v>
      </c>
      <c r="G116" s="7" t="s">
        <v>102</v>
      </c>
      <c r="H116" s="8">
        <v>48.7</v>
      </c>
      <c r="I116" s="8">
        <v>0</v>
      </c>
      <c r="J116" s="8" t="s">
        <v>35</v>
      </c>
      <c r="K116" s="8" t="s">
        <v>35</v>
      </c>
      <c r="L116" s="73">
        <v>31.760899999999999</v>
      </c>
      <c r="M116" s="73"/>
      <c r="N116" s="7" t="s">
        <v>382</v>
      </c>
      <c r="O116" s="7"/>
      <c r="P116" s="124"/>
      <c r="Q116" s="160"/>
      <c r="R116" s="160"/>
      <c r="S116" s="66"/>
    </row>
    <row r="117" spans="1:20" x14ac:dyDescent="0.25">
      <c r="A117" s="106" t="s">
        <v>639</v>
      </c>
      <c r="B117" s="60" t="s">
        <v>653</v>
      </c>
      <c r="C117" s="29" t="s">
        <v>386</v>
      </c>
      <c r="D117" s="30" t="s">
        <v>387</v>
      </c>
      <c r="E117" s="30">
        <v>11</v>
      </c>
      <c r="F117" s="29" t="s">
        <v>96</v>
      </c>
      <c r="G117" s="57" t="s">
        <v>102</v>
      </c>
      <c r="H117" s="31">
        <v>48.6</v>
      </c>
      <c r="I117" s="31">
        <v>0</v>
      </c>
      <c r="J117" s="31" t="s">
        <v>35</v>
      </c>
      <c r="K117" s="31" t="s">
        <v>35</v>
      </c>
      <c r="L117" s="83">
        <v>21.392700000000001</v>
      </c>
      <c r="M117" s="228"/>
      <c r="N117" s="92" t="s">
        <v>426</v>
      </c>
      <c r="O117" s="92"/>
      <c r="P117" s="20"/>
      <c r="Q117" s="160"/>
      <c r="R117" s="160"/>
      <c r="S117" s="66"/>
    </row>
    <row r="118" spans="1:20" x14ac:dyDescent="0.25">
      <c r="A118" s="106" t="s">
        <v>639</v>
      </c>
      <c r="B118" s="24" t="s">
        <v>650</v>
      </c>
      <c r="C118" s="22" t="s">
        <v>388</v>
      </c>
      <c r="D118" s="17" t="s">
        <v>389</v>
      </c>
      <c r="E118" s="17">
        <v>22</v>
      </c>
      <c r="F118" s="22" t="s">
        <v>94</v>
      </c>
      <c r="G118" s="17" t="s">
        <v>99</v>
      </c>
      <c r="H118" s="19">
        <v>48.6</v>
      </c>
      <c r="I118" s="19">
        <v>0</v>
      </c>
      <c r="J118" s="19" t="s">
        <v>35</v>
      </c>
      <c r="K118" s="19" t="s">
        <v>35</v>
      </c>
      <c r="L118" s="72">
        <v>35.081299999999999</v>
      </c>
      <c r="M118" s="229"/>
      <c r="N118" s="40" t="s">
        <v>427</v>
      </c>
      <c r="O118" s="40"/>
      <c r="P118" s="20"/>
      <c r="Q118" s="160"/>
      <c r="R118" s="160"/>
      <c r="S118" s="66"/>
    </row>
    <row r="119" spans="1:20" s="2" customFormat="1" x14ac:dyDescent="0.25">
      <c r="A119" s="106" t="s">
        <v>639</v>
      </c>
      <c r="B119" s="52" t="s">
        <v>650</v>
      </c>
      <c r="C119" s="49" t="s">
        <v>409</v>
      </c>
      <c r="D119" s="50" t="s">
        <v>410</v>
      </c>
      <c r="E119" s="46">
        <v>22</v>
      </c>
      <c r="F119" s="49" t="s">
        <v>411</v>
      </c>
      <c r="G119" s="50" t="s">
        <v>425</v>
      </c>
      <c r="H119" s="51">
        <v>48.6</v>
      </c>
      <c r="I119" s="51">
        <v>0</v>
      </c>
      <c r="J119" s="51" t="s">
        <v>35</v>
      </c>
      <c r="K119" s="51" t="s">
        <v>35</v>
      </c>
      <c r="L119" s="75">
        <v>1.4469000000000001</v>
      </c>
      <c r="M119" s="230"/>
      <c r="N119" s="48" t="s">
        <v>439</v>
      </c>
      <c r="O119" s="48"/>
      <c r="P119" s="45" t="s">
        <v>758</v>
      </c>
      <c r="Q119" s="87"/>
      <c r="R119" s="87"/>
      <c r="S119" s="46"/>
      <c r="T119" s="38"/>
    </row>
    <row r="120" spans="1:20" x14ac:dyDescent="0.25">
      <c r="A120" s="106" t="s">
        <v>639</v>
      </c>
      <c r="B120" s="24" t="s">
        <v>650</v>
      </c>
      <c r="C120" s="22" t="s">
        <v>395</v>
      </c>
      <c r="D120" s="17" t="s">
        <v>396</v>
      </c>
      <c r="E120" s="17">
        <v>22</v>
      </c>
      <c r="F120" s="22" t="s">
        <v>94</v>
      </c>
      <c r="G120" s="17" t="s">
        <v>99</v>
      </c>
      <c r="H120" s="19">
        <v>48.6</v>
      </c>
      <c r="I120" s="19">
        <v>0</v>
      </c>
      <c r="J120" s="19" t="s">
        <v>35</v>
      </c>
      <c r="K120" s="19" t="s">
        <v>35</v>
      </c>
      <c r="L120" s="72">
        <v>33.332500000000003</v>
      </c>
      <c r="M120" s="229"/>
      <c r="N120" s="40" t="s">
        <v>432</v>
      </c>
      <c r="O120" s="40"/>
      <c r="P120" s="20"/>
      <c r="Q120" s="160">
        <v>0.9</v>
      </c>
      <c r="R120" s="160">
        <v>30</v>
      </c>
      <c r="S120" s="66">
        <v>1</v>
      </c>
    </row>
    <row r="121" spans="1:20" x14ac:dyDescent="0.25">
      <c r="A121" s="106" t="s">
        <v>639</v>
      </c>
      <c r="B121" s="24" t="s">
        <v>652</v>
      </c>
      <c r="C121" s="22" t="s">
        <v>238</v>
      </c>
      <c r="D121" s="17" t="s">
        <v>130</v>
      </c>
      <c r="E121" s="17">
        <v>132</v>
      </c>
      <c r="F121" s="22" t="s">
        <v>429</v>
      </c>
      <c r="G121" s="17">
        <v>605</v>
      </c>
      <c r="H121" s="19">
        <v>48.6</v>
      </c>
      <c r="I121" s="19">
        <v>0</v>
      </c>
      <c r="J121" s="19" t="s">
        <v>35</v>
      </c>
      <c r="K121" s="19" t="s">
        <v>35</v>
      </c>
      <c r="L121" s="279">
        <v>90</v>
      </c>
      <c r="M121" s="231"/>
      <c r="N121" s="281" t="s">
        <v>431</v>
      </c>
      <c r="O121" s="215"/>
      <c r="P121" s="287"/>
      <c r="Q121" s="160"/>
      <c r="R121" s="160"/>
      <c r="S121" s="66"/>
    </row>
    <row r="122" spans="1:20" x14ac:dyDescent="0.25">
      <c r="A122" s="106" t="s">
        <v>639</v>
      </c>
      <c r="B122" s="24" t="s">
        <v>652</v>
      </c>
      <c r="C122" s="22" t="s">
        <v>393</v>
      </c>
      <c r="D122" s="17" t="s">
        <v>394</v>
      </c>
      <c r="E122" s="17">
        <v>132</v>
      </c>
      <c r="F122" s="22" t="s">
        <v>430</v>
      </c>
      <c r="G122" s="17">
        <v>205</v>
      </c>
      <c r="H122" s="19">
        <v>48.6</v>
      </c>
      <c r="I122" s="19">
        <v>0</v>
      </c>
      <c r="J122" s="19" t="s">
        <v>35</v>
      </c>
      <c r="K122" s="31" t="s">
        <v>35</v>
      </c>
      <c r="L122" s="280"/>
      <c r="M122" s="232"/>
      <c r="N122" s="281"/>
      <c r="O122" s="112"/>
      <c r="P122" s="288"/>
      <c r="Q122" s="160"/>
      <c r="R122" s="160"/>
      <c r="S122" s="66"/>
    </row>
    <row r="123" spans="1:20" x14ac:dyDescent="0.25">
      <c r="A123" s="106" t="s">
        <v>639</v>
      </c>
      <c r="B123" s="24" t="s">
        <v>649</v>
      </c>
      <c r="C123" s="22" t="s">
        <v>399</v>
      </c>
      <c r="D123" s="17" t="s">
        <v>400</v>
      </c>
      <c r="E123" s="17">
        <v>33</v>
      </c>
      <c r="F123" s="22" t="s">
        <v>445</v>
      </c>
      <c r="G123" s="17" t="s">
        <v>110</v>
      </c>
      <c r="H123" s="19">
        <v>48.6</v>
      </c>
      <c r="I123" s="19">
        <v>0</v>
      </c>
      <c r="J123" s="19" t="s">
        <v>35</v>
      </c>
      <c r="K123" s="19" t="s">
        <v>35</v>
      </c>
      <c r="L123" s="72">
        <v>61.133400000000002</v>
      </c>
      <c r="M123" s="229"/>
      <c r="N123" s="40" t="s">
        <v>630</v>
      </c>
      <c r="O123" s="40"/>
      <c r="P123" s="20"/>
      <c r="Q123" s="160"/>
      <c r="R123" s="160"/>
      <c r="S123" s="66"/>
    </row>
    <row r="124" spans="1:20" x14ac:dyDescent="0.25">
      <c r="A124" s="106" t="s">
        <v>639</v>
      </c>
      <c r="B124" s="15" t="s">
        <v>649</v>
      </c>
      <c r="C124" s="13" t="s">
        <v>403</v>
      </c>
      <c r="D124" s="14" t="s">
        <v>404</v>
      </c>
      <c r="E124" s="15">
        <v>33</v>
      </c>
      <c r="F124" s="16" t="s">
        <v>95</v>
      </c>
      <c r="G124" s="17" t="s">
        <v>99</v>
      </c>
      <c r="H124" s="19">
        <v>48.6</v>
      </c>
      <c r="I124" s="19">
        <v>0</v>
      </c>
      <c r="J124" s="19" t="s">
        <v>35</v>
      </c>
      <c r="K124" s="19" t="s">
        <v>35</v>
      </c>
      <c r="L124" s="72">
        <v>105.8642</v>
      </c>
      <c r="M124" s="229"/>
      <c r="N124" s="21" t="s">
        <v>436</v>
      </c>
      <c r="O124" s="21"/>
      <c r="P124" s="20"/>
      <c r="Q124" s="160"/>
      <c r="R124" s="160"/>
      <c r="S124" s="66"/>
    </row>
    <row r="125" spans="1:20" x14ac:dyDescent="0.25">
      <c r="A125" s="106" t="s">
        <v>639</v>
      </c>
      <c r="B125" s="24" t="s">
        <v>649</v>
      </c>
      <c r="C125" s="13" t="s">
        <v>405</v>
      </c>
      <c r="D125" s="14" t="s">
        <v>406</v>
      </c>
      <c r="E125" s="15">
        <v>33</v>
      </c>
      <c r="F125" s="16" t="s">
        <v>95</v>
      </c>
      <c r="G125" s="17" t="s">
        <v>99</v>
      </c>
      <c r="H125" s="19">
        <v>48.6</v>
      </c>
      <c r="I125" s="19">
        <v>0</v>
      </c>
      <c r="J125" s="19" t="s">
        <v>35</v>
      </c>
      <c r="K125" s="19" t="s">
        <v>35</v>
      </c>
      <c r="L125" s="72">
        <v>52.4377</v>
      </c>
      <c r="M125" s="229"/>
      <c r="N125" s="21" t="s">
        <v>437</v>
      </c>
      <c r="O125" s="21"/>
      <c r="P125" s="20"/>
      <c r="Q125" s="160"/>
      <c r="R125" s="160"/>
      <c r="S125" s="66"/>
    </row>
    <row r="126" spans="1:20" x14ac:dyDescent="0.25">
      <c r="A126" s="106" t="s">
        <v>639</v>
      </c>
      <c r="B126" s="24" t="s">
        <v>655</v>
      </c>
      <c r="C126" s="22" t="s">
        <v>407</v>
      </c>
      <c r="D126" s="17" t="s">
        <v>408</v>
      </c>
      <c r="E126" s="17">
        <v>33</v>
      </c>
      <c r="F126" s="22" t="s">
        <v>97</v>
      </c>
      <c r="G126" s="17" t="s">
        <v>103</v>
      </c>
      <c r="H126" s="19">
        <v>48.6</v>
      </c>
      <c r="I126" s="19">
        <v>0</v>
      </c>
      <c r="J126" s="19" t="s">
        <v>35</v>
      </c>
      <c r="K126" s="19" t="s">
        <v>35</v>
      </c>
      <c r="L126" s="72">
        <v>14.2995</v>
      </c>
      <c r="M126" s="229"/>
      <c r="N126" s="40" t="s">
        <v>438</v>
      </c>
      <c r="O126" s="40"/>
      <c r="P126" s="20"/>
      <c r="Q126" s="160"/>
      <c r="R126" s="160"/>
      <c r="S126" s="66"/>
    </row>
    <row r="127" spans="1:20" x14ac:dyDescent="0.25">
      <c r="A127" s="106" t="s">
        <v>639</v>
      </c>
      <c r="B127" s="15" t="s">
        <v>45</v>
      </c>
      <c r="C127" s="13" t="s">
        <v>401</v>
      </c>
      <c r="D127" s="14" t="s">
        <v>402</v>
      </c>
      <c r="E127" s="15">
        <v>33</v>
      </c>
      <c r="F127" s="16" t="s">
        <v>97</v>
      </c>
      <c r="G127" s="17" t="s">
        <v>103</v>
      </c>
      <c r="H127" s="19">
        <v>48.6</v>
      </c>
      <c r="I127" s="19">
        <v>0</v>
      </c>
      <c r="J127" s="19" t="s">
        <v>35</v>
      </c>
      <c r="K127" s="19" t="s">
        <v>35</v>
      </c>
      <c r="L127" s="72">
        <v>69.050399999999996</v>
      </c>
      <c r="M127" s="229"/>
      <c r="N127" s="21" t="s">
        <v>434</v>
      </c>
      <c r="O127" s="21"/>
      <c r="P127" s="20"/>
      <c r="Q127" s="160"/>
      <c r="R127" s="160"/>
      <c r="S127" s="66"/>
    </row>
    <row r="128" spans="1:20" x14ac:dyDescent="0.25">
      <c r="A128" s="106" t="s">
        <v>639</v>
      </c>
      <c r="B128" s="15" t="s">
        <v>45</v>
      </c>
      <c r="C128" s="13" t="s">
        <v>401</v>
      </c>
      <c r="D128" s="14" t="s">
        <v>402</v>
      </c>
      <c r="E128" s="15">
        <v>11</v>
      </c>
      <c r="F128" s="16" t="s">
        <v>96</v>
      </c>
      <c r="G128" s="17" t="s">
        <v>102</v>
      </c>
      <c r="H128" s="19">
        <v>48.6</v>
      </c>
      <c r="I128" s="19">
        <v>0</v>
      </c>
      <c r="J128" s="19" t="s">
        <v>35</v>
      </c>
      <c r="K128" s="19" t="s">
        <v>35</v>
      </c>
      <c r="L128" s="72">
        <v>15.0282</v>
      </c>
      <c r="M128" s="229"/>
      <c r="N128" s="21" t="s">
        <v>435</v>
      </c>
      <c r="O128" s="21"/>
      <c r="P128" s="20"/>
      <c r="Q128" s="160"/>
      <c r="R128" s="160"/>
      <c r="S128" s="66"/>
    </row>
    <row r="129" spans="1:20" s="80" customFormat="1" x14ac:dyDescent="0.25">
      <c r="A129" s="106" t="s">
        <v>639</v>
      </c>
      <c r="B129" s="24" t="s">
        <v>45</v>
      </c>
      <c r="C129" s="22" t="s">
        <v>397</v>
      </c>
      <c r="D129" s="17" t="s">
        <v>398</v>
      </c>
      <c r="E129" s="17">
        <v>33</v>
      </c>
      <c r="F129" s="22" t="s">
        <v>97</v>
      </c>
      <c r="G129" s="41" t="s">
        <v>103</v>
      </c>
      <c r="H129" s="19">
        <v>48.6</v>
      </c>
      <c r="I129" s="19">
        <v>0</v>
      </c>
      <c r="J129" s="19" t="s">
        <v>35</v>
      </c>
      <c r="K129" s="19" t="s">
        <v>35</v>
      </c>
      <c r="L129" s="78">
        <v>98.751000000000005</v>
      </c>
      <c r="M129" s="233"/>
      <c r="N129" s="40" t="s">
        <v>433</v>
      </c>
      <c r="O129" s="40"/>
      <c r="P129" s="22"/>
      <c r="Q129" s="167"/>
      <c r="R129" s="167"/>
      <c r="S129" s="17"/>
      <c r="T129" s="79"/>
    </row>
    <row r="130" spans="1:20" x14ac:dyDescent="0.25">
      <c r="A130" s="106" t="s">
        <v>639</v>
      </c>
      <c r="B130" s="60" t="s">
        <v>45</v>
      </c>
      <c r="C130" s="29" t="s">
        <v>390</v>
      </c>
      <c r="D130" s="30" t="s">
        <v>391</v>
      </c>
      <c r="E130" s="17">
        <v>11</v>
      </c>
      <c r="F130" s="29" t="s">
        <v>392</v>
      </c>
      <c r="G130" s="30" t="s">
        <v>424</v>
      </c>
      <c r="H130" s="19">
        <v>48.6</v>
      </c>
      <c r="I130" s="19">
        <v>0</v>
      </c>
      <c r="J130" s="31" t="s">
        <v>35</v>
      </c>
      <c r="K130" s="31" t="s">
        <v>35</v>
      </c>
      <c r="L130" s="72">
        <v>4.0548999999999999</v>
      </c>
      <c r="M130" s="229"/>
      <c r="N130" s="40" t="s">
        <v>428</v>
      </c>
      <c r="O130" s="40"/>
      <c r="P130" s="20"/>
      <c r="Q130" s="160"/>
      <c r="R130" s="160"/>
      <c r="S130" s="66"/>
    </row>
    <row r="131" spans="1:20" s="2" customFormat="1" x14ac:dyDescent="0.25">
      <c r="A131" s="106" t="s">
        <v>639</v>
      </c>
      <c r="B131" s="52" t="s">
        <v>45</v>
      </c>
      <c r="C131" s="49" t="s">
        <v>412</v>
      </c>
      <c r="D131" s="50" t="s">
        <v>413</v>
      </c>
      <c r="E131" s="52">
        <v>33</v>
      </c>
      <c r="F131" s="53" t="s">
        <v>95</v>
      </c>
      <c r="G131" s="46" t="s">
        <v>99</v>
      </c>
      <c r="H131" s="51">
        <v>48.6</v>
      </c>
      <c r="I131" s="51">
        <v>0</v>
      </c>
      <c r="J131" s="51" t="s">
        <v>35</v>
      </c>
      <c r="K131" s="47" t="s">
        <v>35</v>
      </c>
      <c r="L131" s="75">
        <v>77.169499999999999</v>
      </c>
      <c r="M131" s="230"/>
      <c r="N131" s="54" t="s">
        <v>440</v>
      </c>
      <c r="O131" s="54"/>
      <c r="P131" s="45" t="s">
        <v>759</v>
      </c>
      <c r="Q131" s="87"/>
      <c r="R131" s="87"/>
      <c r="S131" s="46"/>
      <c r="T131" s="38"/>
    </row>
    <row r="132" spans="1:20" s="2" customFormat="1" x14ac:dyDescent="0.25">
      <c r="A132" s="106" t="s">
        <v>639</v>
      </c>
      <c r="B132" s="123" t="s">
        <v>45</v>
      </c>
      <c r="C132" s="45" t="s">
        <v>418</v>
      </c>
      <c r="D132" s="46" t="s">
        <v>419</v>
      </c>
      <c r="E132" s="46">
        <v>33</v>
      </c>
      <c r="F132" s="45" t="s">
        <v>95</v>
      </c>
      <c r="G132" s="46" t="s">
        <v>99</v>
      </c>
      <c r="H132" s="47">
        <v>48.6</v>
      </c>
      <c r="I132" s="47">
        <v>0</v>
      </c>
      <c r="J132" s="47" t="s">
        <v>35</v>
      </c>
      <c r="K132" s="47" t="s">
        <v>35</v>
      </c>
      <c r="L132" s="75">
        <v>81.886700000000005</v>
      </c>
      <c r="M132" s="230"/>
      <c r="N132" s="48" t="s">
        <v>442</v>
      </c>
      <c r="O132" s="48"/>
      <c r="P132" s="45" t="s">
        <v>760</v>
      </c>
      <c r="Q132" s="87"/>
      <c r="R132" s="87"/>
      <c r="S132" s="46"/>
      <c r="T132" s="38"/>
    </row>
    <row r="133" spans="1:20" s="2" customFormat="1" x14ac:dyDescent="0.25">
      <c r="A133" s="106" t="s">
        <v>639</v>
      </c>
      <c r="B133" s="123" t="s">
        <v>649</v>
      </c>
      <c r="C133" s="45" t="s">
        <v>414</v>
      </c>
      <c r="D133" s="46" t="s">
        <v>415</v>
      </c>
      <c r="E133" s="46">
        <v>33</v>
      </c>
      <c r="F133" s="45" t="s">
        <v>95</v>
      </c>
      <c r="G133" s="46" t="s">
        <v>99</v>
      </c>
      <c r="H133" s="47">
        <v>48.6</v>
      </c>
      <c r="I133" s="47">
        <v>0</v>
      </c>
      <c r="J133" s="47" t="s">
        <v>35</v>
      </c>
      <c r="K133" s="47" t="s">
        <v>35</v>
      </c>
      <c r="L133" s="75">
        <v>45.098500000000001</v>
      </c>
      <c r="M133" s="230"/>
      <c r="N133" s="48" t="s">
        <v>441</v>
      </c>
      <c r="O133" s="48"/>
      <c r="P133" s="45" t="s">
        <v>761</v>
      </c>
      <c r="Q133" s="87"/>
      <c r="R133" s="87"/>
      <c r="S133" s="46"/>
      <c r="T133" s="38"/>
    </row>
    <row r="134" spans="1:20" x14ac:dyDescent="0.25">
      <c r="A134" s="106" t="s">
        <v>639</v>
      </c>
      <c r="B134" s="60" t="s">
        <v>651</v>
      </c>
      <c r="C134" s="22" t="s">
        <v>416</v>
      </c>
      <c r="D134" s="17" t="s">
        <v>417</v>
      </c>
      <c r="E134" s="17">
        <v>33</v>
      </c>
      <c r="F134" s="22" t="s">
        <v>95</v>
      </c>
      <c r="G134" s="17" t="s">
        <v>99</v>
      </c>
      <c r="H134" s="19">
        <v>48.6</v>
      </c>
      <c r="I134" s="19">
        <v>0</v>
      </c>
      <c r="J134" s="19" t="s">
        <v>35</v>
      </c>
      <c r="K134" s="19" t="s">
        <v>35</v>
      </c>
      <c r="L134" s="72">
        <v>71.665499999999994</v>
      </c>
      <c r="M134" s="229"/>
      <c r="N134" s="40" t="s">
        <v>446</v>
      </c>
      <c r="O134" s="40"/>
      <c r="P134" s="20"/>
      <c r="Q134" s="160"/>
      <c r="R134" s="160"/>
      <c r="S134" s="66"/>
    </row>
    <row r="135" spans="1:20" x14ac:dyDescent="0.25">
      <c r="A135" s="106" t="s">
        <v>639</v>
      </c>
      <c r="B135" s="60" t="s">
        <v>420</v>
      </c>
      <c r="C135" s="29" t="s">
        <v>420</v>
      </c>
      <c r="D135" s="30" t="s">
        <v>421</v>
      </c>
      <c r="E135" s="17">
        <v>11</v>
      </c>
      <c r="F135" s="29" t="s">
        <v>96</v>
      </c>
      <c r="G135" s="30" t="s">
        <v>102</v>
      </c>
      <c r="H135" s="19">
        <v>48.6</v>
      </c>
      <c r="I135" s="19">
        <v>0</v>
      </c>
      <c r="J135" s="31" t="s">
        <v>35</v>
      </c>
      <c r="K135" s="31" t="s">
        <v>35</v>
      </c>
      <c r="L135" s="72">
        <v>9.9041999999999994</v>
      </c>
      <c r="M135" s="229"/>
      <c r="N135" s="40" t="s">
        <v>443</v>
      </c>
      <c r="O135" s="40"/>
      <c r="P135" s="20"/>
      <c r="Q135" s="160"/>
      <c r="R135" s="160"/>
      <c r="S135" s="66"/>
    </row>
    <row r="136" spans="1:20" x14ac:dyDescent="0.25">
      <c r="A136" s="106" t="s">
        <v>639</v>
      </c>
      <c r="B136" s="15" t="s">
        <v>420</v>
      </c>
      <c r="C136" s="13" t="s">
        <v>422</v>
      </c>
      <c r="D136" s="14" t="s">
        <v>423</v>
      </c>
      <c r="E136" s="14">
        <v>11</v>
      </c>
      <c r="F136" s="13" t="s">
        <v>96</v>
      </c>
      <c r="G136" s="14" t="s">
        <v>102</v>
      </c>
      <c r="H136" s="18">
        <v>48.6</v>
      </c>
      <c r="I136" s="18">
        <v>0</v>
      </c>
      <c r="J136" s="18" t="s">
        <v>35</v>
      </c>
      <c r="K136" s="18" t="s">
        <v>35</v>
      </c>
      <c r="L136" s="91">
        <v>18.441099999999999</v>
      </c>
      <c r="M136" s="234"/>
      <c r="N136" s="93" t="s">
        <v>444</v>
      </c>
      <c r="O136" s="93"/>
      <c r="P136" s="20"/>
      <c r="Q136" s="160"/>
      <c r="R136" s="160"/>
      <c r="S136" s="66"/>
    </row>
    <row r="137" spans="1:20" x14ac:dyDescent="0.25">
      <c r="A137" s="104" t="s">
        <v>640</v>
      </c>
      <c r="B137" s="7" t="s">
        <v>577</v>
      </c>
      <c r="C137" s="6" t="s">
        <v>449</v>
      </c>
      <c r="D137" s="7" t="s">
        <v>450</v>
      </c>
      <c r="E137" s="7">
        <v>11</v>
      </c>
      <c r="F137" s="6" t="s">
        <v>96</v>
      </c>
      <c r="G137" s="7" t="s">
        <v>102</v>
      </c>
      <c r="H137" s="8">
        <v>48.5</v>
      </c>
      <c r="I137" s="8">
        <v>0</v>
      </c>
      <c r="J137" s="8" t="s">
        <v>35</v>
      </c>
      <c r="K137" s="8" t="s">
        <v>35</v>
      </c>
      <c r="L137" s="73">
        <v>20.343399999999999</v>
      </c>
      <c r="M137" s="73"/>
      <c r="N137" s="7" t="s">
        <v>478</v>
      </c>
      <c r="O137" s="7"/>
      <c r="P137" s="124"/>
      <c r="Q137" s="160"/>
      <c r="R137" s="160"/>
      <c r="S137" s="66"/>
    </row>
    <row r="138" spans="1:20" x14ac:dyDescent="0.25">
      <c r="A138" s="104" t="s">
        <v>640</v>
      </c>
      <c r="B138" s="7" t="s">
        <v>650</v>
      </c>
      <c r="C138" s="6" t="s">
        <v>451</v>
      </c>
      <c r="D138" s="7" t="s">
        <v>452</v>
      </c>
      <c r="E138" s="7">
        <v>22</v>
      </c>
      <c r="F138" s="6" t="s">
        <v>94</v>
      </c>
      <c r="G138" s="7" t="s">
        <v>99</v>
      </c>
      <c r="H138" s="8">
        <v>48.5</v>
      </c>
      <c r="I138" s="8">
        <v>0</v>
      </c>
      <c r="J138" s="8" t="s">
        <v>35</v>
      </c>
      <c r="K138" s="8" t="s">
        <v>35</v>
      </c>
      <c r="L138" s="73">
        <v>34.6464</v>
      </c>
      <c r="M138" s="73"/>
      <c r="N138" s="7" t="s">
        <v>479</v>
      </c>
      <c r="O138" s="7"/>
      <c r="P138" s="124"/>
      <c r="Q138" s="160">
        <v>0.9</v>
      </c>
      <c r="R138" s="160">
        <v>60</v>
      </c>
      <c r="S138" s="66">
        <v>2</v>
      </c>
    </row>
    <row r="139" spans="1:20" x14ac:dyDescent="0.25">
      <c r="A139" s="104" t="s">
        <v>640</v>
      </c>
      <c r="B139" s="7" t="s">
        <v>420</v>
      </c>
      <c r="C139" s="6" t="s">
        <v>453</v>
      </c>
      <c r="D139" s="7" t="s">
        <v>454</v>
      </c>
      <c r="E139" s="7">
        <v>33</v>
      </c>
      <c r="F139" s="58" t="s">
        <v>95</v>
      </c>
      <c r="G139" s="7" t="s">
        <v>99</v>
      </c>
      <c r="H139" s="8">
        <v>48.5</v>
      </c>
      <c r="I139" s="8">
        <v>0</v>
      </c>
      <c r="J139" s="8" t="s">
        <v>35</v>
      </c>
      <c r="K139" s="8" t="s">
        <v>35</v>
      </c>
      <c r="L139" s="73">
        <v>17.764500000000002</v>
      </c>
      <c r="M139" s="73"/>
      <c r="N139" s="163" t="s">
        <v>480</v>
      </c>
      <c r="O139" s="163"/>
      <c r="P139" s="124"/>
      <c r="Q139" s="160"/>
      <c r="R139" s="160"/>
      <c r="S139" s="66"/>
    </row>
    <row r="140" spans="1:20" x14ac:dyDescent="0.25">
      <c r="A140" s="104" t="s">
        <v>640</v>
      </c>
      <c r="B140" s="7" t="s">
        <v>420</v>
      </c>
      <c r="C140" s="6" t="s">
        <v>455</v>
      </c>
      <c r="D140" s="7" t="s">
        <v>456</v>
      </c>
      <c r="E140" s="7">
        <v>33</v>
      </c>
      <c r="F140" s="58" t="s">
        <v>96</v>
      </c>
      <c r="G140" s="7" t="s">
        <v>102</v>
      </c>
      <c r="H140" s="8">
        <v>48.5</v>
      </c>
      <c r="I140" s="8">
        <v>0</v>
      </c>
      <c r="J140" s="8" t="s">
        <v>35</v>
      </c>
      <c r="K140" s="8" t="s">
        <v>35</v>
      </c>
      <c r="L140" s="73">
        <v>16.510000000000002</v>
      </c>
      <c r="M140" s="73"/>
      <c r="N140" s="163" t="s">
        <v>481</v>
      </c>
      <c r="O140" s="163"/>
      <c r="P140" s="124"/>
      <c r="Q140" s="160"/>
      <c r="R140" s="160"/>
      <c r="S140" s="66"/>
    </row>
    <row r="141" spans="1:20" x14ac:dyDescent="0.25">
      <c r="A141" s="104" t="s">
        <v>640</v>
      </c>
      <c r="B141" s="7" t="s">
        <v>655</v>
      </c>
      <c r="C141" s="6" t="s">
        <v>460</v>
      </c>
      <c r="D141" s="7" t="s">
        <v>83</v>
      </c>
      <c r="E141" s="7">
        <v>11</v>
      </c>
      <c r="F141" s="6" t="s">
        <v>461</v>
      </c>
      <c r="G141" s="7" t="s">
        <v>476</v>
      </c>
      <c r="H141" s="8">
        <v>48.5</v>
      </c>
      <c r="I141" s="8">
        <v>0</v>
      </c>
      <c r="J141" s="8" t="s">
        <v>35</v>
      </c>
      <c r="K141" s="8" t="s">
        <v>35</v>
      </c>
      <c r="L141" s="73">
        <v>20.203499999999998</v>
      </c>
      <c r="M141" s="73"/>
      <c r="N141" s="7" t="s">
        <v>483</v>
      </c>
      <c r="O141" s="7"/>
      <c r="P141" s="124"/>
      <c r="Q141" s="160"/>
      <c r="R141" s="160"/>
      <c r="S141" s="66"/>
    </row>
    <row r="142" spans="1:20" x14ac:dyDescent="0.25">
      <c r="A142" s="104" t="s">
        <v>640</v>
      </c>
      <c r="B142" s="7" t="s">
        <v>649</v>
      </c>
      <c r="C142" s="6" t="s">
        <v>462</v>
      </c>
      <c r="D142" s="7" t="s">
        <v>463</v>
      </c>
      <c r="E142" s="7">
        <v>11</v>
      </c>
      <c r="F142" s="6" t="s">
        <v>96</v>
      </c>
      <c r="G142" s="7" t="s">
        <v>102</v>
      </c>
      <c r="H142" s="8">
        <v>48.5</v>
      </c>
      <c r="I142" s="8">
        <v>0</v>
      </c>
      <c r="J142" s="8" t="s">
        <v>35</v>
      </c>
      <c r="K142" s="8" t="s">
        <v>35</v>
      </c>
      <c r="L142" s="73">
        <v>40.494399999999999</v>
      </c>
      <c r="M142" s="73"/>
      <c r="N142" s="7" t="s">
        <v>484</v>
      </c>
      <c r="O142" s="7"/>
      <c r="P142" s="124"/>
      <c r="Q142" s="160"/>
      <c r="R142" s="160"/>
      <c r="S142" s="66"/>
    </row>
    <row r="143" spans="1:20" x14ac:dyDescent="0.25">
      <c r="A143" s="104" t="s">
        <v>640</v>
      </c>
      <c r="B143" s="7" t="s">
        <v>649</v>
      </c>
      <c r="C143" s="6" t="s">
        <v>462</v>
      </c>
      <c r="D143" s="7" t="s">
        <v>463</v>
      </c>
      <c r="E143" s="7">
        <v>33</v>
      </c>
      <c r="F143" s="6" t="s">
        <v>97</v>
      </c>
      <c r="G143" s="7" t="s">
        <v>103</v>
      </c>
      <c r="H143" s="8">
        <v>48.5</v>
      </c>
      <c r="I143" s="8">
        <v>0</v>
      </c>
      <c r="J143" s="8" t="s">
        <v>35</v>
      </c>
      <c r="K143" s="8" t="s">
        <v>35</v>
      </c>
      <c r="L143" s="73">
        <v>99.606800000000007</v>
      </c>
      <c r="M143" s="73"/>
      <c r="N143" s="7" t="s">
        <v>485</v>
      </c>
      <c r="O143" s="7"/>
      <c r="P143" s="124"/>
      <c r="Q143" s="160">
        <v>0.9</v>
      </c>
      <c r="R143" s="160">
        <v>30</v>
      </c>
      <c r="S143" s="66">
        <v>1</v>
      </c>
    </row>
    <row r="144" spans="1:20" x14ac:dyDescent="0.25">
      <c r="A144" s="104" t="s">
        <v>640</v>
      </c>
      <c r="B144" s="7" t="s">
        <v>649</v>
      </c>
      <c r="C144" s="6" t="s">
        <v>464</v>
      </c>
      <c r="D144" s="7" t="s">
        <v>31</v>
      </c>
      <c r="E144" s="7">
        <v>33</v>
      </c>
      <c r="F144" s="6" t="s">
        <v>645</v>
      </c>
      <c r="G144" s="7" t="s">
        <v>99</v>
      </c>
      <c r="H144" s="8">
        <v>48.5</v>
      </c>
      <c r="I144" s="8">
        <v>0</v>
      </c>
      <c r="J144" s="8" t="s">
        <v>35</v>
      </c>
      <c r="K144" s="8" t="s">
        <v>35</v>
      </c>
      <c r="L144" s="73">
        <v>70.498400000000004</v>
      </c>
      <c r="M144" s="73"/>
      <c r="N144" s="268" t="s">
        <v>491</v>
      </c>
      <c r="O144" s="216"/>
      <c r="P144" s="290"/>
      <c r="Q144" s="160"/>
      <c r="R144" s="160"/>
      <c r="S144" s="66"/>
    </row>
    <row r="145" spans="1:20" x14ac:dyDescent="0.25">
      <c r="A145" s="104" t="s">
        <v>640</v>
      </c>
      <c r="B145" s="7" t="s">
        <v>649</v>
      </c>
      <c r="C145" s="6" t="s">
        <v>464</v>
      </c>
      <c r="D145" s="7" t="s">
        <v>31</v>
      </c>
      <c r="E145" s="7">
        <v>33</v>
      </c>
      <c r="F145" s="6" t="s">
        <v>98</v>
      </c>
      <c r="G145" s="7" t="s">
        <v>103</v>
      </c>
      <c r="H145" s="8">
        <v>48.5</v>
      </c>
      <c r="I145" s="8">
        <v>0</v>
      </c>
      <c r="J145" s="8" t="s">
        <v>35</v>
      </c>
      <c r="K145" s="8" t="s">
        <v>35</v>
      </c>
      <c r="L145" s="73">
        <v>99.120699999999999</v>
      </c>
      <c r="M145" s="73"/>
      <c r="N145" s="268"/>
      <c r="O145" s="217"/>
      <c r="P145" s="291"/>
      <c r="Q145" s="160"/>
      <c r="R145" s="160"/>
      <c r="S145" s="66"/>
    </row>
    <row r="146" spans="1:20" x14ac:dyDescent="0.25">
      <c r="A146" s="104" t="s">
        <v>640</v>
      </c>
      <c r="B146" s="7" t="s">
        <v>45</v>
      </c>
      <c r="C146" s="6" t="s">
        <v>473</v>
      </c>
      <c r="D146" s="7" t="s">
        <v>474</v>
      </c>
      <c r="E146" s="7">
        <v>33</v>
      </c>
      <c r="F146" s="6" t="s">
        <v>475</v>
      </c>
      <c r="G146" s="7" t="s">
        <v>477</v>
      </c>
      <c r="H146" s="8">
        <v>48.5</v>
      </c>
      <c r="I146" s="8">
        <v>0</v>
      </c>
      <c r="J146" s="8" t="s">
        <v>35</v>
      </c>
      <c r="K146" s="8" t="s">
        <v>35</v>
      </c>
      <c r="L146" s="73">
        <v>96.674700000000001</v>
      </c>
      <c r="M146" s="73"/>
      <c r="N146" s="7" t="s">
        <v>489</v>
      </c>
      <c r="O146" s="7"/>
      <c r="P146" s="124"/>
      <c r="Q146" s="160"/>
      <c r="R146" s="160"/>
      <c r="S146" s="66"/>
    </row>
    <row r="147" spans="1:20" x14ac:dyDescent="0.25">
      <c r="A147" s="104" t="s">
        <v>640</v>
      </c>
      <c r="B147" s="7" t="s">
        <v>45</v>
      </c>
      <c r="C147" s="6" t="s">
        <v>465</v>
      </c>
      <c r="D147" s="7" t="s">
        <v>466</v>
      </c>
      <c r="E147" s="7">
        <v>33</v>
      </c>
      <c r="F147" s="6" t="s">
        <v>97</v>
      </c>
      <c r="G147" s="7" t="s">
        <v>103</v>
      </c>
      <c r="H147" s="8">
        <v>48.5</v>
      </c>
      <c r="I147" s="8">
        <v>0</v>
      </c>
      <c r="J147" s="8" t="s">
        <v>35</v>
      </c>
      <c r="K147" s="8" t="s">
        <v>35</v>
      </c>
      <c r="L147" s="73">
        <v>127.7547</v>
      </c>
      <c r="M147" s="73"/>
      <c r="N147" s="7" t="s">
        <v>492</v>
      </c>
      <c r="O147" s="7"/>
      <c r="P147" s="124"/>
      <c r="Q147" s="160"/>
      <c r="R147" s="160"/>
      <c r="S147" s="66"/>
    </row>
    <row r="148" spans="1:20" s="2" customFormat="1" x14ac:dyDescent="0.25">
      <c r="A148" s="104" t="s">
        <v>640</v>
      </c>
      <c r="B148" s="35" t="s">
        <v>45</v>
      </c>
      <c r="C148" s="37" t="s">
        <v>469</v>
      </c>
      <c r="D148" s="35" t="s">
        <v>470</v>
      </c>
      <c r="E148" s="35">
        <v>33</v>
      </c>
      <c r="F148" s="37" t="s">
        <v>95</v>
      </c>
      <c r="G148" s="35" t="s">
        <v>99</v>
      </c>
      <c r="H148" s="36">
        <v>48.5</v>
      </c>
      <c r="I148" s="36">
        <v>0</v>
      </c>
      <c r="J148" s="36" t="s">
        <v>35</v>
      </c>
      <c r="K148" s="36" t="s">
        <v>35</v>
      </c>
      <c r="L148" s="74">
        <v>90.917599999999993</v>
      </c>
      <c r="M148" s="74"/>
      <c r="N148" s="35" t="s">
        <v>487</v>
      </c>
      <c r="O148" s="35"/>
      <c r="P148" s="37" t="s">
        <v>762</v>
      </c>
      <c r="Q148" s="87"/>
      <c r="R148" s="87"/>
      <c r="S148" s="46"/>
      <c r="T148" s="38"/>
    </row>
    <row r="149" spans="1:20" x14ac:dyDescent="0.25">
      <c r="A149" s="104" t="s">
        <v>640</v>
      </c>
      <c r="B149" s="7" t="s">
        <v>651</v>
      </c>
      <c r="C149" s="6" t="s">
        <v>467</v>
      </c>
      <c r="D149" s="7" t="s">
        <v>468</v>
      </c>
      <c r="E149" s="7">
        <v>33</v>
      </c>
      <c r="F149" s="6" t="s">
        <v>95</v>
      </c>
      <c r="G149" s="7" t="s">
        <v>99</v>
      </c>
      <c r="H149" s="8">
        <v>48.5</v>
      </c>
      <c r="I149" s="8">
        <v>0</v>
      </c>
      <c r="J149" s="8" t="s">
        <v>35</v>
      </c>
      <c r="K149" s="8" t="s">
        <v>35</v>
      </c>
      <c r="L149" s="73">
        <v>81.433099999999996</v>
      </c>
      <c r="M149" s="73"/>
      <c r="N149" s="7" t="s">
        <v>486</v>
      </c>
      <c r="O149" s="7"/>
      <c r="P149" s="124"/>
      <c r="Q149" s="160">
        <v>0.9</v>
      </c>
      <c r="R149" s="160">
        <v>30</v>
      </c>
      <c r="S149" s="66">
        <v>1</v>
      </c>
    </row>
    <row r="150" spans="1:20" x14ac:dyDescent="0.25">
      <c r="A150" s="104" t="s">
        <v>640</v>
      </c>
      <c r="B150" s="7" t="s">
        <v>195</v>
      </c>
      <c r="C150" s="6" t="s">
        <v>457</v>
      </c>
      <c r="D150" s="7" t="s">
        <v>458</v>
      </c>
      <c r="E150" s="7">
        <v>33</v>
      </c>
      <c r="F150" s="6" t="s">
        <v>459</v>
      </c>
      <c r="G150" s="7" t="s">
        <v>100</v>
      </c>
      <c r="H150" s="8">
        <v>48.5</v>
      </c>
      <c r="I150" s="8">
        <v>0</v>
      </c>
      <c r="J150" s="8" t="s">
        <v>35</v>
      </c>
      <c r="K150" s="8" t="s">
        <v>35</v>
      </c>
      <c r="L150" s="73">
        <v>16.6814</v>
      </c>
      <c r="M150" s="73"/>
      <c r="N150" s="7" t="s">
        <v>482</v>
      </c>
      <c r="O150" s="7"/>
      <c r="P150" s="124"/>
      <c r="Q150" s="160"/>
      <c r="R150" s="160"/>
      <c r="S150" s="66"/>
    </row>
    <row r="151" spans="1:20" x14ac:dyDescent="0.25">
      <c r="A151" s="104" t="s">
        <v>640</v>
      </c>
      <c r="B151" s="7" t="s">
        <v>195</v>
      </c>
      <c r="C151" s="6" t="s">
        <v>156</v>
      </c>
      <c r="D151" s="7" t="s">
        <v>157</v>
      </c>
      <c r="E151" s="7">
        <v>132</v>
      </c>
      <c r="F151" s="6" t="s">
        <v>490</v>
      </c>
      <c r="G151" s="7" t="s">
        <v>152</v>
      </c>
      <c r="H151" s="8">
        <v>48.5</v>
      </c>
      <c r="I151" s="8">
        <v>0</v>
      </c>
      <c r="J151" s="8" t="s">
        <v>35</v>
      </c>
      <c r="K151" s="8" t="s">
        <v>35</v>
      </c>
      <c r="L151" s="259">
        <v>83</v>
      </c>
      <c r="M151" s="162"/>
      <c r="N151" s="268" t="s">
        <v>488</v>
      </c>
      <c r="O151" s="163"/>
      <c r="P151" s="124"/>
      <c r="Q151" s="160"/>
      <c r="R151" s="160"/>
      <c r="S151" s="66"/>
    </row>
    <row r="152" spans="1:20" x14ac:dyDescent="0.25">
      <c r="A152" s="104" t="s">
        <v>640</v>
      </c>
      <c r="B152" s="7" t="s">
        <v>195</v>
      </c>
      <c r="C152" s="6" t="s">
        <v>471</v>
      </c>
      <c r="D152" s="7" t="s">
        <v>472</v>
      </c>
      <c r="E152" s="7">
        <v>132</v>
      </c>
      <c r="F152" s="6" t="s">
        <v>490</v>
      </c>
      <c r="G152" s="7" t="s">
        <v>39</v>
      </c>
      <c r="H152" s="8">
        <v>48.5</v>
      </c>
      <c r="I152" s="8">
        <v>0</v>
      </c>
      <c r="J152" s="8" t="s">
        <v>35</v>
      </c>
      <c r="K152" s="8" t="s">
        <v>35</v>
      </c>
      <c r="L152" s="259"/>
      <c r="M152" s="162"/>
      <c r="N152" s="268"/>
      <c r="O152" s="163"/>
      <c r="P152" s="124"/>
      <c r="Q152" s="160"/>
      <c r="R152" s="160"/>
      <c r="S152" s="66"/>
    </row>
    <row r="153" spans="1:20" x14ac:dyDescent="0.25">
      <c r="A153" s="106" t="s">
        <v>641</v>
      </c>
      <c r="B153" s="17" t="s">
        <v>653</v>
      </c>
      <c r="C153" s="22" t="s">
        <v>228</v>
      </c>
      <c r="D153" s="17" t="s">
        <v>229</v>
      </c>
      <c r="E153" s="17">
        <v>132</v>
      </c>
      <c r="F153" s="22" t="s">
        <v>506</v>
      </c>
      <c r="G153" s="41" t="s">
        <v>503</v>
      </c>
      <c r="H153" s="19">
        <v>48.4</v>
      </c>
      <c r="I153" s="19">
        <v>0</v>
      </c>
      <c r="J153" s="19" t="s">
        <v>35</v>
      </c>
      <c r="K153" s="19" t="s">
        <v>35</v>
      </c>
      <c r="L153" s="263">
        <v>268</v>
      </c>
      <c r="M153" s="165"/>
      <c r="N153" s="258" t="s">
        <v>511</v>
      </c>
      <c r="O153" s="218"/>
      <c r="P153" s="287"/>
      <c r="Q153" s="160"/>
      <c r="R153" s="160"/>
      <c r="S153" s="66"/>
    </row>
    <row r="154" spans="1:20" x14ac:dyDescent="0.25">
      <c r="A154" s="106" t="s">
        <v>641</v>
      </c>
      <c r="B154" s="17" t="s">
        <v>653</v>
      </c>
      <c r="C154" s="22" t="s">
        <v>163</v>
      </c>
      <c r="D154" s="17" t="s">
        <v>164</v>
      </c>
      <c r="E154" s="17">
        <v>132</v>
      </c>
      <c r="F154" s="22" t="s">
        <v>507</v>
      </c>
      <c r="G154" s="17" t="s">
        <v>191</v>
      </c>
      <c r="H154" s="19">
        <v>48.4</v>
      </c>
      <c r="I154" s="19">
        <v>0</v>
      </c>
      <c r="J154" s="19" t="s">
        <v>35</v>
      </c>
      <c r="K154" s="19" t="s">
        <v>35</v>
      </c>
      <c r="L154" s="263"/>
      <c r="M154" s="165"/>
      <c r="N154" s="258"/>
      <c r="O154" s="219"/>
      <c r="P154" s="289"/>
      <c r="Q154" s="160"/>
      <c r="R154" s="160"/>
      <c r="S154" s="66"/>
    </row>
    <row r="155" spans="1:20" x14ac:dyDescent="0.25">
      <c r="A155" s="106" t="s">
        <v>641</v>
      </c>
      <c r="B155" s="17" t="s">
        <v>653</v>
      </c>
      <c r="C155" s="22" t="s">
        <v>657</v>
      </c>
      <c r="D155" s="17" t="s">
        <v>495</v>
      </c>
      <c r="E155" s="17">
        <v>132</v>
      </c>
      <c r="F155" s="22" t="s">
        <v>508</v>
      </c>
      <c r="G155" s="17" t="s">
        <v>191</v>
      </c>
      <c r="H155" s="19">
        <v>48.4</v>
      </c>
      <c r="I155" s="19">
        <v>0</v>
      </c>
      <c r="J155" s="19" t="s">
        <v>35</v>
      </c>
      <c r="K155" s="19" t="s">
        <v>35</v>
      </c>
      <c r="L155" s="263"/>
      <c r="M155" s="165"/>
      <c r="N155" s="258"/>
      <c r="O155" s="219"/>
      <c r="P155" s="289"/>
      <c r="Q155" s="160"/>
      <c r="R155" s="160"/>
      <c r="S155" s="66"/>
    </row>
    <row r="156" spans="1:20" x14ac:dyDescent="0.25">
      <c r="A156" s="106" t="s">
        <v>641</v>
      </c>
      <c r="B156" s="17" t="s">
        <v>653</v>
      </c>
      <c r="C156" s="22" t="s">
        <v>657</v>
      </c>
      <c r="D156" s="17" t="s">
        <v>495</v>
      </c>
      <c r="E156" s="17">
        <v>132</v>
      </c>
      <c r="F156" s="22" t="s">
        <v>509</v>
      </c>
      <c r="G156" s="17" t="s">
        <v>38</v>
      </c>
      <c r="H156" s="19">
        <v>48.4</v>
      </c>
      <c r="I156" s="19">
        <v>0</v>
      </c>
      <c r="J156" s="19" t="s">
        <v>35</v>
      </c>
      <c r="K156" s="19" t="s">
        <v>35</v>
      </c>
      <c r="L156" s="263"/>
      <c r="M156" s="165"/>
      <c r="N156" s="258"/>
      <c r="O156" s="220"/>
      <c r="P156" s="288"/>
      <c r="Q156" s="160"/>
      <c r="R156" s="160"/>
      <c r="S156" s="66"/>
    </row>
    <row r="157" spans="1:20" s="2" customFormat="1" x14ac:dyDescent="0.25">
      <c r="A157" s="106" t="s">
        <v>641</v>
      </c>
      <c r="B157" s="46" t="s">
        <v>420</v>
      </c>
      <c r="C157" s="45" t="s">
        <v>518</v>
      </c>
      <c r="D157" s="46" t="s">
        <v>519</v>
      </c>
      <c r="E157" s="46">
        <v>132</v>
      </c>
      <c r="F157" s="45" t="s">
        <v>517</v>
      </c>
      <c r="G157" s="46" t="s">
        <v>521</v>
      </c>
      <c r="H157" s="47">
        <v>48.4</v>
      </c>
      <c r="I157" s="47">
        <v>0</v>
      </c>
      <c r="J157" s="47" t="s">
        <v>35</v>
      </c>
      <c r="K157" s="47" t="s">
        <v>35</v>
      </c>
      <c r="L157" s="269">
        <v>153</v>
      </c>
      <c r="M157" s="166"/>
      <c r="N157" s="265" t="s">
        <v>512</v>
      </c>
      <c r="O157" s="221"/>
      <c r="P157" s="285" t="s">
        <v>522</v>
      </c>
      <c r="Q157" s="87"/>
      <c r="R157" s="87"/>
      <c r="S157" s="46"/>
      <c r="T157" s="38"/>
    </row>
    <row r="158" spans="1:20" x14ac:dyDescent="0.25">
      <c r="A158" s="106" t="s">
        <v>641</v>
      </c>
      <c r="B158" s="17" t="s">
        <v>420</v>
      </c>
      <c r="C158" s="22" t="s">
        <v>422</v>
      </c>
      <c r="D158" s="17" t="s">
        <v>423</v>
      </c>
      <c r="E158" s="17">
        <v>132</v>
      </c>
      <c r="F158" s="22" t="s">
        <v>520</v>
      </c>
      <c r="G158" s="17" t="s">
        <v>504</v>
      </c>
      <c r="H158" s="19">
        <v>48.4</v>
      </c>
      <c r="I158" s="19">
        <v>0</v>
      </c>
      <c r="J158" s="19" t="s">
        <v>35</v>
      </c>
      <c r="K158" s="19" t="s">
        <v>35</v>
      </c>
      <c r="L158" s="269"/>
      <c r="M158" s="166"/>
      <c r="N158" s="265"/>
      <c r="O158" s="222"/>
      <c r="P158" s="286"/>
      <c r="Q158" s="160"/>
      <c r="R158" s="160"/>
      <c r="S158" s="66"/>
    </row>
    <row r="159" spans="1:20" x14ac:dyDescent="0.25">
      <c r="A159" s="106" t="s">
        <v>641</v>
      </c>
      <c r="B159" s="17" t="s">
        <v>577</v>
      </c>
      <c r="C159" s="22" t="s">
        <v>496</v>
      </c>
      <c r="D159" s="17" t="s">
        <v>497</v>
      </c>
      <c r="E159" s="17">
        <v>132</v>
      </c>
      <c r="F159" s="22" t="s">
        <v>523</v>
      </c>
      <c r="G159" s="17" t="s">
        <v>505</v>
      </c>
      <c r="H159" s="19">
        <v>48.4</v>
      </c>
      <c r="I159" s="19">
        <v>0</v>
      </c>
      <c r="J159" s="19" t="s">
        <v>35</v>
      </c>
      <c r="K159" s="19" t="s">
        <v>35</v>
      </c>
      <c r="L159" s="263">
        <v>232</v>
      </c>
      <c r="M159" s="165"/>
      <c r="N159" s="265" t="s">
        <v>513</v>
      </c>
      <c r="O159" s="221"/>
      <c r="P159" s="287"/>
      <c r="Q159" s="160"/>
      <c r="R159" s="160"/>
      <c r="S159" s="66"/>
    </row>
    <row r="160" spans="1:20" x14ac:dyDescent="0.25">
      <c r="A160" s="106" t="s">
        <v>641</v>
      </c>
      <c r="B160" s="17" t="s">
        <v>650</v>
      </c>
      <c r="C160" s="22" t="s">
        <v>409</v>
      </c>
      <c r="D160" s="17" t="s">
        <v>410</v>
      </c>
      <c r="E160" s="17">
        <v>132</v>
      </c>
      <c r="F160" s="22" t="s">
        <v>523</v>
      </c>
      <c r="G160" s="17" t="s">
        <v>152</v>
      </c>
      <c r="H160" s="19">
        <v>48.4</v>
      </c>
      <c r="I160" s="19">
        <v>0</v>
      </c>
      <c r="J160" s="19" t="s">
        <v>35</v>
      </c>
      <c r="K160" s="19" t="s">
        <v>35</v>
      </c>
      <c r="L160" s="263"/>
      <c r="M160" s="165"/>
      <c r="N160" s="265"/>
      <c r="O160" s="222"/>
      <c r="P160" s="288"/>
      <c r="Q160" s="160"/>
      <c r="R160" s="160"/>
      <c r="S160" s="66"/>
    </row>
    <row r="161" spans="1:20" x14ac:dyDescent="0.25">
      <c r="A161" s="106" t="s">
        <v>641</v>
      </c>
      <c r="B161" s="17" t="s">
        <v>45</v>
      </c>
      <c r="C161" s="22" t="s">
        <v>498</v>
      </c>
      <c r="D161" s="17" t="s">
        <v>499</v>
      </c>
      <c r="E161" s="17">
        <v>33</v>
      </c>
      <c r="F161" s="22" t="s">
        <v>95</v>
      </c>
      <c r="G161" s="17" t="s">
        <v>99</v>
      </c>
      <c r="H161" s="19">
        <v>48.4</v>
      </c>
      <c r="I161" s="19">
        <v>0</v>
      </c>
      <c r="J161" s="19" t="s">
        <v>35</v>
      </c>
      <c r="K161" s="19" t="s">
        <v>35</v>
      </c>
      <c r="L161" s="72">
        <v>14.7682</v>
      </c>
      <c r="M161" s="72"/>
      <c r="N161" s="17" t="s">
        <v>514</v>
      </c>
      <c r="O161" s="17"/>
      <c r="P161" s="20"/>
      <c r="Q161" s="160"/>
      <c r="R161" s="160"/>
      <c r="S161" s="66"/>
    </row>
    <row r="162" spans="1:20" x14ac:dyDescent="0.25">
      <c r="A162" s="106" t="s">
        <v>641</v>
      </c>
      <c r="B162" s="17" t="s">
        <v>651</v>
      </c>
      <c r="C162" s="22" t="s">
        <v>493</v>
      </c>
      <c r="D162" s="17" t="s">
        <v>494</v>
      </c>
      <c r="E162" s="17">
        <v>33</v>
      </c>
      <c r="F162" s="22" t="s">
        <v>95</v>
      </c>
      <c r="G162" s="17" t="s">
        <v>99</v>
      </c>
      <c r="H162" s="19">
        <v>48.4</v>
      </c>
      <c r="I162" s="19">
        <v>0</v>
      </c>
      <c r="J162" s="19" t="s">
        <v>35</v>
      </c>
      <c r="K162" s="19" t="s">
        <v>35</v>
      </c>
      <c r="L162" s="72">
        <v>61.635300000000001</v>
      </c>
      <c r="M162" s="72"/>
      <c r="N162" s="17" t="s">
        <v>510</v>
      </c>
      <c r="O162" s="17"/>
      <c r="P162" s="20"/>
      <c r="Q162" s="160">
        <v>0.9</v>
      </c>
      <c r="R162" s="160">
        <v>60</v>
      </c>
      <c r="S162" s="66">
        <v>2</v>
      </c>
    </row>
    <row r="163" spans="1:20" x14ac:dyDescent="0.25">
      <c r="A163" s="106" t="s">
        <v>641</v>
      </c>
      <c r="B163" s="17" t="s">
        <v>651</v>
      </c>
      <c r="C163" s="22" t="s">
        <v>543</v>
      </c>
      <c r="D163" s="17" t="s">
        <v>500</v>
      </c>
      <c r="E163" s="17">
        <v>33</v>
      </c>
      <c r="F163" s="23" t="s">
        <v>95</v>
      </c>
      <c r="G163" s="17" t="s">
        <v>99</v>
      </c>
      <c r="H163" s="19">
        <v>48.4</v>
      </c>
      <c r="I163" s="19">
        <v>0</v>
      </c>
      <c r="J163" s="19" t="s">
        <v>35</v>
      </c>
      <c r="K163" s="19" t="s">
        <v>35</v>
      </c>
      <c r="L163" s="72">
        <v>68.786900000000003</v>
      </c>
      <c r="M163" s="72"/>
      <c r="N163" s="167" t="s">
        <v>516</v>
      </c>
      <c r="O163" s="167"/>
      <c r="P163" s="20"/>
      <c r="Q163" s="160"/>
      <c r="R163" s="160"/>
      <c r="S163" s="66"/>
    </row>
    <row r="164" spans="1:20" x14ac:dyDescent="0.25">
      <c r="A164" s="106" t="s">
        <v>641</v>
      </c>
      <c r="B164" s="14" t="s">
        <v>649</v>
      </c>
      <c r="C164" s="13" t="s">
        <v>501</v>
      </c>
      <c r="D164" s="14" t="s">
        <v>502</v>
      </c>
      <c r="E164" s="14">
        <v>33</v>
      </c>
      <c r="F164" s="13" t="s">
        <v>95</v>
      </c>
      <c r="G164" s="14" t="s">
        <v>99</v>
      </c>
      <c r="H164" s="18">
        <v>48.4</v>
      </c>
      <c r="I164" s="18">
        <v>0</v>
      </c>
      <c r="J164" s="18" t="s">
        <v>35</v>
      </c>
      <c r="K164" s="18" t="s">
        <v>35</v>
      </c>
      <c r="L164" s="91">
        <v>60.301600000000001</v>
      </c>
      <c r="M164" s="91"/>
      <c r="N164" s="14" t="s">
        <v>515</v>
      </c>
      <c r="O164" s="14"/>
      <c r="P164" s="20"/>
      <c r="Q164" s="160"/>
      <c r="R164" s="160"/>
      <c r="S164" s="66"/>
    </row>
    <row r="165" spans="1:20" x14ac:dyDescent="0.25">
      <c r="A165" s="104" t="s">
        <v>642</v>
      </c>
      <c r="B165" s="7" t="s">
        <v>650</v>
      </c>
      <c r="C165" s="6" t="s">
        <v>524</v>
      </c>
      <c r="D165" s="7" t="s">
        <v>525</v>
      </c>
      <c r="E165" s="7">
        <v>22</v>
      </c>
      <c r="F165" s="6" t="s">
        <v>526</v>
      </c>
      <c r="G165" s="7" t="s">
        <v>477</v>
      </c>
      <c r="H165" s="8">
        <v>48.3</v>
      </c>
      <c r="I165" s="8">
        <v>0</v>
      </c>
      <c r="J165" s="8">
        <v>49.3</v>
      </c>
      <c r="K165" s="8">
        <v>120</v>
      </c>
      <c r="L165" s="162">
        <v>35.934699999999999</v>
      </c>
      <c r="M165" s="162"/>
      <c r="N165" s="7" t="s">
        <v>558</v>
      </c>
      <c r="O165" s="7"/>
      <c r="P165" s="124"/>
      <c r="Q165" s="160"/>
      <c r="R165" s="160"/>
      <c r="S165" s="66"/>
    </row>
    <row r="166" spans="1:20" x14ac:dyDescent="0.25">
      <c r="A166" s="104" t="s">
        <v>642</v>
      </c>
      <c r="B166" s="7" t="s">
        <v>577</v>
      </c>
      <c r="C166" s="6" t="s">
        <v>527</v>
      </c>
      <c r="D166" s="7" t="s">
        <v>528</v>
      </c>
      <c r="E166" s="7">
        <v>132</v>
      </c>
      <c r="F166" s="6" t="s">
        <v>555</v>
      </c>
      <c r="G166" s="7" t="s">
        <v>152</v>
      </c>
      <c r="H166" s="8">
        <v>48.3</v>
      </c>
      <c r="I166" s="8">
        <v>0</v>
      </c>
      <c r="J166" s="8">
        <v>49.3</v>
      </c>
      <c r="K166" s="8">
        <v>120</v>
      </c>
      <c r="L166" s="259">
        <v>41</v>
      </c>
      <c r="M166" s="162"/>
      <c r="N166" s="268" t="s">
        <v>559</v>
      </c>
      <c r="O166" s="216"/>
      <c r="P166" s="290"/>
      <c r="Q166" s="160"/>
      <c r="R166" s="160"/>
      <c r="S166" s="66"/>
    </row>
    <row r="167" spans="1:20" x14ac:dyDescent="0.25">
      <c r="A167" s="104" t="s">
        <v>642</v>
      </c>
      <c r="B167" s="7" t="s">
        <v>577</v>
      </c>
      <c r="C167" s="6" t="s">
        <v>529</v>
      </c>
      <c r="D167" s="7" t="s">
        <v>530</v>
      </c>
      <c r="E167" s="7">
        <v>132</v>
      </c>
      <c r="F167" s="6" t="s">
        <v>556</v>
      </c>
      <c r="G167" s="7" t="s">
        <v>44</v>
      </c>
      <c r="H167" s="8">
        <v>48.3</v>
      </c>
      <c r="I167" s="8">
        <v>0</v>
      </c>
      <c r="J167" s="8">
        <v>49.3</v>
      </c>
      <c r="K167" s="8">
        <v>120</v>
      </c>
      <c r="L167" s="259"/>
      <c r="M167" s="162"/>
      <c r="N167" s="268"/>
      <c r="O167" s="217"/>
      <c r="P167" s="291"/>
      <c r="Q167" s="160"/>
      <c r="R167" s="160"/>
      <c r="S167" s="66"/>
    </row>
    <row r="168" spans="1:20" x14ac:dyDescent="0.25">
      <c r="A168" s="104" t="s">
        <v>642</v>
      </c>
      <c r="B168" s="7" t="s">
        <v>577</v>
      </c>
      <c r="C168" s="6" t="s">
        <v>529</v>
      </c>
      <c r="D168" s="7" t="s">
        <v>530</v>
      </c>
      <c r="E168" s="7">
        <v>11</v>
      </c>
      <c r="F168" s="6" t="s">
        <v>96</v>
      </c>
      <c r="G168" s="7" t="s">
        <v>102</v>
      </c>
      <c r="H168" s="8">
        <v>48.3</v>
      </c>
      <c r="I168" s="8">
        <v>0</v>
      </c>
      <c r="J168" s="8">
        <v>49.3</v>
      </c>
      <c r="K168" s="8">
        <v>120</v>
      </c>
      <c r="L168" s="162" t="s">
        <v>692</v>
      </c>
      <c r="M168" s="162"/>
      <c r="N168" s="7" t="s">
        <v>560</v>
      </c>
      <c r="O168" s="7"/>
      <c r="P168" s="37"/>
      <c r="Q168" s="160"/>
      <c r="R168" s="160"/>
      <c r="S168" s="66"/>
    </row>
    <row r="169" spans="1:20" x14ac:dyDescent="0.25">
      <c r="A169" s="104" t="s">
        <v>642</v>
      </c>
      <c r="B169" s="7" t="s">
        <v>45</v>
      </c>
      <c r="C169" s="6" t="s">
        <v>533</v>
      </c>
      <c r="D169" s="7" t="s">
        <v>534</v>
      </c>
      <c r="E169" s="7">
        <v>33</v>
      </c>
      <c r="F169" s="6" t="s">
        <v>97</v>
      </c>
      <c r="G169" s="7" t="s">
        <v>103</v>
      </c>
      <c r="H169" s="8">
        <v>48.3</v>
      </c>
      <c r="I169" s="8">
        <v>0</v>
      </c>
      <c r="J169" s="8">
        <v>49.3</v>
      </c>
      <c r="K169" s="8">
        <v>120</v>
      </c>
      <c r="L169" s="162">
        <v>100.9312</v>
      </c>
      <c r="M169" s="162"/>
      <c r="N169" s="7" t="s">
        <v>562</v>
      </c>
      <c r="O169" s="7"/>
      <c r="P169" s="124"/>
      <c r="Q169" s="160"/>
      <c r="R169" s="160"/>
      <c r="S169" s="66"/>
    </row>
    <row r="170" spans="1:20" x14ac:dyDescent="0.25">
      <c r="A170" s="104" t="s">
        <v>642</v>
      </c>
      <c r="B170" s="7" t="s">
        <v>45</v>
      </c>
      <c r="C170" s="6" t="s">
        <v>535</v>
      </c>
      <c r="D170" s="7" t="s">
        <v>536</v>
      </c>
      <c r="E170" s="7">
        <v>33</v>
      </c>
      <c r="F170" s="6" t="s">
        <v>646</v>
      </c>
      <c r="G170" s="7" t="s">
        <v>647</v>
      </c>
      <c r="H170" s="8">
        <v>48.3</v>
      </c>
      <c r="I170" s="8">
        <v>0</v>
      </c>
      <c r="J170" s="8">
        <v>49.3</v>
      </c>
      <c r="K170" s="8">
        <v>120</v>
      </c>
      <c r="L170" s="162">
        <v>115.40560000000001</v>
      </c>
      <c r="M170" s="162"/>
      <c r="N170" s="7" t="s">
        <v>648</v>
      </c>
      <c r="O170" s="7"/>
      <c r="P170" s="124"/>
      <c r="Q170" s="160"/>
      <c r="R170" s="160"/>
      <c r="S170" s="66"/>
    </row>
    <row r="171" spans="1:20" x14ac:dyDescent="0.25">
      <c r="A171" s="104" t="s">
        <v>642</v>
      </c>
      <c r="B171" s="7" t="s">
        <v>654</v>
      </c>
      <c r="C171" s="6" t="s">
        <v>537</v>
      </c>
      <c r="D171" s="7" t="s">
        <v>538</v>
      </c>
      <c r="E171" s="7">
        <v>11</v>
      </c>
      <c r="F171" s="6" t="s">
        <v>96</v>
      </c>
      <c r="G171" s="7" t="s">
        <v>102</v>
      </c>
      <c r="H171" s="8">
        <v>48.3</v>
      </c>
      <c r="I171" s="8">
        <v>0</v>
      </c>
      <c r="J171" s="8">
        <v>49.3</v>
      </c>
      <c r="K171" s="8">
        <v>120</v>
      </c>
      <c r="L171" s="162">
        <v>21.521000000000001</v>
      </c>
      <c r="M171" s="162"/>
      <c r="N171" s="7" t="s">
        <v>563</v>
      </c>
      <c r="O171" s="7"/>
      <c r="P171" s="124"/>
      <c r="Q171" s="160"/>
      <c r="R171" s="160"/>
      <c r="S171" s="66"/>
    </row>
    <row r="172" spans="1:20" x14ac:dyDescent="0.25">
      <c r="A172" s="104" t="s">
        <v>642</v>
      </c>
      <c r="B172" s="7" t="s">
        <v>655</v>
      </c>
      <c r="C172" s="6" t="s">
        <v>539</v>
      </c>
      <c r="D172" s="7" t="s">
        <v>540</v>
      </c>
      <c r="E172" s="7">
        <v>132</v>
      </c>
      <c r="F172" s="6" t="s">
        <v>557</v>
      </c>
      <c r="G172" s="7">
        <v>705</v>
      </c>
      <c r="H172" s="8">
        <v>48.3</v>
      </c>
      <c r="I172" s="8">
        <v>0</v>
      </c>
      <c r="J172" s="8">
        <v>49.3</v>
      </c>
      <c r="K172" s="8">
        <v>120</v>
      </c>
      <c r="L172" s="259">
        <v>96</v>
      </c>
      <c r="M172" s="162"/>
      <c r="N172" s="261" t="s">
        <v>566</v>
      </c>
      <c r="O172" s="223"/>
      <c r="P172" s="290"/>
      <c r="Q172" s="160"/>
      <c r="R172" s="160"/>
      <c r="S172" s="66"/>
    </row>
    <row r="173" spans="1:20" x14ac:dyDescent="0.25">
      <c r="A173" s="104" t="s">
        <v>642</v>
      </c>
      <c r="B173" s="7" t="s">
        <v>655</v>
      </c>
      <c r="C173" s="6" t="s">
        <v>541</v>
      </c>
      <c r="D173" s="7" t="s">
        <v>542</v>
      </c>
      <c r="E173" s="7">
        <v>132</v>
      </c>
      <c r="F173" s="6" t="s">
        <v>564</v>
      </c>
      <c r="G173" s="7" t="s">
        <v>152</v>
      </c>
      <c r="H173" s="8">
        <v>48.3</v>
      </c>
      <c r="I173" s="8">
        <v>0</v>
      </c>
      <c r="J173" s="8">
        <v>49.3</v>
      </c>
      <c r="K173" s="8">
        <v>120</v>
      </c>
      <c r="L173" s="259"/>
      <c r="M173" s="162"/>
      <c r="N173" s="261"/>
      <c r="O173" s="224"/>
      <c r="P173" s="291"/>
      <c r="Q173" s="160"/>
      <c r="R173" s="160"/>
      <c r="S173" s="66"/>
    </row>
    <row r="174" spans="1:20" x14ac:dyDescent="0.25">
      <c r="A174" s="104" t="s">
        <v>642</v>
      </c>
      <c r="B174" s="7" t="s">
        <v>651</v>
      </c>
      <c r="C174" s="6" t="s">
        <v>531</v>
      </c>
      <c r="D174" s="7" t="s">
        <v>532</v>
      </c>
      <c r="E174" s="7">
        <v>33</v>
      </c>
      <c r="F174" s="6" t="s">
        <v>148</v>
      </c>
      <c r="G174" s="7" t="s">
        <v>544</v>
      </c>
      <c r="H174" s="8">
        <v>48.3</v>
      </c>
      <c r="I174" s="8">
        <v>0</v>
      </c>
      <c r="J174" s="8">
        <v>49.3</v>
      </c>
      <c r="K174" s="8">
        <v>120</v>
      </c>
      <c r="L174" s="162">
        <v>91.951700000000002</v>
      </c>
      <c r="M174" s="162"/>
      <c r="N174" s="7" t="s">
        <v>561</v>
      </c>
      <c r="O174" s="7"/>
      <c r="P174" s="124"/>
      <c r="Q174" s="160">
        <v>0.9</v>
      </c>
      <c r="R174" s="160">
        <v>60</v>
      </c>
      <c r="S174" s="66">
        <v>2</v>
      </c>
    </row>
    <row r="175" spans="1:20" x14ac:dyDescent="0.25">
      <c r="A175" s="104" t="s">
        <v>642</v>
      </c>
      <c r="B175" s="7" t="s">
        <v>651</v>
      </c>
      <c r="C175" s="6" t="s">
        <v>553</v>
      </c>
      <c r="D175" s="7" t="s">
        <v>554</v>
      </c>
      <c r="E175" s="7">
        <v>33</v>
      </c>
      <c r="F175" s="6" t="s">
        <v>148</v>
      </c>
      <c r="G175" s="7" t="s">
        <v>544</v>
      </c>
      <c r="H175" s="8">
        <v>48.3</v>
      </c>
      <c r="I175" s="8">
        <v>0</v>
      </c>
      <c r="J175" s="8">
        <v>49.3</v>
      </c>
      <c r="K175" s="8">
        <v>120</v>
      </c>
      <c r="L175" s="162">
        <v>148.42449999999999</v>
      </c>
      <c r="M175" s="162"/>
      <c r="N175" s="71" t="s">
        <v>694</v>
      </c>
      <c r="O175" s="71"/>
      <c r="P175" s="124"/>
      <c r="Q175" s="160"/>
      <c r="R175" s="160"/>
      <c r="S175" s="66"/>
    </row>
    <row r="176" spans="1:20" s="2" customFormat="1" x14ac:dyDescent="0.25">
      <c r="A176" s="104" t="s">
        <v>642</v>
      </c>
      <c r="B176" s="35" t="s">
        <v>651</v>
      </c>
      <c r="C176" s="37" t="s">
        <v>545</v>
      </c>
      <c r="D176" s="35" t="s">
        <v>546</v>
      </c>
      <c r="E176" s="35">
        <v>33</v>
      </c>
      <c r="F176" s="37" t="s">
        <v>95</v>
      </c>
      <c r="G176" s="35" t="s">
        <v>99</v>
      </c>
      <c r="H176" s="36">
        <v>48.3</v>
      </c>
      <c r="I176" s="36">
        <v>0</v>
      </c>
      <c r="J176" s="36">
        <v>49.3</v>
      </c>
      <c r="K176" s="36">
        <v>120</v>
      </c>
      <c r="L176" s="77">
        <v>57.145600000000002</v>
      </c>
      <c r="M176" s="77"/>
      <c r="N176" s="94" t="s">
        <v>693</v>
      </c>
      <c r="O176" s="94"/>
      <c r="P176" s="37" t="s">
        <v>763</v>
      </c>
      <c r="Q176" s="87"/>
      <c r="R176" s="87"/>
      <c r="S176" s="46"/>
      <c r="T176" s="38"/>
    </row>
    <row r="177" spans="1:20" x14ac:dyDescent="0.25">
      <c r="A177" s="104" t="s">
        <v>642</v>
      </c>
      <c r="B177" s="7" t="s">
        <v>649</v>
      </c>
      <c r="C177" s="6" t="s">
        <v>547</v>
      </c>
      <c r="D177" s="7" t="s">
        <v>548</v>
      </c>
      <c r="E177" s="7">
        <v>132</v>
      </c>
      <c r="F177" s="6" t="s">
        <v>549</v>
      </c>
      <c r="G177" s="7" t="s">
        <v>44</v>
      </c>
      <c r="H177" s="8">
        <v>48.3</v>
      </c>
      <c r="I177" s="8">
        <v>0</v>
      </c>
      <c r="J177" s="8">
        <v>49.3</v>
      </c>
      <c r="K177" s="8">
        <v>120</v>
      </c>
      <c r="L177" s="259">
        <v>144</v>
      </c>
      <c r="M177" s="162"/>
      <c r="N177" s="261" t="s">
        <v>565</v>
      </c>
      <c r="O177" s="223"/>
      <c r="P177" s="292" t="s">
        <v>764</v>
      </c>
      <c r="Q177" s="160"/>
      <c r="R177" s="160"/>
      <c r="S177" s="66"/>
    </row>
    <row r="178" spans="1:20" s="2" customFormat="1" x14ac:dyDescent="0.25">
      <c r="A178" s="104" t="s">
        <v>642</v>
      </c>
      <c r="B178" s="35" t="s">
        <v>649</v>
      </c>
      <c r="C178" s="37" t="s">
        <v>550</v>
      </c>
      <c r="D178" s="35" t="s">
        <v>551</v>
      </c>
      <c r="E178" s="35">
        <v>132</v>
      </c>
      <c r="F178" s="37" t="s">
        <v>552</v>
      </c>
      <c r="G178" s="35" t="s">
        <v>44</v>
      </c>
      <c r="H178" s="36">
        <v>48.3</v>
      </c>
      <c r="I178" s="36">
        <v>0</v>
      </c>
      <c r="J178" s="36">
        <v>49.3</v>
      </c>
      <c r="K178" s="36">
        <v>120</v>
      </c>
      <c r="L178" s="259"/>
      <c r="M178" s="162"/>
      <c r="N178" s="261"/>
      <c r="O178" s="224"/>
      <c r="P178" s="293"/>
      <c r="Q178" s="87"/>
      <c r="R178" s="87"/>
      <c r="S178" s="46"/>
      <c r="T178" s="38"/>
    </row>
    <row r="179" spans="1:20" x14ac:dyDescent="0.25">
      <c r="A179" s="106" t="s">
        <v>643</v>
      </c>
      <c r="B179" s="17" t="s">
        <v>649</v>
      </c>
      <c r="C179" s="22" t="s">
        <v>567</v>
      </c>
      <c r="D179" s="17" t="s">
        <v>568</v>
      </c>
      <c r="E179" s="17">
        <v>33</v>
      </c>
      <c r="F179" s="22" t="s">
        <v>95</v>
      </c>
      <c r="G179" s="17" t="s">
        <v>99</v>
      </c>
      <c r="H179" s="19">
        <v>48.2</v>
      </c>
      <c r="I179" s="19">
        <v>0</v>
      </c>
      <c r="J179" s="19">
        <v>49.3</v>
      </c>
      <c r="K179" s="19">
        <v>90</v>
      </c>
      <c r="L179" s="72">
        <v>80.565700000000007</v>
      </c>
      <c r="M179" s="72"/>
      <c r="N179" s="17" t="s">
        <v>582</v>
      </c>
      <c r="O179" s="17"/>
      <c r="P179" s="20"/>
      <c r="Q179" s="160"/>
      <c r="R179" s="160"/>
      <c r="S179" s="66"/>
    </row>
    <row r="180" spans="1:20" x14ac:dyDescent="0.25">
      <c r="A180" s="106" t="s">
        <v>643</v>
      </c>
      <c r="B180" s="17" t="s">
        <v>654</v>
      </c>
      <c r="C180" s="22" t="s">
        <v>356</v>
      </c>
      <c r="D180" s="17" t="s">
        <v>357</v>
      </c>
      <c r="E180" s="17">
        <v>132</v>
      </c>
      <c r="F180" s="22" t="s">
        <v>579</v>
      </c>
      <c r="G180" s="17" t="s">
        <v>39</v>
      </c>
      <c r="H180" s="19">
        <v>48.2</v>
      </c>
      <c r="I180" s="19">
        <v>0</v>
      </c>
      <c r="J180" s="19">
        <v>49.3</v>
      </c>
      <c r="K180" s="19">
        <v>90</v>
      </c>
      <c r="L180" s="263"/>
      <c r="M180" s="165"/>
      <c r="N180" s="258"/>
      <c r="O180" s="161"/>
      <c r="P180" s="20"/>
      <c r="Q180" s="160"/>
      <c r="R180" s="160"/>
      <c r="S180" s="66"/>
    </row>
    <row r="181" spans="1:20" x14ac:dyDescent="0.25">
      <c r="A181" s="106" t="s">
        <v>643</v>
      </c>
      <c r="B181" s="17" t="s">
        <v>654</v>
      </c>
      <c r="C181" s="22" t="s">
        <v>232</v>
      </c>
      <c r="D181" s="17" t="s">
        <v>233</v>
      </c>
      <c r="E181" s="17">
        <v>132</v>
      </c>
      <c r="F181" s="22" t="s">
        <v>580</v>
      </c>
      <c r="G181" s="17" t="s">
        <v>152</v>
      </c>
      <c r="H181" s="19">
        <v>48.2</v>
      </c>
      <c r="I181" s="19">
        <v>0</v>
      </c>
      <c r="J181" s="19">
        <v>49.3</v>
      </c>
      <c r="K181" s="19">
        <v>90</v>
      </c>
      <c r="L181" s="263"/>
      <c r="M181" s="165"/>
      <c r="N181" s="258"/>
      <c r="O181" s="161"/>
      <c r="P181" s="20"/>
      <c r="Q181" s="160"/>
      <c r="R181" s="160"/>
      <c r="S181" s="66"/>
    </row>
    <row r="182" spans="1:20" x14ac:dyDescent="0.25">
      <c r="A182" s="106" t="s">
        <v>643</v>
      </c>
      <c r="B182" s="17" t="s">
        <v>651</v>
      </c>
      <c r="C182" s="22" t="s">
        <v>571</v>
      </c>
      <c r="D182" s="17" t="s">
        <v>572</v>
      </c>
      <c r="E182" s="17">
        <v>132</v>
      </c>
      <c r="F182" s="22" t="s">
        <v>581</v>
      </c>
      <c r="G182" s="17" t="s">
        <v>44</v>
      </c>
      <c r="H182" s="19">
        <v>48.2</v>
      </c>
      <c r="I182" s="19">
        <v>0</v>
      </c>
      <c r="J182" s="19">
        <v>49.3</v>
      </c>
      <c r="K182" s="19">
        <v>90</v>
      </c>
      <c r="L182" s="263"/>
      <c r="M182" s="165"/>
      <c r="N182" s="258"/>
      <c r="O182" s="161"/>
      <c r="P182" s="20"/>
      <c r="Q182" s="160"/>
      <c r="R182" s="160"/>
      <c r="S182" s="66"/>
    </row>
    <row r="183" spans="1:20" x14ac:dyDescent="0.25">
      <c r="A183" s="106" t="s">
        <v>643</v>
      </c>
      <c r="B183" s="17" t="s">
        <v>651</v>
      </c>
      <c r="C183" s="22" t="s">
        <v>121</v>
      </c>
      <c r="D183" s="17" t="s">
        <v>122</v>
      </c>
      <c r="E183" s="17">
        <v>132</v>
      </c>
      <c r="F183" s="22" t="s">
        <v>578</v>
      </c>
      <c r="G183" s="17" t="s">
        <v>152</v>
      </c>
      <c r="H183" s="19">
        <v>48.2</v>
      </c>
      <c r="I183" s="19">
        <v>0</v>
      </c>
      <c r="J183" s="19">
        <v>49.3</v>
      </c>
      <c r="K183" s="19">
        <v>90</v>
      </c>
      <c r="L183" s="263"/>
      <c r="M183" s="165"/>
      <c r="N183" s="258"/>
      <c r="O183" s="161"/>
      <c r="P183" s="20"/>
      <c r="Q183" s="160"/>
      <c r="R183" s="160"/>
      <c r="S183" s="66"/>
    </row>
    <row r="184" spans="1:20" x14ac:dyDescent="0.25">
      <c r="A184" s="106" t="s">
        <v>643</v>
      </c>
      <c r="B184" s="17" t="s">
        <v>651</v>
      </c>
      <c r="C184" s="22" t="s">
        <v>569</v>
      </c>
      <c r="D184" s="17" t="s">
        <v>570</v>
      </c>
      <c r="E184" s="17">
        <v>33</v>
      </c>
      <c r="F184" s="22" t="s">
        <v>95</v>
      </c>
      <c r="G184" s="17" t="s">
        <v>99</v>
      </c>
      <c r="H184" s="19">
        <v>48.2</v>
      </c>
      <c r="I184" s="19">
        <v>0</v>
      </c>
      <c r="J184" s="19">
        <v>49.3</v>
      </c>
      <c r="K184" s="19">
        <v>90</v>
      </c>
      <c r="L184" s="72">
        <v>51.731200000000001</v>
      </c>
      <c r="M184" s="72"/>
      <c r="N184" s="17" t="s">
        <v>583</v>
      </c>
      <c r="O184" s="17"/>
      <c r="P184" s="20"/>
      <c r="Q184" s="160"/>
      <c r="R184" s="160"/>
      <c r="S184" s="66"/>
    </row>
    <row r="185" spans="1:20" s="2" customFormat="1" x14ac:dyDescent="0.25">
      <c r="A185" s="106" t="s">
        <v>643</v>
      </c>
      <c r="B185" s="46" t="s">
        <v>650</v>
      </c>
      <c r="C185" s="45" t="s">
        <v>125</v>
      </c>
      <c r="D185" s="46" t="s">
        <v>126</v>
      </c>
      <c r="E185" s="46">
        <v>132</v>
      </c>
      <c r="F185" s="45" t="s">
        <v>589</v>
      </c>
      <c r="G185" s="46" t="s">
        <v>38</v>
      </c>
      <c r="H185" s="47">
        <v>48.2</v>
      </c>
      <c r="I185" s="47">
        <v>0</v>
      </c>
      <c r="J185" s="47">
        <v>49.3</v>
      </c>
      <c r="K185" s="47">
        <v>90</v>
      </c>
      <c r="L185" s="264">
        <v>152</v>
      </c>
      <c r="M185" s="168"/>
      <c r="N185" s="265" t="s">
        <v>584</v>
      </c>
      <c r="O185" s="221"/>
      <c r="P185" s="285" t="s">
        <v>590</v>
      </c>
      <c r="Q185" s="87"/>
      <c r="R185" s="87"/>
      <c r="S185" s="46"/>
      <c r="T185" s="38"/>
    </row>
    <row r="186" spans="1:20" x14ac:dyDescent="0.25">
      <c r="A186" s="106" t="s">
        <v>643</v>
      </c>
      <c r="B186" s="17" t="s">
        <v>650</v>
      </c>
      <c r="C186" s="22" t="s">
        <v>573</v>
      </c>
      <c r="D186" s="17" t="s">
        <v>574</v>
      </c>
      <c r="E186" s="17">
        <v>132</v>
      </c>
      <c r="F186" s="22" t="s">
        <v>588</v>
      </c>
      <c r="G186" s="17" t="s">
        <v>39</v>
      </c>
      <c r="H186" s="19">
        <v>48.2</v>
      </c>
      <c r="I186" s="19">
        <v>0</v>
      </c>
      <c r="J186" s="19">
        <v>49.3</v>
      </c>
      <c r="K186" s="19">
        <v>90</v>
      </c>
      <c r="L186" s="264"/>
      <c r="M186" s="168"/>
      <c r="N186" s="265"/>
      <c r="O186" s="222"/>
      <c r="P186" s="286"/>
      <c r="Q186" s="160"/>
      <c r="R186" s="160"/>
      <c r="S186" s="66"/>
    </row>
    <row r="187" spans="1:20" x14ac:dyDescent="0.25">
      <c r="A187" s="106" t="s">
        <v>643</v>
      </c>
      <c r="B187" s="17" t="s">
        <v>577</v>
      </c>
      <c r="C187" s="22" t="s">
        <v>575</v>
      </c>
      <c r="D187" s="17" t="s">
        <v>576</v>
      </c>
      <c r="E187" s="17">
        <v>11</v>
      </c>
      <c r="F187" s="22" t="s">
        <v>96</v>
      </c>
      <c r="G187" s="17" t="s">
        <v>102</v>
      </c>
      <c r="H187" s="19">
        <v>48.2</v>
      </c>
      <c r="I187" s="19">
        <v>0</v>
      </c>
      <c r="J187" s="19">
        <v>49.3</v>
      </c>
      <c r="K187" s="19">
        <v>90</v>
      </c>
      <c r="L187" s="78">
        <v>7.3648999999999996</v>
      </c>
      <c r="M187" s="78"/>
      <c r="N187" s="17" t="s">
        <v>585</v>
      </c>
      <c r="O187" s="17"/>
      <c r="P187" s="20"/>
      <c r="Q187" s="160"/>
      <c r="R187" s="160"/>
      <c r="S187" s="66"/>
    </row>
    <row r="188" spans="1:20" x14ac:dyDescent="0.25">
      <c r="A188" s="106" t="s">
        <v>643</v>
      </c>
      <c r="B188" s="17" t="s">
        <v>577</v>
      </c>
      <c r="C188" s="22" t="s">
        <v>577</v>
      </c>
      <c r="D188" s="17" t="s">
        <v>450</v>
      </c>
      <c r="E188" s="17">
        <v>132</v>
      </c>
      <c r="F188" s="22" t="s">
        <v>586</v>
      </c>
      <c r="G188" s="17" t="s">
        <v>44</v>
      </c>
      <c r="H188" s="19">
        <v>48.2</v>
      </c>
      <c r="I188" s="19">
        <v>0</v>
      </c>
      <c r="J188" s="19">
        <v>49.3</v>
      </c>
      <c r="K188" s="19">
        <v>90</v>
      </c>
      <c r="L188" s="78">
        <v>111</v>
      </c>
      <c r="M188" s="78"/>
      <c r="N188" s="17" t="s">
        <v>587</v>
      </c>
      <c r="O188" s="17"/>
      <c r="P188" s="20"/>
      <c r="Q188" s="160"/>
      <c r="R188" s="160"/>
      <c r="S188" s="66"/>
    </row>
    <row r="189" spans="1:20" x14ac:dyDescent="0.25">
      <c r="A189" s="104" t="s">
        <v>644</v>
      </c>
      <c r="B189" s="7" t="s">
        <v>655</v>
      </c>
      <c r="C189" s="6" t="s">
        <v>407</v>
      </c>
      <c r="D189" s="7" t="s">
        <v>408</v>
      </c>
      <c r="E189" s="7">
        <v>11</v>
      </c>
      <c r="F189" s="6" t="s">
        <v>96</v>
      </c>
      <c r="G189" s="7" t="s">
        <v>102</v>
      </c>
      <c r="H189" s="8">
        <v>48.1</v>
      </c>
      <c r="I189" s="8">
        <v>0</v>
      </c>
      <c r="J189" s="8">
        <v>49.3</v>
      </c>
      <c r="K189" s="8">
        <v>60</v>
      </c>
      <c r="L189" s="162">
        <v>33.894399999999997</v>
      </c>
      <c r="M189" s="162"/>
      <c r="N189" s="7" t="s">
        <v>609</v>
      </c>
      <c r="O189" s="7"/>
      <c r="P189" s="124"/>
      <c r="Q189" s="160"/>
      <c r="R189" s="160"/>
      <c r="S189" s="66"/>
    </row>
    <row r="190" spans="1:20" x14ac:dyDescent="0.25">
      <c r="A190" s="104" t="s">
        <v>644</v>
      </c>
      <c r="B190" s="7" t="s">
        <v>107</v>
      </c>
      <c r="C190" s="6" t="s">
        <v>591</v>
      </c>
      <c r="D190" s="7" t="s">
        <v>592</v>
      </c>
      <c r="E190" s="7">
        <v>33</v>
      </c>
      <c r="F190" s="6" t="s">
        <v>97</v>
      </c>
      <c r="G190" s="7" t="s">
        <v>608</v>
      </c>
      <c r="H190" s="8">
        <v>48.1</v>
      </c>
      <c r="I190" s="8">
        <v>0</v>
      </c>
      <c r="J190" s="8">
        <v>49.3</v>
      </c>
      <c r="K190" s="8">
        <v>60</v>
      </c>
      <c r="L190" s="162">
        <v>30.6965</v>
      </c>
      <c r="M190" s="162"/>
      <c r="N190" s="7" t="s">
        <v>610</v>
      </c>
      <c r="O190" s="7"/>
      <c r="P190" s="124"/>
      <c r="Q190" s="160"/>
      <c r="R190" s="160"/>
      <c r="S190" s="66"/>
    </row>
    <row r="191" spans="1:20" x14ac:dyDescent="0.25">
      <c r="A191" s="104" t="s">
        <v>644</v>
      </c>
      <c r="B191" s="7" t="s">
        <v>45</v>
      </c>
      <c r="C191" s="6" t="s">
        <v>593</v>
      </c>
      <c r="D191" s="7" t="s">
        <v>594</v>
      </c>
      <c r="E191" s="7">
        <v>33</v>
      </c>
      <c r="F191" s="6" t="s">
        <v>97</v>
      </c>
      <c r="G191" s="10" t="s">
        <v>103</v>
      </c>
      <c r="H191" s="8">
        <v>48.1</v>
      </c>
      <c r="I191" s="8">
        <v>0</v>
      </c>
      <c r="J191" s="8">
        <v>49.3</v>
      </c>
      <c r="K191" s="8">
        <v>60</v>
      </c>
      <c r="L191" s="162">
        <v>36.762500000000003</v>
      </c>
      <c r="M191" s="162"/>
      <c r="N191" s="7" t="s">
        <v>611</v>
      </c>
      <c r="O191" s="7"/>
      <c r="P191" s="124"/>
      <c r="Q191" s="160"/>
      <c r="R191" s="160"/>
      <c r="S191" s="66"/>
    </row>
    <row r="192" spans="1:20" x14ac:dyDescent="0.25">
      <c r="A192" s="104" t="s">
        <v>644</v>
      </c>
      <c r="B192" s="7" t="s">
        <v>45</v>
      </c>
      <c r="C192" s="6" t="s">
        <v>603</v>
      </c>
      <c r="D192" s="7" t="s">
        <v>604</v>
      </c>
      <c r="E192" s="7">
        <v>33</v>
      </c>
      <c r="F192" s="58" t="s">
        <v>95</v>
      </c>
      <c r="G192" s="7" t="s">
        <v>188</v>
      </c>
      <c r="H192" s="8">
        <v>48.1</v>
      </c>
      <c r="I192" s="8">
        <v>0</v>
      </c>
      <c r="J192" s="8">
        <v>49.3</v>
      </c>
      <c r="K192" s="8">
        <v>60</v>
      </c>
      <c r="L192" s="162">
        <v>54.002299999999998</v>
      </c>
      <c r="M192" s="162"/>
      <c r="N192" s="163" t="s">
        <v>617</v>
      </c>
      <c r="O192" s="163"/>
      <c r="P192" s="124"/>
      <c r="Q192" s="160"/>
      <c r="R192" s="160"/>
      <c r="S192" s="66"/>
    </row>
    <row r="193" spans="1:19" x14ac:dyDescent="0.25">
      <c r="A193" s="104" t="s">
        <v>644</v>
      </c>
      <c r="B193" s="7" t="s">
        <v>649</v>
      </c>
      <c r="C193" s="6" t="s">
        <v>597</v>
      </c>
      <c r="D193" s="7" t="s">
        <v>598</v>
      </c>
      <c r="E193" s="7">
        <v>33</v>
      </c>
      <c r="F193" s="6" t="s">
        <v>95</v>
      </c>
      <c r="G193" s="10" t="s">
        <v>99</v>
      </c>
      <c r="H193" s="8">
        <v>48.1</v>
      </c>
      <c r="I193" s="8">
        <v>0</v>
      </c>
      <c r="J193" s="8">
        <v>49.3</v>
      </c>
      <c r="K193" s="8">
        <v>60</v>
      </c>
      <c r="L193" s="162">
        <v>98.395499999999998</v>
      </c>
      <c r="M193" s="162"/>
      <c r="N193" s="7" t="s">
        <v>613</v>
      </c>
      <c r="O193" s="7"/>
      <c r="P193" s="124"/>
      <c r="Q193" s="160"/>
      <c r="R193" s="160"/>
      <c r="S193" s="66"/>
    </row>
    <row r="194" spans="1:19" x14ac:dyDescent="0.25">
      <c r="A194" s="104" t="s">
        <v>644</v>
      </c>
      <c r="B194" s="7" t="s">
        <v>654</v>
      </c>
      <c r="C194" s="6" t="s">
        <v>599</v>
      </c>
      <c r="D194" s="7" t="s">
        <v>600</v>
      </c>
      <c r="E194" s="7">
        <v>11</v>
      </c>
      <c r="F194" s="6" t="s">
        <v>96</v>
      </c>
      <c r="G194" s="7" t="s">
        <v>102</v>
      </c>
      <c r="H194" s="8">
        <v>48.1</v>
      </c>
      <c r="I194" s="8">
        <v>0</v>
      </c>
      <c r="J194" s="8">
        <v>49.3</v>
      </c>
      <c r="K194" s="8">
        <v>60</v>
      </c>
      <c r="L194" s="162">
        <v>22.989899999999999</v>
      </c>
      <c r="M194" s="162"/>
      <c r="N194" s="7" t="s">
        <v>614</v>
      </c>
      <c r="O194" s="7"/>
      <c r="P194" s="124"/>
      <c r="Q194" s="160"/>
      <c r="R194" s="160"/>
      <c r="S194" s="66"/>
    </row>
    <row r="195" spans="1:19" x14ac:dyDescent="0.25">
      <c r="A195" s="104" t="s">
        <v>644</v>
      </c>
      <c r="B195" s="7" t="s">
        <v>654</v>
      </c>
      <c r="C195" s="6" t="s">
        <v>599</v>
      </c>
      <c r="D195" s="7" t="s">
        <v>600</v>
      </c>
      <c r="E195" s="7">
        <v>132</v>
      </c>
      <c r="F195" s="6" t="s">
        <v>607</v>
      </c>
      <c r="G195" s="10">
        <v>505605705</v>
      </c>
      <c r="H195" s="8">
        <v>48.1</v>
      </c>
      <c r="I195" s="8">
        <v>0</v>
      </c>
      <c r="J195" s="8">
        <v>49.3</v>
      </c>
      <c r="K195" s="8">
        <v>60</v>
      </c>
      <c r="L195" s="162">
        <v>40</v>
      </c>
      <c r="M195" s="162"/>
      <c r="N195" s="7" t="s">
        <v>615</v>
      </c>
      <c r="O195" s="7"/>
      <c r="P195" s="124"/>
      <c r="Q195" s="160"/>
      <c r="R195" s="160"/>
      <c r="S195" s="66"/>
    </row>
    <row r="196" spans="1:19" x14ac:dyDescent="0.25">
      <c r="A196" s="104" t="s">
        <v>644</v>
      </c>
      <c r="B196" s="7" t="s">
        <v>650</v>
      </c>
      <c r="C196" s="6" t="s">
        <v>601</v>
      </c>
      <c r="D196" s="7" t="s">
        <v>602</v>
      </c>
      <c r="E196" s="7">
        <v>11</v>
      </c>
      <c r="F196" s="6" t="s">
        <v>96</v>
      </c>
      <c r="G196" s="10" t="s">
        <v>102</v>
      </c>
      <c r="H196" s="8">
        <v>48.1</v>
      </c>
      <c r="I196" s="8">
        <v>0</v>
      </c>
      <c r="J196" s="8">
        <v>49.3</v>
      </c>
      <c r="K196" s="8">
        <v>60</v>
      </c>
      <c r="L196" s="162">
        <v>21.477900000000002</v>
      </c>
      <c r="M196" s="162"/>
      <c r="N196" s="7" t="s">
        <v>616</v>
      </c>
      <c r="O196" s="7"/>
      <c r="P196" s="124"/>
      <c r="Q196" s="160"/>
      <c r="R196" s="160"/>
      <c r="S196" s="66"/>
    </row>
    <row r="197" spans="1:19" x14ac:dyDescent="0.25">
      <c r="A197" s="104" t="s">
        <v>644</v>
      </c>
      <c r="B197" s="7" t="s">
        <v>650</v>
      </c>
      <c r="C197" s="6" t="s">
        <v>595</v>
      </c>
      <c r="D197" s="7" t="s">
        <v>596</v>
      </c>
      <c r="E197" s="7">
        <v>22</v>
      </c>
      <c r="F197" s="6" t="s">
        <v>94</v>
      </c>
      <c r="G197" s="10" t="s">
        <v>99</v>
      </c>
      <c r="H197" s="8">
        <v>48.1</v>
      </c>
      <c r="I197" s="8">
        <v>0</v>
      </c>
      <c r="J197" s="8">
        <v>49.3</v>
      </c>
      <c r="K197" s="8">
        <v>60</v>
      </c>
      <c r="L197" s="162">
        <v>22.8338</v>
      </c>
      <c r="M197" s="162"/>
      <c r="N197" s="7" t="s">
        <v>612</v>
      </c>
      <c r="O197" s="7"/>
      <c r="P197" s="124"/>
      <c r="Q197" s="160"/>
      <c r="R197" s="160"/>
      <c r="S197" s="66"/>
    </row>
    <row r="198" spans="1:19" x14ac:dyDescent="0.25">
      <c r="A198" s="104" t="s">
        <v>644</v>
      </c>
      <c r="B198" s="7" t="s">
        <v>577</v>
      </c>
      <c r="C198" s="6" t="s">
        <v>527</v>
      </c>
      <c r="D198" s="7" t="s">
        <v>528</v>
      </c>
      <c r="E198" s="7">
        <v>132</v>
      </c>
      <c r="F198" s="6" t="s">
        <v>618</v>
      </c>
      <c r="G198" s="7" t="s">
        <v>44</v>
      </c>
      <c r="H198" s="8">
        <v>48.1</v>
      </c>
      <c r="I198" s="8">
        <v>0</v>
      </c>
      <c r="J198" s="8">
        <v>49.3</v>
      </c>
      <c r="K198" s="8">
        <v>60</v>
      </c>
      <c r="L198" s="259">
        <v>105</v>
      </c>
      <c r="M198" s="162"/>
      <c r="N198" s="256" t="s">
        <v>619</v>
      </c>
      <c r="O198" s="212"/>
      <c r="P198" s="290"/>
      <c r="Q198" s="160"/>
      <c r="R198" s="160"/>
      <c r="S198" s="66"/>
    </row>
    <row r="199" spans="1:19" x14ac:dyDescent="0.25">
      <c r="A199" s="104" t="s">
        <v>644</v>
      </c>
      <c r="B199" s="7" t="s">
        <v>653</v>
      </c>
      <c r="C199" s="6" t="s">
        <v>605</v>
      </c>
      <c r="D199" s="7" t="s">
        <v>606</v>
      </c>
      <c r="E199" s="7">
        <v>132</v>
      </c>
      <c r="F199" s="6" t="s">
        <v>620</v>
      </c>
      <c r="G199" s="7" t="s">
        <v>152</v>
      </c>
      <c r="H199" s="8">
        <v>48.1</v>
      </c>
      <c r="I199" s="8">
        <v>0</v>
      </c>
      <c r="J199" s="8">
        <v>49.3</v>
      </c>
      <c r="K199" s="8">
        <v>60</v>
      </c>
      <c r="L199" s="259"/>
      <c r="M199" s="162"/>
      <c r="N199" s="256"/>
      <c r="O199" s="214"/>
      <c r="P199" s="291"/>
      <c r="Q199" s="160"/>
      <c r="R199" s="160"/>
      <c r="S199" s="66"/>
    </row>
    <row r="200" spans="1:19" x14ac:dyDescent="0.25">
      <c r="A200" s="68" t="s">
        <v>679</v>
      </c>
      <c r="B200" s="127" t="s">
        <v>577</v>
      </c>
      <c r="C200" s="95" t="s">
        <v>666</v>
      </c>
      <c r="D200" s="171" t="s">
        <v>667</v>
      </c>
      <c r="E200" s="171">
        <v>11</v>
      </c>
      <c r="F200" s="97" t="s">
        <v>668</v>
      </c>
      <c r="G200" s="171" t="s">
        <v>102</v>
      </c>
      <c r="H200" s="31" t="s">
        <v>35</v>
      </c>
      <c r="I200" s="31" t="s">
        <v>35</v>
      </c>
      <c r="J200" s="31" t="s">
        <v>35</v>
      </c>
      <c r="K200" s="31" t="s">
        <v>35</v>
      </c>
      <c r="L200" s="171">
        <v>10</v>
      </c>
      <c r="M200" s="171"/>
      <c r="N200" s="171" t="s">
        <v>680</v>
      </c>
      <c r="O200" s="171"/>
      <c r="P200" s="20"/>
      <c r="Q200" s="160">
        <v>0.9</v>
      </c>
      <c r="R200" s="160">
        <v>30</v>
      </c>
      <c r="S200" s="66">
        <v>1</v>
      </c>
    </row>
    <row r="201" spans="1:19" x14ac:dyDescent="0.25">
      <c r="A201" s="68" t="s">
        <v>679</v>
      </c>
      <c r="B201" s="128" t="s">
        <v>650</v>
      </c>
      <c r="C201" s="68" t="s">
        <v>670</v>
      </c>
      <c r="D201" s="66" t="s">
        <v>669</v>
      </c>
      <c r="E201" s="66">
        <v>11</v>
      </c>
      <c r="F201" s="20" t="s">
        <v>668</v>
      </c>
      <c r="G201" s="66" t="s">
        <v>102</v>
      </c>
      <c r="H201" s="19" t="s">
        <v>35</v>
      </c>
      <c r="I201" s="19" t="s">
        <v>35</v>
      </c>
      <c r="J201" s="19" t="s">
        <v>35</v>
      </c>
      <c r="K201" s="19" t="s">
        <v>35</v>
      </c>
      <c r="L201" s="66">
        <v>22</v>
      </c>
      <c r="M201" s="66"/>
      <c r="N201" s="66" t="s">
        <v>681</v>
      </c>
      <c r="O201" s="66"/>
      <c r="P201" s="20"/>
      <c r="Q201" s="160">
        <v>0.9</v>
      </c>
      <c r="R201" s="160">
        <v>30</v>
      </c>
      <c r="S201" s="66">
        <v>1</v>
      </c>
    </row>
    <row r="202" spans="1:19" x14ac:dyDescent="0.25">
      <c r="A202" s="68" t="s">
        <v>679</v>
      </c>
      <c r="B202" s="128" t="s">
        <v>649</v>
      </c>
      <c r="C202" s="68" t="s">
        <v>28</v>
      </c>
      <c r="D202" s="66" t="s">
        <v>29</v>
      </c>
      <c r="E202" s="66">
        <v>33</v>
      </c>
      <c r="F202" s="20" t="s">
        <v>95</v>
      </c>
      <c r="G202" s="66" t="s">
        <v>675</v>
      </c>
      <c r="H202" s="19" t="s">
        <v>35</v>
      </c>
      <c r="I202" s="19" t="s">
        <v>35</v>
      </c>
      <c r="J202" s="19" t="s">
        <v>35</v>
      </c>
      <c r="K202" s="19" t="s">
        <v>35</v>
      </c>
      <c r="L202" s="66">
        <v>90</v>
      </c>
      <c r="M202" s="66"/>
      <c r="N202" s="66" t="s">
        <v>682</v>
      </c>
      <c r="O202" s="66"/>
      <c r="P202" s="20"/>
      <c r="Q202" s="160">
        <v>0.9</v>
      </c>
      <c r="R202" s="160">
        <v>30</v>
      </c>
      <c r="S202" s="66">
        <v>1</v>
      </c>
    </row>
    <row r="203" spans="1:19" x14ac:dyDescent="0.25">
      <c r="A203" s="68" t="s">
        <v>658</v>
      </c>
      <c r="B203" s="24" t="s">
        <v>651</v>
      </c>
      <c r="C203" s="69" t="s">
        <v>345</v>
      </c>
      <c r="D203" s="17" t="s">
        <v>346</v>
      </c>
      <c r="E203" s="17">
        <v>11</v>
      </c>
      <c r="F203" s="22" t="s">
        <v>96</v>
      </c>
      <c r="G203" s="17" t="s">
        <v>102</v>
      </c>
      <c r="H203" s="19" t="s">
        <v>35</v>
      </c>
      <c r="I203" s="19" t="s">
        <v>35</v>
      </c>
      <c r="J203" s="19" t="s">
        <v>35</v>
      </c>
      <c r="K203" s="19" t="s">
        <v>35</v>
      </c>
      <c r="L203" s="66">
        <v>16</v>
      </c>
      <c r="M203" s="66"/>
      <c r="N203" s="167" t="s">
        <v>683</v>
      </c>
      <c r="O203" s="167"/>
      <c r="P203" s="20"/>
      <c r="Q203" s="160">
        <v>0.9</v>
      </c>
      <c r="R203" s="160">
        <v>60</v>
      </c>
      <c r="S203" s="66">
        <v>2</v>
      </c>
    </row>
    <row r="204" spans="1:19" x14ac:dyDescent="0.25">
      <c r="A204" s="68" t="s">
        <v>658</v>
      </c>
      <c r="B204" s="128" t="s">
        <v>651</v>
      </c>
      <c r="C204" s="68" t="s">
        <v>660</v>
      </c>
      <c r="D204" s="66" t="s">
        <v>661</v>
      </c>
      <c r="E204" s="66">
        <v>33</v>
      </c>
      <c r="F204" s="20" t="s">
        <v>98</v>
      </c>
      <c r="G204" s="66" t="s">
        <v>103</v>
      </c>
      <c r="H204" s="19" t="s">
        <v>35</v>
      </c>
      <c r="I204" s="19" t="s">
        <v>35</v>
      </c>
      <c r="J204" s="19" t="s">
        <v>35</v>
      </c>
      <c r="K204" s="19" t="s">
        <v>35</v>
      </c>
      <c r="L204" s="66">
        <v>90</v>
      </c>
      <c r="M204" s="66"/>
      <c r="N204" s="66" t="s">
        <v>684</v>
      </c>
      <c r="O204" s="66"/>
      <c r="P204" s="20"/>
      <c r="Q204" s="160">
        <v>0.9</v>
      </c>
      <c r="R204" s="160">
        <v>60</v>
      </c>
      <c r="S204" s="66">
        <v>2</v>
      </c>
    </row>
    <row r="205" spans="1:19" x14ac:dyDescent="0.25">
      <c r="A205" s="68" t="s">
        <v>658</v>
      </c>
      <c r="B205" s="128" t="s">
        <v>650</v>
      </c>
      <c r="C205" s="68" t="s">
        <v>670</v>
      </c>
      <c r="D205" s="66" t="s">
        <v>669</v>
      </c>
      <c r="E205" s="66">
        <v>33</v>
      </c>
      <c r="F205" s="20" t="s">
        <v>671</v>
      </c>
      <c r="G205" s="66" t="s">
        <v>103</v>
      </c>
      <c r="H205" s="19" t="s">
        <v>35</v>
      </c>
      <c r="I205" s="19" t="s">
        <v>35</v>
      </c>
      <c r="J205" s="19" t="s">
        <v>35</v>
      </c>
      <c r="K205" s="19" t="s">
        <v>35</v>
      </c>
      <c r="L205" s="66">
        <v>22</v>
      </c>
      <c r="M205" s="66"/>
      <c r="N205" s="66" t="s">
        <v>685</v>
      </c>
      <c r="O205" s="66"/>
      <c r="P205" s="20"/>
      <c r="Q205" s="160">
        <v>0.9</v>
      </c>
      <c r="R205" s="160">
        <v>60</v>
      </c>
      <c r="S205" s="66">
        <v>2</v>
      </c>
    </row>
    <row r="206" spans="1:19" x14ac:dyDescent="0.25">
      <c r="A206" s="68" t="s">
        <v>658</v>
      </c>
      <c r="B206" s="129" t="s">
        <v>649</v>
      </c>
      <c r="C206" s="70" t="s">
        <v>547</v>
      </c>
      <c r="D206" s="67" t="s">
        <v>548</v>
      </c>
      <c r="E206" s="66">
        <v>33</v>
      </c>
      <c r="F206" s="20" t="s">
        <v>95</v>
      </c>
      <c r="G206" s="66" t="s">
        <v>675</v>
      </c>
      <c r="H206" s="19" t="s">
        <v>35</v>
      </c>
      <c r="I206" s="19" t="s">
        <v>35</v>
      </c>
      <c r="J206" s="19" t="s">
        <v>35</v>
      </c>
      <c r="K206" s="19" t="s">
        <v>35</v>
      </c>
      <c r="L206" s="66">
        <v>86</v>
      </c>
      <c r="M206" s="66"/>
      <c r="N206" s="66" t="s">
        <v>686</v>
      </c>
      <c r="O206" s="66"/>
      <c r="P206" s="20"/>
      <c r="Q206" s="160">
        <v>0.9</v>
      </c>
      <c r="R206" s="160">
        <v>60</v>
      </c>
      <c r="S206" s="66">
        <v>2</v>
      </c>
    </row>
    <row r="207" spans="1:19" x14ac:dyDescent="0.25">
      <c r="A207" s="68" t="s">
        <v>663</v>
      </c>
      <c r="B207" s="128" t="s">
        <v>651</v>
      </c>
      <c r="C207" s="68" t="s">
        <v>660</v>
      </c>
      <c r="D207" s="66" t="s">
        <v>661</v>
      </c>
      <c r="E207" s="66">
        <v>11</v>
      </c>
      <c r="F207" s="20" t="s">
        <v>662</v>
      </c>
      <c r="G207" s="66" t="s">
        <v>102</v>
      </c>
      <c r="H207" s="19" t="s">
        <v>35</v>
      </c>
      <c r="I207" s="19" t="s">
        <v>35</v>
      </c>
      <c r="J207" s="19" t="s">
        <v>35</v>
      </c>
      <c r="K207" s="19" t="s">
        <v>35</v>
      </c>
      <c r="L207" s="66">
        <v>14</v>
      </c>
      <c r="M207" s="66"/>
      <c r="N207" s="66" t="s">
        <v>687</v>
      </c>
      <c r="O207" s="66"/>
      <c r="P207" s="20"/>
      <c r="Q207" s="160">
        <v>0.9</v>
      </c>
      <c r="R207" s="160">
        <v>90</v>
      </c>
      <c r="S207" s="66">
        <v>3</v>
      </c>
    </row>
    <row r="208" spans="1:19" x14ac:dyDescent="0.25">
      <c r="A208" s="68" t="s">
        <v>663</v>
      </c>
      <c r="B208" s="128" t="s">
        <v>651</v>
      </c>
      <c r="C208" s="68" t="s">
        <v>664</v>
      </c>
      <c r="D208" s="66" t="s">
        <v>665</v>
      </c>
      <c r="E208" s="66">
        <v>33</v>
      </c>
      <c r="F208" s="20" t="s">
        <v>146</v>
      </c>
      <c r="G208" s="66" t="s">
        <v>99</v>
      </c>
      <c r="H208" s="19" t="s">
        <v>35</v>
      </c>
      <c r="I208" s="19" t="s">
        <v>35</v>
      </c>
      <c r="J208" s="19" t="s">
        <v>35</v>
      </c>
      <c r="K208" s="19" t="s">
        <v>35</v>
      </c>
      <c r="L208" s="66">
        <v>74</v>
      </c>
      <c r="M208" s="66"/>
      <c r="N208" s="66" t="s">
        <v>688</v>
      </c>
      <c r="O208" s="66"/>
      <c r="P208" s="20"/>
      <c r="Q208" s="160">
        <v>0.9</v>
      </c>
      <c r="R208" s="160">
        <v>90</v>
      </c>
      <c r="S208" s="66">
        <v>3</v>
      </c>
    </row>
    <row r="209" spans="1:19" x14ac:dyDescent="0.25">
      <c r="A209" s="68" t="s">
        <v>663</v>
      </c>
      <c r="B209" s="128" t="s">
        <v>650</v>
      </c>
      <c r="C209" s="68" t="s">
        <v>409</v>
      </c>
      <c r="D209" s="66" t="s">
        <v>672</v>
      </c>
      <c r="E209" s="66">
        <v>33</v>
      </c>
      <c r="F209" s="20" t="s">
        <v>95</v>
      </c>
      <c r="G209" s="66" t="s">
        <v>99</v>
      </c>
      <c r="H209" s="19" t="s">
        <v>35</v>
      </c>
      <c r="I209" s="19" t="s">
        <v>35</v>
      </c>
      <c r="J209" s="19" t="s">
        <v>35</v>
      </c>
      <c r="K209" s="19" t="s">
        <v>35</v>
      </c>
      <c r="L209" s="66">
        <v>26</v>
      </c>
      <c r="M209" s="66"/>
      <c r="N209" s="66" t="s">
        <v>689</v>
      </c>
      <c r="O209" s="66"/>
      <c r="P209" s="20"/>
      <c r="Q209" s="160">
        <v>0.9</v>
      </c>
      <c r="R209" s="160">
        <v>90</v>
      </c>
      <c r="S209" s="66">
        <v>3</v>
      </c>
    </row>
    <row r="210" spans="1:19" x14ac:dyDescent="0.25">
      <c r="A210" s="68" t="s">
        <v>663</v>
      </c>
      <c r="B210" s="128" t="s">
        <v>650</v>
      </c>
      <c r="C210" s="68" t="s">
        <v>673</v>
      </c>
      <c r="D210" s="66" t="s">
        <v>674</v>
      </c>
      <c r="E210" s="66">
        <v>22</v>
      </c>
      <c r="F210" s="20" t="s">
        <v>94</v>
      </c>
      <c r="G210" s="66" t="s">
        <v>99</v>
      </c>
      <c r="H210" s="19" t="s">
        <v>35</v>
      </c>
      <c r="I210" s="19" t="s">
        <v>35</v>
      </c>
      <c r="J210" s="19" t="s">
        <v>35</v>
      </c>
      <c r="K210" s="19" t="s">
        <v>35</v>
      </c>
      <c r="L210" s="66">
        <v>22</v>
      </c>
      <c r="M210" s="66"/>
      <c r="N210" s="66" t="s">
        <v>690</v>
      </c>
      <c r="O210" s="66"/>
      <c r="P210" s="20"/>
      <c r="Q210" s="160">
        <v>0.9</v>
      </c>
      <c r="R210" s="160">
        <v>90</v>
      </c>
      <c r="S210" s="66">
        <v>3</v>
      </c>
    </row>
    <row r="211" spans="1:19" x14ac:dyDescent="0.25">
      <c r="A211" s="68" t="s">
        <v>663</v>
      </c>
      <c r="B211" s="128" t="s">
        <v>650</v>
      </c>
      <c r="C211" s="68" t="s">
        <v>673</v>
      </c>
      <c r="D211" s="66" t="s">
        <v>674</v>
      </c>
      <c r="E211" s="66">
        <v>33</v>
      </c>
      <c r="F211" s="20" t="s">
        <v>97</v>
      </c>
      <c r="G211" s="66" t="s">
        <v>103</v>
      </c>
      <c r="H211" s="19" t="s">
        <v>35</v>
      </c>
      <c r="I211" s="19" t="s">
        <v>35</v>
      </c>
      <c r="J211" s="19" t="s">
        <v>35</v>
      </c>
      <c r="K211" s="19" t="s">
        <v>35</v>
      </c>
      <c r="L211" s="66">
        <v>64</v>
      </c>
      <c r="M211" s="66"/>
      <c r="N211" s="66" t="s">
        <v>691</v>
      </c>
      <c r="O211" s="66"/>
      <c r="P211" s="20"/>
      <c r="Q211" s="160">
        <v>0.9</v>
      </c>
      <c r="R211" s="160">
        <v>90</v>
      </c>
      <c r="S211" s="66">
        <v>3</v>
      </c>
    </row>
    <row r="214" spans="1:19" x14ac:dyDescent="0.25">
      <c r="A214" s="5" t="s">
        <v>783</v>
      </c>
    </row>
    <row r="216" spans="1:19" x14ac:dyDescent="0.25">
      <c r="A216" s="158" t="s">
        <v>786</v>
      </c>
    </row>
    <row r="217" spans="1:19" x14ac:dyDescent="0.25">
      <c r="A217" s="5" t="s">
        <v>655</v>
      </c>
      <c r="B217" s="153">
        <f>SUMIF($B$2:$B$199,$A217,$L$2:$L$199)</f>
        <v>250.0522</v>
      </c>
      <c r="C217" s="5">
        <f>SUMIFS($L$3:$L$211, $B$3:$B$211, A217,$Q$3:$Q$211, "&gt;0")</f>
        <v>0</v>
      </c>
    </row>
    <row r="218" spans="1:19" x14ac:dyDescent="0.25">
      <c r="A218" s="5" t="s">
        <v>653</v>
      </c>
      <c r="B218" s="153">
        <f>SUMIF($B$2:$B$199,$A218,$L$2:$L$199)</f>
        <v>591.45139999999992</v>
      </c>
      <c r="C218" s="152">
        <f>SUMIFS($L$3:$L$211, $B$3:$B$211, A218,$Q$3:$Q$211, "&gt;0")</f>
        <v>0</v>
      </c>
    </row>
    <row r="219" spans="1:19" x14ac:dyDescent="0.25">
      <c r="A219" s="5" t="s">
        <v>420</v>
      </c>
      <c r="B219" s="153">
        <f>SUMIF($B$2:$B$199,$A219,$L$2:$L$199)</f>
        <v>215.6198</v>
      </c>
      <c r="C219" s="152">
        <f t="shared" ref="C219:C228" si="0">SUMIFS($L$3:$L$211, $B$3:$B$211, A219,$Q$3:$Q$211, "&gt;0")</f>
        <v>0</v>
      </c>
    </row>
    <row r="220" spans="1:19" x14ac:dyDescent="0.25">
      <c r="A220" s="5" t="s">
        <v>107</v>
      </c>
      <c r="B220" s="153">
        <f t="shared" ref="B220:B228" si="1">SUMIF($B$2:$B$199,$A220,$L$2:$L$199)</f>
        <v>441.25619999999992</v>
      </c>
      <c r="C220" s="152">
        <f t="shared" si="0"/>
        <v>0</v>
      </c>
    </row>
    <row r="221" spans="1:19" x14ac:dyDescent="0.25">
      <c r="A221" s="5" t="s">
        <v>650</v>
      </c>
      <c r="B221" s="153">
        <f t="shared" si="1"/>
        <v>588.74490000000003</v>
      </c>
      <c r="C221" s="152">
        <f t="shared" si="0"/>
        <v>223.97890000000001</v>
      </c>
    </row>
    <row r="222" spans="1:19" x14ac:dyDescent="0.25">
      <c r="A222" s="5" t="s">
        <v>577</v>
      </c>
      <c r="B222" s="153">
        <f t="shared" si="1"/>
        <v>963.44530000000009</v>
      </c>
      <c r="C222" s="152">
        <f t="shared" si="0"/>
        <v>10</v>
      </c>
    </row>
    <row r="223" spans="1:19" x14ac:dyDescent="0.25">
      <c r="A223" s="5" t="s">
        <v>195</v>
      </c>
      <c r="B223" s="153">
        <f t="shared" si="1"/>
        <v>310.15899999999999</v>
      </c>
      <c r="C223" s="152">
        <f t="shared" si="0"/>
        <v>0</v>
      </c>
    </row>
    <row r="224" spans="1:19" x14ac:dyDescent="0.25">
      <c r="A224" s="5" t="s">
        <v>651</v>
      </c>
      <c r="B224" s="153">
        <f t="shared" si="1"/>
        <v>1961.1835000000003</v>
      </c>
      <c r="C224" s="152">
        <f t="shared" si="0"/>
        <v>811.80139999999994</v>
      </c>
    </row>
    <row r="225" spans="1:3" x14ac:dyDescent="0.25">
      <c r="A225" s="5" t="s">
        <v>652</v>
      </c>
      <c r="B225" s="153">
        <f t="shared" si="1"/>
        <v>446.7296</v>
      </c>
      <c r="C225" s="152">
        <f t="shared" si="0"/>
        <v>0</v>
      </c>
    </row>
    <row r="226" spans="1:3" x14ac:dyDescent="0.25">
      <c r="A226" s="5" t="s">
        <v>649</v>
      </c>
      <c r="B226" s="153">
        <f t="shared" si="1"/>
        <v>1426.5639000000001</v>
      </c>
      <c r="C226" s="152">
        <f t="shared" si="0"/>
        <v>275.60680000000002</v>
      </c>
    </row>
    <row r="227" spans="1:3" x14ac:dyDescent="0.25">
      <c r="A227" s="5" t="s">
        <v>45</v>
      </c>
      <c r="B227" s="153">
        <f t="shared" si="1"/>
        <v>2179.556</v>
      </c>
      <c r="C227" s="152">
        <f t="shared" si="0"/>
        <v>74.944999999999993</v>
      </c>
    </row>
    <row r="228" spans="1:3" x14ac:dyDescent="0.25">
      <c r="A228" s="5" t="s">
        <v>654</v>
      </c>
      <c r="B228" s="153">
        <f t="shared" si="1"/>
        <v>422.5179</v>
      </c>
      <c r="C228" s="152">
        <f t="shared" si="0"/>
        <v>0</v>
      </c>
    </row>
    <row r="229" spans="1:3" x14ac:dyDescent="0.25">
      <c r="A229" s="155"/>
      <c r="B229" s="153"/>
    </row>
    <row r="230" spans="1:3" x14ac:dyDescent="0.25">
      <c r="A230" s="157" t="s">
        <v>785</v>
      </c>
      <c r="B230" s="153"/>
    </row>
    <row r="231" spans="1:3" x14ac:dyDescent="0.25">
      <c r="A231" s="156" t="s">
        <v>787</v>
      </c>
      <c r="B231" s="153">
        <f>SUMIFS(B217:B228,A217:A228,"*Kluang*")+SUMIFS(B217:B228,A217:A228,"*Johor Bahru*")+SUMIFS(B217:B228,A217:A228,"*Ayer Keroh*")</f>
        <v>2143.6415999999999</v>
      </c>
      <c r="C231" s="159">
        <f>SUMIFS(C217:C228,A217:A228,"*Kluang*")+SUMIFS(C217:C228,A217:A228,"*Johor Bahru*")+SUMIFS(C217:C228,A217:A228,"*Ayer Keroh*")</f>
        <v>233.97890000000001</v>
      </c>
    </row>
    <row r="232" spans="1:3" x14ac:dyDescent="0.25">
      <c r="A232" s="156" t="s">
        <v>784</v>
      </c>
      <c r="B232" s="153">
        <f>SUMIFS(B217:B228,A217:A228,"*Selangor*")+SUMIFS(B217:B228,A217:A228,"*Kuala Lumpur*")+SUMIFS(B217:B228,A217:A228,"*Seremban*")</f>
        <v>4563.2574000000004</v>
      </c>
      <c r="C232" s="152">
        <f>SUMIFS(C217:C228,A217:A228,"*Selangor*")+SUMIFS(C217:C228,A217:A228,"*Kuala Lumpur*")+SUMIFS(C217:C228,A217:A228,"*Seremban*")</f>
        <v>886.74639999999999</v>
      </c>
    </row>
    <row r="233" spans="1:3" x14ac:dyDescent="0.25">
      <c r="A233" s="156" t="s">
        <v>788</v>
      </c>
      <c r="B233" s="153">
        <f>SUMIFS(B217:B228,A217:A228,"*Ipoh*")+SUMIFS(B217:B228,A217:A228,"*Perda*")+SUMIFS(B217:B228,A217:A228,"*Alor Setar*")</f>
        <v>2117.8723</v>
      </c>
      <c r="C233" s="152">
        <f>SUMIFS(C217:C228,A217:A228,"*Ipoh*")+SUMIFS(C217:C228,A217:A228,"*Perda*")+SUMIFS(C217:C228,A217:A228,"*Alor Setar*")</f>
        <v>275.60680000000002</v>
      </c>
    </row>
    <row r="234" spans="1:3" x14ac:dyDescent="0.25">
      <c r="A234" s="156" t="s">
        <v>789</v>
      </c>
      <c r="B234" s="153">
        <f>SUMIFS(B217:B228,A217:A228,"*Dungun*")+SUMIFS(B217:B228,A217:A228,"*Kota Bharu*")+SUMIFS(B217:B228,A217:A228,"*Kuantan*")</f>
        <v>972.50840000000005</v>
      </c>
      <c r="C234" s="152">
        <f>SUMIFS(C217:C228,A217:A228,"*Dungun*")+SUMIFS(C217:C228,A217:A228,"*Kota Bharu*")+SUMIFS(C217:C228,A217:A228,"*Kuantan*")</f>
        <v>0</v>
      </c>
    </row>
    <row r="236" spans="1:3" x14ac:dyDescent="0.25">
      <c r="A236" s="154" t="s">
        <v>790</v>
      </c>
    </row>
    <row r="237" spans="1:3" x14ac:dyDescent="0.25">
      <c r="A237" s="5" t="s">
        <v>633</v>
      </c>
      <c r="B237" s="5">
        <f>SUMIF($A$2:$A$199,$A237,$L$2:$L$199)</f>
        <v>311</v>
      </c>
    </row>
    <row r="238" spans="1:3" x14ac:dyDescent="0.25">
      <c r="A238" s="5" t="s">
        <v>632</v>
      </c>
      <c r="B238" s="152">
        <f t="shared" ref="B238:B249" si="2">SUMIF($A$2:$A$199,$A238,$L$2:$L$199)</f>
        <v>1000.6459000000002</v>
      </c>
    </row>
    <row r="239" spans="1:3" x14ac:dyDescent="0.25">
      <c r="A239" s="5" t="s">
        <v>634</v>
      </c>
      <c r="B239" s="152">
        <f t="shared" si="2"/>
        <v>801.15820000000008</v>
      </c>
    </row>
    <row r="240" spans="1:3" x14ac:dyDescent="0.25">
      <c r="A240" s="5" t="s">
        <v>635</v>
      </c>
      <c r="B240" s="152">
        <f t="shared" si="2"/>
        <v>884.97269999999992</v>
      </c>
    </row>
    <row r="241" spans="1:2" x14ac:dyDescent="0.25">
      <c r="A241" s="5" t="s">
        <v>636</v>
      </c>
      <c r="B241" s="152">
        <f t="shared" si="2"/>
        <v>753.81540000000007</v>
      </c>
    </row>
    <row r="242" spans="1:2" x14ac:dyDescent="0.25">
      <c r="A242" s="5" t="s">
        <v>637</v>
      </c>
      <c r="B242" s="152">
        <f t="shared" si="2"/>
        <v>713.0498</v>
      </c>
    </row>
    <row r="243" spans="1:2" x14ac:dyDescent="0.25">
      <c r="A243" s="5" t="s">
        <v>638</v>
      </c>
      <c r="B243" s="152">
        <f t="shared" si="2"/>
        <v>931.42899999999997</v>
      </c>
    </row>
    <row r="244" spans="1:2" x14ac:dyDescent="0.25">
      <c r="A244" s="5" t="s">
        <v>639</v>
      </c>
      <c r="B244" s="152">
        <f t="shared" si="2"/>
        <v>906.03819999999985</v>
      </c>
    </row>
    <row r="245" spans="1:2" x14ac:dyDescent="0.25">
      <c r="A245" s="5" t="s">
        <v>640</v>
      </c>
      <c r="B245" s="152">
        <f t="shared" si="2"/>
        <v>915.64959999999996</v>
      </c>
    </row>
    <row r="246" spans="1:2" x14ac:dyDescent="0.25">
      <c r="A246" s="5" t="s">
        <v>641</v>
      </c>
      <c r="B246" s="152">
        <f t="shared" si="2"/>
        <v>858.49199999999996</v>
      </c>
    </row>
    <row r="247" spans="1:2" x14ac:dyDescent="0.25">
      <c r="A247" s="5" t="s">
        <v>642</v>
      </c>
      <c r="B247" s="152">
        <f t="shared" si="2"/>
        <v>852.3143</v>
      </c>
    </row>
    <row r="248" spans="1:2" x14ac:dyDescent="0.25">
      <c r="A248" s="5" t="s">
        <v>643</v>
      </c>
      <c r="B248" s="152">
        <f t="shared" si="2"/>
        <v>402.66179999999997</v>
      </c>
    </row>
    <row r="249" spans="1:2" x14ac:dyDescent="0.25">
      <c r="A249" s="5" t="s">
        <v>644</v>
      </c>
      <c r="B249" s="152">
        <f t="shared" si="2"/>
        <v>466.05279999999999</v>
      </c>
    </row>
    <row r="250" spans="1:2" x14ac:dyDescent="0.25">
      <c r="A250" s="155"/>
    </row>
    <row r="251" spans="1:2" x14ac:dyDescent="0.25">
      <c r="A251" s="154" t="s">
        <v>791</v>
      </c>
    </row>
    <row r="252" spans="1:2" x14ac:dyDescent="0.25">
      <c r="A252" s="5" t="s">
        <v>679</v>
      </c>
      <c r="B252" s="152">
        <f>SUMIF($R$3:$R$211,30,$L$3:$L$211)</f>
        <v>498.03549999999996</v>
      </c>
    </row>
    <row r="253" spans="1:2" x14ac:dyDescent="0.25">
      <c r="A253" s="5" t="s">
        <v>658</v>
      </c>
      <c r="B253" s="152">
        <f>SUMIF($R$3:$R$211,60,$L$3:$L$211)</f>
        <v>470.22390000000001</v>
      </c>
    </row>
    <row r="254" spans="1:2" x14ac:dyDescent="0.25">
      <c r="A254" s="5" t="s">
        <v>663</v>
      </c>
      <c r="B254" s="152">
        <f>SUMIF($R$3:$R$211,90,$L$3:$L$211)</f>
        <v>428.0727</v>
      </c>
    </row>
  </sheetData>
  <autoFilter ref="A2:S211" xr:uid="{722A4A62-F3D1-4577-AFDB-10AA26B12C9A}"/>
  <mergeCells count="45">
    <mergeCell ref="L198:L199"/>
    <mergeCell ref="N198:N199"/>
    <mergeCell ref="P198:P199"/>
    <mergeCell ref="L172:L173"/>
    <mergeCell ref="N172:N173"/>
    <mergeCell ref="P172:P173"/>
    <mergeCell ref="L177:L178"/>
    <mergeCell ref="N177:N178"/>
    <mergeCell ref="P177:P178"/>
    <mergeCell ref="L180:L183"/>
    <mergeCell ref="N180:N183"/>
    <mergeCell ref="L185:L186"/>
    <mergeCell ref="N185:N186"/>
    <mergeCell ref="P185:P186"/>
    <mergeCell ref="L159:L160"/>
    <mergeCell ref="N159:N160"/>
    <mergeCell ref="P159:P160"/>
    <mergeCell ref="L166:L167"/>
    <mergeCell ref="N166:N167"/>
    <mergeCell ref="P166:P167"/>
    <mergeCell ref="L153:L156"/>
    <mergeCell ref="N153:N156"/>
    <mergeCell ref="P153:P156"/>
    <mergeCell ref="L157:L158"/>
    <mergeCell ref="N157:N158"/>
    <mergeCell ref="P157:P158"/>
    <mergeCell ref="L151:L152"/>
    <mergeCell ref="N151:N152"/>
    <mergeCell ref="L96:L97"/>
    <mergeCell ref="N96:N97"/>
    <mergeCell ref="P96:P97"/>
    <mergeCell ref="L106:L108"/>
    <mergeCell ref="N106:N108"/>
    <mergeCell ref="P106:P108"/>
    <mergeCell ref="L121:L122"/>
    <mergeCell ref="N121:N122"/>
    <mergeCell ref="P121:P122"/>
    <mergeCell ref="N144:N145"/>
    <mergeCell ref="P144:P145"/>
    <mergeCell ref="A1:P1"/>
    <mergeCell ref="Q1:S1"/>
    <mergeCell ref="L92:L93"/>
    <mergeCell ref="N92:N93"/>
    <mergeCell ref="L94:L95"/>
    <mergeCell ref="N94:N95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18EB-017A-4439-A8B0-24ED468BF9CA}">
  <dimension ref="A1:K1448"/>
  <sheetViews>
    <sheetView workbookViewId="0">
      <selection activeCell="B44" sqref="B44"/>
    </sheetView>
  </sheetViews>
  <sheetFormatPr defaultRowHeight="14.25" x14ac:dyDescent="0.2"/>
  <cols>
    <col min="1" max="1" width="10.5" bestFit="1" customWidth="1"/>
    <col min="2" max="2" width="18.125" bestFit="1" customWidth="1"/>
    <col min="3" max="3" width="18.125" customWidth="1"/>
    <col min="8" max="8" width="10.5" bestFit="1" customWidth="1"/>
    <col min="10" max="10" width="9.375" bestFit="1" customWidth="1"/>
    <col min="11" max="11" width="10.25" bestFit="1" customWidth="1"/>
  </cols>
  <sheetData>
    <row r="1" spans="1:11" x14ac:dyDescent="0.2">
      <c r="A1" t="s">
        <v>793</v>
      </c>
      <c r="B1" t="s">
        <v>794</v>
      </c>
      <c r="D1" t="s">
        <v>795</v>
      </c>
      <c r="E1" t="s">
        <v>796</v>
      </c>
      <c r="F1" t="s">
        <v>797</v>
      </c>
      <c r="G1" t="s">
        <v>798</v>
      </c>
      <c r="H1" t="s">
        <v>799</v>
      </c>
      <c r="I1" t="s">
        <v>800</v>
      </c>
      <c r="J1" t="s">
        <v>801</v>
      </c>
      <c r="K1" t="s">
        <v>802</v>
      </c>
    </row>
    <row r="2" spans="1:11" x14ac:dyDescent="0.2">
      <c r="A2">
        <v>63177</v>
      </c>
      <c r="B2" t="s">
        <v>847</v>
      </c>
      <c r="C2" t="str">
        <f>LEFT(B2,4)</f>
        <v>AYTH</v>
      </c>
      <c r="D2" t="s">
        <v>848</v>
      </c>
      <c r="E2">
        <v>1</v>
      </c>
      <c r="F2" t="s">
        <v>849</v>
      </c>
      <c r="G2">
        <v>1</v>
      </c>
      <c r="H2" t="s">
        <v>806</v>
      </c>
      <c r="I2">
        <v>1</v>
      </c>
      <c r="J2">
        <v>11.6897</v>
      </c>
      <c r="K2">
        <v>4.0861000000000001</v>
      </c>
    </row>
    <row r="3" spans="1:11" x14ac:dyDescent="0.2">
      <c r="A3">
        <v>61123</v>
      </c>
      <c r="B3" t="s">
        <v>882</v>
      </c>
      <c r="C3" t="str">
        <f t="shared" ref="C3:C66" si="0">LEFT(B3,4)</f>
        <v>BKRS</v>
      </c>
      <c r="D3" t="s">
        <v>804</v>
      </c>
      <c r="E3">
        <v>1</v>
      </c>
      <c r="F3" t="s">
        <v>849</v>
      </c>
      <c r="G3">
        <v>1</v>
      </c>
      <c r="H3" t="s">
        <v>806</v>
      </c>
      <c r="I3">
        <v>1</v>
      </c>
      <c r="J3">
        <v>21.289899999999999</v>
      </c>
      <c r="K3">
        <v>0.2278</v>
      </c>
    </row>
    <row r="4" spans="1:11" x14ac:dyDescent="0.2">
      <c r="A4">
        <v>61123</v>
      </c>
      <c r="B4" t="s">
        <v>882</v>
      </c>
      <c r="C4" t="str">
        <f t="shared" si="0"/>
        <v>BKRS</v>
      </c>
      <c r="D4" t="s">
        <v>807</v>
      </c>
      <c r="E4">
        <v>1</v>
      </c>
      <c r="F4" t="s">
        <v>849</v>
      </c>
      <c r="G4">
        <v>1</v>
      </c>
      <c r="H4" t="s">
        <v>806</v>
      </c>
      <c r="I4">
        <v>1</v>
      </c>
      <c r="J4">
        <v>21.207000000000001</v>
      </c>
      <c r="K4">
        <v>0.2278</v>
      </c>
    </row>
    <row r="5" spans="1:11" x14ac:dyDescent="0.2">
      <c r="A5">
        <v>51089</v>
      </c>
      <c r="B5" t="s">
        <v>923</v>
      </c>
      <c r="C5" t="str">
        <f t="shared" si="0"/>
        <v>CBJC</v>
      </c>
      <c r="D5" t="s">
        <v>804</v>
      </c>
      <c r="E5">
        <v>1</v>
      </c>
      <c r="F5" t="s">
        <v>849</v>
      </c>
      <c r="G5">
        <v>1</v>
      </c>
      <c r="H5" t="s">
        <v>806</v>
      </c>
      <c r="I5">
        <v>1</v>
      </c>
      <c r="J5">
        <v>27.656099999999999</v>
      </c>
      <c r="K5">
        <v>-1.8784000000000001</v>
      </c>
    </row>
    <row r="6" spans="1:11" x14ac:dyDescent="0.2">
      <c r="A6">
        <v>96176</v>
      </c>
      <c r="B6" t="s">
        <v>934</v>
      </c>
      <c r="C6" t="str">
        <f t="shared" si="0"/>
        <v>CMBG</v>
      </c>
      <c r="D6" t="s">
        <v>808</v>
      </c>
      <c r="E6">
        <v>1</v>
      </c>
      <c r="F6" t="s">
        <v>849</v>
      </c>
      <c r="G6">
        <v>1</v>
      </c>
      <c r="H6" t="s">
        <v>806</v>
      </c>
      <c r="I6">
        <v>1</v>
      </c>
      <c r="J6">
        <v>18.462900000000001</v>
      </c>
      <c r="K6">
        <v>1.8431999999999999</v>
      </c>
    </row>
    <row r="7" spans="1:11" x14ac:dyDescent="0.2">
      <c r="A7">
        <v>61101</v>
      </c>
      <c r="B7" t="s">
        <v>936</v>
      </c>
      <c r="C7" t="str">
        <f t="shared" si="0"/>
        <v>CPNG</v>
      </c>
      <c r="D7" t="s">
        <v>804</v>
      </c>
      <c r="E7">
        <v>1</v>
      </c>
      <c r="F7" t="s">
        <v>849</v>
      </c>
      <c r="G7">
        <v>1</v>
      </c>
      <c r="H7" t="s">
        <v>806</v>
      </c>
      <c r="I7">
        <v>1</v>
      </c>
      <c r="J7">
        <v>5.7417999999999996</v>
      </c>
      <c r="K7">
        <v>0.55610000000000004</v>
      </c>
    </row>
    <row r="8" spans="1:11" x14ac:dyDescent="0.2">
      <c r="A8">
        <v>61101</v>
      </c>
      <c r="B8" t="s">
        <v>936</v>
      </c>
      <c r="C8" t="str">
        <f t="shared" si="0"/>
        <v>CPNG</v>
      </c>
      <c r="D8" t="s">
        <v>807</v>
      </c>
      <c r="E8">
        <v>1</v>
      </c>
      <c r="F8" t="s">
        <v>849</v>
      </c>
      <c r="G8">
        <v>1</v>
      </c>
      <c r="H8" t="s">
        <v>806</v>
      </c>
      <c r="I8">
        <v>1</v>
      </c>
      <c r="J8">
        <v>5.7594000000000003</v>
      </c>
      <c r="K8">
        <v>0.56120000000000003</v>
      </c>
    </row>
    <row r="9" spans="1:11" x14ac:dyDescent="0.2">
      <c r="A9">
        <v>61137</v>
      </c>
      <c r="B9" t="s">
        <v>1037</v>
      </c>
      <c r="C9" t="str">
        <f t="shared" si="0"/>
        <v>KGAR</v>
      </c>
      <c r="D9" t="s">
        <v>804</v>
      </c>
      <c r="E9">
        <v>1</v>
      </c>
      <c r="F9" t="s">
        <v>849</v>
      </c>
      <c r="G9">
        <v>1</v>
      </c>
      <c r="H9" t="s">
        <v>806</v>
      </c>
      <c r="I9">
        <v>1</v>
      </c>
      <c r="J9">
        <v>12.037699999999999</v>
      </c>
      <c r="K9">
        <v>3.4565000000000001</v>
      </c>
    </row>
    <row r="10" spans="1:11" x14ac:dyDescent="0.2">
      <c r="A10">
        <v>61137</v>
      </c>
      <c r="B10" t="s">
        <v>1037</v>
      </c>
      <c r="C10" t="str">
        <f t="shared" si="0"/>
        <v>KGAR</v>
      </c>
      <c r="D10" t="s">
        <v>807</v>
      </c>
      <c r="E10">
        <v>1</v>
      </c>
      <c r="F10" t="s">
        <v>849</v>
      </c>
      <c r="G10">
        <v>1</v>
      </c>
      <c r="H10" t="s">
        <v>806</v>
      </c>
      <c r="I10">
        <v>1</v>
      </c>
      <c r="J10">
        <v>11.7281</v>
      </c>
      <c r="K10">
        <v>0.13250000000000001</v>
      </c>
    </row>
    <row r="11" spans="1:11" x14ac:dyDescent="0.2">
      <c r="A11">
        <v>61137</v>
      </c>
      <c r="B11" t="s">
        <v>1037</v>
      </c>
      <c r="C11" t="str">
        <f t="shared" si="0"/>
        <v>KGAR</v>
      </c>
      <c r="D11" t="s">
        <v>808</v>
      </c>
      <c r="E11">
        <v>1</v>
      </c>
      <c r="F11" t="s">
        <v>849</v>
      </c>
      <c r="G11">
        <v>1</v>
      </c>
      <c r="H11" t="s">
        <v>806</v>
      </c>
      <c r="I11">
        <v>1</v>
      </c>
      <c r="J11">
        <v>7.4080000000000004</v>
      </c>
      <c r="K11">
        <v>0.1905</v>
      </c>
    </row>
    <row r="12" spans="1:11" x14ac:dyDescent="0.2">
      <c r="A12">
        <v>61137</v>
      </c>
      <c r="B12" t="s">
        <v>1037</v>
      </c>
      <c r="C12" t="str">
        <f t="shared" si="0"/>
        <v>KGAR</v>
      </c>
      <c r="D12" t="s">
        <v>809</v>
      </c>
      <c r="E12">
        <v>1</v>
      </c>
      <c r="F12" t="s">
        <v>849</v>
      </c>
      <c r="G12">
        <v>1</v>
      </c>
      <c r="H12" t="s">
        <v>806</v>
      </c>
      <c r="I12">
        <v>1</v>
      </c>
      <c r="J12">
        <v>10.9504</v>
      </c>
      <c r="K12">
        <v>0.37069999999999997</v>
      </c>
    </row>
    <row r="13" spans="1:11" x14ac:dyDescent="0.2">
      <c r="A13">
        <v>61102</v>
      </c>
      <c r="B13" t="s">
        <v>1078</v>
      </c>
      <c r="C13" t="str">
        <f t="shared" si="0"/>
        <v>KPLS</v>
      </c>
      <c r="D13" t="s">
        <v>804</v>
      </c>
      <c r="E13">
        <v>1</v>
      </c>
      <c r="F13" t="s">
        <v>849</v>
      </c>
      <c r="G13">
        <v>1</v>
      </c>
      <c r="H13" t="s">
        <v>806</v>
      </c>
      <c r="I13">
        <v>1</v>
      </c>
      <c r="J13">
        <v>9.0347000000000008</v>
      </c>
      <c r="K13">
        <v>1.1577</v>
      </c>
    </row>
    <row r="14" spans="1:11" x14ac:dyDescent="0.2">
      <c r="A14">
        <v>61102</v>
      </c>
      <c r="B14" t="s">
        <v>1078</v>
      </c>
      <c r="C14" t="str">
        <f t="shared" si="0"/>
        <v>KPLS</v>
      </c>
      <c r="D14" t="s">
        <v>807</v>
      </c>
      <c r="E14">
        <v>1</v>
      </c>
      <c r="F14" t="s">
        <v>849</v>
      </c>
      <c r="G14">
        <v>1</v>
      </c>
      <c r="H14" t="s">
        <v>806</v>
      </c>
      <c r="I14">
        <v>1</v>
      </c>
      <c r="J14">
        <v>8.9167000000000005</v>
      </c>
      <c r="K14">
        <v>1.1028</v>
      </c>
    </row>
    <row r="15" spans="1:11" x14ac:dyDescent="0.2">
      <c r="A15">
        <v>96116</v>
      </c>
      <c r="B15" t="s">
        <v>1228</v>
      </c>
      <c r="C15" t="str">
        <f t="shared" si="0"/>
        <v>PMKA</v>
      </c>
      <c r="D15" t="s">
        <v>804</v>
      </c>
      <c r="E15">
        <v>1</v>
      </c>
      <c r="F15" t="s">
        <v>849</v>
      </c>
      <c r="G15">
        <v>1</v>
      </c>
      <c r="H15" t="s">
        <v>806</v>
      </c>
      <c r="I15">
        <v>1</v>
      </c>
      <c r="J15">
        <v>4.1555</v>
      </c>
      <c r="K15">
        <v>-6.0100000000000001E-2</v>
      </c>
    </row>
    <row r="16" spans="1:11" x14ac:dyDescent="0.2">
      <c r="A16">
        <v>96116</v>
      </c>
      <c r="B16" t="s">
        <v>1228</v>
      </c>
      <c r="C16" t="str">
        <f t="shared" si="0"/>
        <v>PMKA</v>
      </c>
      <c r="D16" t="s">
        <v>807</v>
      </c>
      <c r="E16">
        <v>1</v>
      </c>
      <c r="F16" t="s">
        <v>849</v>
      </c>
      <c r="G16">
        <v>1</v>
      </c>
      <c r="H16" t="s">
        <v>806</v>
      </c>
      <c r="I16">
        <v>1</v>
      </c>
      <c r="J16">
        <v>4.1555</v>
      </c>
      <c r="K16">
        <v>-5.8999999999999997E-2</v>
      </c>
    </row>
    <row r="17" spans="1:11" x14ac:dyDescent="0.2">
      <c r="A17">
        <v>61148</v>
      </c>
      <c r="B17" t="s">
        <v>819</v>
      </c>
      <c r="C17" t="str">
        <f t="shared" si="0"/>
        <v>AJYA</v>
      </c>
      <c r="D17" t="s">
        <v>804</v>
      </c>
      <c r="E17">
        <v>2</v>
      </c>
      <c r="F17" t="s">
        <v>820</v>
      </c>
      <c r="G17">
        <v>1</v>
      </c>
      <c r="H17" t="s">
        <v>806</v>
      </c>
      <c r="I17">
        <v>1</v>
      </c>
      <c r="J17">
        <v>0</v>
      </c>
      <c r="K17">
        <v>0</v>
      </c>
    </row>
    <row r="18" spans="1:11" x14ac:dyDescent="0.2">
      <c r="A18">
        <v>61148</v>
      </c>
      <c r="B18" t="s">
        <v>819</v>
      </c>
      <c r="C18" t="str">
        <f t="shared" si="0"/>
        <v>AJYA</v>
      </c>
      <c r="D18" t="s">
        <v>807</v>
      </c>
      <c r="E18">
        <v>2</v>
      </c>
      <c r="F18" t="s">
        <v>820</v>
      </c>
      <c r="G18">
        <v>1</v>
      </c>
      <c r="H18" t="s">
        <v>806</v>
      </c>
      <c r="I18">
        <v>1</v>
      </c>
      <c r="J18">
        <v>16.345300000000002</v>
      </c>
      <c r="K18">
        <v>0.93189999999999995</v>
      </c>
    </row>
    <row r="19" spans="1:11" x14ac:dyDescent="0.2">
      <c r="A19">
        <v>61148</v>
      </c>
      <c r="B19" t="s">
        <v>819</v>
      </c>
      <c r="C19" t="str">
        <f t="shared" si="0"/>
        <v>AJYA</v>
      </c>
      <c r="D19" t="s">
        <v>808</v>
      </c>
      <c r="E19">
        <v>2</v>
      </c>
      <c r="F19" t="s">
        <v>820</v>
      </c>
      <c r="G19">
        <v>1</v>
      </c>
      <c r="H19" t="s">
        <v>806</v>
      </c>
      <c r="I19">
        <v>1</v>
      </c>
      <c r="J19">
        <v>20.0669</v>
      </c>
      <c r="K19">
        <v>-1.4973000000000001</v>
      </c>
    </row>
    <row r="20" spans="1:11" x14ac:dyDescent="0.2">
      <c r="A20">
        <v>61148</v>
      </c>
      <c r="B20" t="s">
        <v>819</v>
      </c>
      <c r="C20" t="str">
        <f t="shared" si="0"/>
        <v>AJYA</v>
      </c>
      <c r="D20" t="s">
        <v>809</v>
      </c>
      <c r="E20">
        <v>2</v>
      </c>
      <c r="F20" t="s">
        <v>820</v>
      </c>
      <c r="G20">
        <v>1</v>
      </c>
      <c r="H20" t="s">
        <v>806</v>
      </c>
      <c r="I20">
        <v>1</v>
      </c>
      <c r="J20">
        <v>0</v>
      </c>
      <c r="K20">
        <v>0</v>
      </c>
    </row>
    <row r="21" spans="1:11" x14ac:dyDescent="0.2">
      <c r="A21">
        <v>61104</v>
      </c>
      <c r="B21" t="s">
        <v>842</v>
      </c>
      <c r="C21" t="str">
        <f t="shared" si="0"/>
        <v>ASTR</v>
      </c>
      <c r="D21" t="s">
        <v>804</v>
      </c>
      <c r="E21">
        <v>2</v>
      </c>
      <c r="F21" t="s">
        <v>820</v>
      </c>
      <c r="G21">
        <v>1</v>
      </c>
      <c r="H21" t="s">
        <v>806</v>
      </c>
      <c r="I21">
        <v>1</v>
      </c>
      <c r="J21">
        <v>5.9759000000000002</v>
      </c>
      <c r="K21">
        <v>0.96919999999999995</v>
      </c>
    </row>
    <row r="22" spans="1:11" x14ac:dyDescent="0.2">
      <c r="A22">
        <v>61104</v>
      </c>
      <c r="B22" t="s">
        <v>842</v>
      </c>
      <c r="C22" t="str">
        <f t="shared" si="0"/>
        <v>ASTR</v>
      </c>
      <c r="D22" t="s">
        <v>807</v>
      </c>
      <c r="E22">
        <v>2</v>
      </c>
      <c r="F22" t="s">
        <v>820</v>
      </c>
      <c r="G22">
        <v>1</v>
      </c>
      <c r="H22" t="s">
        <v>806</v>
      </c>
      <c r="I22">
        <v>1</v>
      </c>
      <c r="J22">
        <v>5.8444000000000003</v>
      </c>
      <c r="K22">
        <v>1.2787999999999999</v>
      </c>
    </row>
    <row r="23" spans="1:11" x14ac:dyDescent="0.2">
      <c r="A23">
        <v>61104</v>
      </c>
      <c r="B23" t="s">
        <v>842</v>
      </c>
      <c r="C23" t="str">
        <f t="shared" si="0"/>
        <v>ASTR</v>
      </c>
      <c r="D23" t="s">
        <v>808</v>
      </c>
      <c r="E23">
        <v>2</v>
      </c>
      <c r="F23" t="s">
        <v>820</v>
      </c>
      <c r="G23">
        <v>1</v>
      </c>
      <c r="H23" t="s">
        <v>806</v>
      </c>
      <c r="I23">
        <v>1</v>
      </c>
      <c r="J23">
        <v>26.303699999999999</v>
      </c>
      <c r="K23">
        <v>0.36759999999999998</v>
      </c>
    </row>
    <row r="24" spans="1:11" x14ac:dyDescent="0.2">
      <c r="A24">
        <v>61104</v>
      </c>
      <c r="B24" t="s">
        <v>842</v>
      </c>
      <c r="C24" t="str">
        <f t="shared" si="0"/>
        <v>ASTR</v>
      </c>
      <c r="D24" t="s">
        <v>809</v>
      </c>
      <c r="E24">
        <v>2</v>
      </c>
      <c r="F24" t="s">
        <v>820</v>
      </c>
      <c r="G24">
        <v>1</v>
      </c>
      <c r="H24" t="s">
        <v>806</v>
      </c>
      <c r="I24">
        <v>1</v>
      </c>
      <c r="J24">
        <v>12.718999999999999</v>
      </c>
      <c r="K24">
        <v>-6.6738</v>
      </c>
    </row>
    <row r="25" spans="1:11" x14ac:dyDescent="0.2">
      <c r="A25">
        <v>61115</v>
      </c>
      <c r="B25" t="s">
        <v>870</v>
      </c>
      <c r="C25" t="str">
        <f t="shared" si="0"/>
        <v>BDNG</v>
      </c>
      <c r="D25" t="s">
        <v>804</v>
      </c>
      <c r="E25">
        <v>2</v>
      </c>
      <c r="F25" t="s">
        <v>820</v>
      </c>
      <c r="G25">
        <v>1</v>
      </c>
      <c r="H25" t="s">
        <v>806</v>
      </c>
      <c r="I25">
        <v>1</v>
      </c>
      <c r="J25">
        <v>21.702999999999999</v>
      </c>
      <c r="K25">
        <v>2.1154999999999999</v>
      </c>
    </row>
    <row r="26" spans="1:11" x14ac:dyDescent="0.2">
      <c r="A26">
        <v>61115</v>
      </c>
      <c r="B26" t="s">
        <v>870</v>
      </c>
      <c r="C26" t="str">
        <f t="shared" si="0"/>
        <v>BDNG</v>
      </c>
      <c r="D26" t="s">
        <v>807</v>
      </c>
      <c r="E26">
        <v>2</v>
      </c>
      <c r="F26" t="s">
        <v>820</v>
      </c>
      <c r="G26">
        <v>1</v>
      </c>
      <c r="H26" t="s">
        <v>806</v>
      </c>
      <c r="I26">
        <v>1</v>
      </c>
      <c r="J26">
        <v>18.748699999999999</v>
      </c>
      <c r="K26">
        <v>1.0821000000000001</v>
      </c>
    </row>
    <row r="27" spans="1:11" x14ac:dyDescent="0.2">
      <c r="A27">
        <v>61124</v>
      </c>
      <c r="B27" t="s">
        <v>877</v>
      </c>
      <c r="C27" t="str">
        <f t="shared" si="0"/>
        <v>BKHM</v>
      </c>
      <c r="D27" t="s">
        <v>804</v>
      </c>
      <c r="E27">
        <v>2</v>
      </c>
      <c r="F27" t="s">
        <v>820</v>
      </c>
      <c r="G27">
        <v>1</v>
      </c>
      <c r="H27" t="s">
        <v>806</v>
      </c>
      <c r="I27">
        <v>1</v>
      </c>
      <c r="J27">
        <v>6.0452000000000004</v>
      </c>
      <c r="K27">
        <v>0.79320000000000002</v>
      </c>
    </row>
    <row r="28" spans="1:11" x14ac:dyDescent="0.2">
      <c r="A28">
        <v>61124</v>
      </c>
      <c r="B28" t="s">
        <v>877</v>
      </c>
      <c r="C28" t="str">
        <f t="shared" si="0"/>
        <v>BKHM</v>
      </c>
      <c r="D28" t="s">
        <v>807</v>
      </c>
      <c r="E28">
        <v>2</v>
      </c>
      <c r="F28" t="s">
        <v>820</v>
      </c>
      <c r="G28">
        <v>1</v>
      </c>
      <c r="H28" t="s">
        <v>806</v>
      </c>
      <c r="I28">
        <v>1</v>
      </c>
      <c r="J28">
        <v>6.0483000000000002</v>
      </c>
      <c r="K28">
        <v>0.79320000000000002</v>
      </c>
    </row>
    <row r="29" spans="1:11" x14ac:dyDescent="0.2">
      <c r="A29">
        <v>61124</v>
      </c>
      <c r="B29" t="s">
        <v>877</v>
      </c>
      <c r="C29" t="str">
        <f t="shared" si="0"/>
        <v>BKHM</v>
      </c>
      <c r="D29" t="s">
        <v>808</v>
      </c>
      <c r="E29">
        <v>2</v>
      </c>
      <c r="F29" t="s">
        <v>820</v>
      </c>
      <c r="G29">
        <v>1</v>
      </c>
      <c r="H29" t="s">
        <v>806</v>
      </c>
      <c r="I29">
        <v>1</v>
      </c>
      <c r="J29">
        <v>18.254799999999999</v>
      </c>
      <c r="K29">
        <v>-2.9180000000000001</v>
      </c>
    </row>
    <row r="30" spans="1:11" x14ac:dyDescent="0.2">
      <c r="A30">
        <v>61124</v>
      </c>
      <c r="B30" t="s">
        <v>877</v>
      </c>
      <c r="C30" t="str">
        <f t="shared" si="0"/>
        <v>BKHM</v>
      </c>
      <c r="D30" t="s">
        <v>809</v>
      </c>
      <c r="E30">
        <v>2</v>
      </c>
      <c r="F30" t="s">
        <v>820</v>
      </c>
      <c r="G30">
        <v>1</v>
      </c>
      <c r="H30" t="s">
        <v>806</v>
      </c>
      <c r="I30">
        <v>1</v>
      </c>
      <c r="J30">
        <v>18.318999999999999</v>
      </c>
      <c r="K30">
        <v>-2.9470000000000001</v>
      </c>
    </row>
    <row r="31" spans="1:11" x14ac:dyDescent="0.2">
      <c r="A31">
        <v>61120</v>
      </c>
      <c r="B31" t="s">
        <v>904</v>
      </c>
      <c r="C31" t="str">
        <f t="shared" si="0"/>
        <v>BSBU</v>
      </c>
      <c r="D31" t="s">
        <v>804</v>
      </c>
      <c r="E31">
        <v>2</v>
      </c>
      <c r="F31" t="s">
        <v>820</v>
      </c>
      <c r="G31">
        <v>1</v>
      </c>
      <c r="H31" t="s">
        <v>806</v>
      </c>
      <c r="I31">
        <v>1</v>
      </c>
      <c r="J31">
        <v>6.1395</v>
      </c>
      <c r="K31">
        <v>0.69069999999999998</v>
      </c>
    </row>
    <row r="32" spans="1:11" x14ac:dyDescent="0.2">
      <c r="A32">
        <v>61120</v>
      </c>
      <c r="B32" t="s">
        <v>904</v>
      </c>
      <c r="C32" t="str">
        <f t="shared" si="0"/>
        <v>BSBU</v>
      </c>
      <c r="D32" t="s">
        <v>807</v>
      </c>
      <c r="E32">
        <v>2</v>
      </c>
      <c r="F32" t="s">
        <v>820</v>
      </c>
      <c r="G32">
        <v>1</v>
      </c>
      <c r="H32" t="s">
        <v>806</v>
      </c>
      <c r="I32">
        <v>1</v>
      </c>
      <c r="J32">
        <v>6.1124999999999998</v>
      </c>
      <c r="K32">
        <v>0.67930000000000001</v>
      </c>
    </row>
    <row r="33" spans="1:11" x14ac:dyDescent="0.2">
      <c r="A33">
        <v>61120</v>
      </c>
      <c r="B33" t="s">
        <v>904</v>
      </c>
      <c r="C33" t="str">
        <f t="shared" si="0"/>
        <v>BSBU</v>
      </c>
      <c r="D33" t="s">
        <v>808</v>
      </c>
      <c r="E33">
        <v>2</v>
      </c>
      <c r="F33" t="s">
        <v>820</v>
      </c>
      <c r="G33">
        <v>1</v>
      </c>
      <c r="H33" t="s">
        <v>806</v>
      </c>
      <c r="I33">
        <v>1</v>
      </c>
      <c r="J33">
        <v>0</v>
      </c>
      <c r="K33">
        <v>0</v>
      </c>
    </row>
    <row r="34" spans="1:11" x14ac:dyDescent="0.2">
      <c r="A34">
        <v>61120</v>
      </c>
      <c r="B34" t="s">
        <v>904</v>
      </c>
      <c r="C34" t="str">
        <f t="shared" si="0"/>
        <v>BSBU</v>
      </c>
      <c r="D34" t="s">
        <v>809</v>
      </c>
      <c r="E34">
        <v>2</v>
      </c>
      <c r="F34" t="s">
        <v>820</v>
      </c>
      <c r="G34">
        <v>1</v>
      </c>
      <c r="H34" t="s">
        <v>806</v>
      </c>
      <c r="I34">
        <v>1</v>
      </c>
      <c r="J34">
        <v>0</v>
      </c>
      <c r="K34">
        <v>0</v>
      </c>
    </row>
    <row r="35" spans="1:11" x14ac:dyDescent="0.2">
      <c r="A35">
        <v>61108</v>
      </c>
      <c r="B35" t="s">
        <v>968</v>
      </c>
      <c r="C35" t="str">
        <f t="shared" si="0"/>
        <v>GCPD</v>
      </c>
      <c r="D35" t="s">
        <v>804</v>
      </c>
      <c r="E35">
        <v>2</v>
      </c>
      <c r="F35" t="s">
        <v>820</v>
      </c>
      <c r="G35">
        <v>1</v>
      </c>
      <c r="H35" t="s">
        <v>806</v>
      </c>
      <c r="I35">
        <v>1</v>
      </c>
      <c r="J35">
        <v>6.242</v>
      </c>
      <c r="K35">
        <v>0.43390000000000001</v>
      </c>
    </row>
    <row r="36" spans="1:11" x14ac:dyDescent="0.2">
      <c r="A36">
        <v>61108</v>
      </c>
      <c r="B36" t="s">
        <v>968</v>
      </c>
      <c r="C36" t="str">
        <f t="shared" si="0"/>
        <v>GCPD</v>
      </c>
      <c r="D36" t="s">
        <v>807</v>
      </c>
      <c r="E36">
        <v>2</v>
      </c>
      <c r="F36" t="s">
        <v>820</v>
      </c>
      <c r="G36">
        <v>1</v>
      </c>
      <c r="H36" t="s">
        <v>806</v>
      </c>
      <c r="I36">
        <v>1</v>
      </c>
      <c r="J36">
        <v>6.2492000000000001</v>
      </c>
      <c r="K36">
        <v>0.43180000000000002</v>
      </c>
    </row>
    <row r="37" spans="1:11" x14ac:dyDescent="0.2">
      <c r="A37">
        <v>61116</v>
      </c>
      <c r="B37" t="s">
        <v>978</v>
      </c>
      <c r="C37" t="str">
        <f t="shared" si="0"/>
        <v>GRNE</v>
      </c>
      <c r="D37" t="s">
        <v>804</v>
      </c>
      <c r="E37">
        <v>2</v>
      </c>
      <c r="F37" t="s">
        <v>820</v>
      </c>
      <c r="G37">
        <v>1</v>
      </c>
      <c r="H37" t="s">
        <v>806</v>
      </c>
      <c r="I37">
        <v>1</v>
      </c>
      <c r="J37">
        <v>16.930399999999999</v>
      </c>
      <c r="K37">
        <v>-1.9259999999999999</v>
      </c>
    </row>
    <row r="38" spans="1:11" x14ac:dyDescent="0.2">
      <c r="A38">
        <v>61116</v>
      </c>
      <c r="B38" t="s">
        <v>978</v>
      </c>
      <c r="C38" t="str">
        <f t="shared" si="0"/>
        <v>GRNE</v>
      </c>
      <c r="D38" t="s">
        <v>807</v>
      </c>
      <c r="E38">
        <v>2</v>
      </c>
      <c r="F38" t="s">
        <v>820</v>
      </c>
      <c r="G38">
        <v>1</v>
      </c>
      <c r="H38" t="s">
        <v>806</v>
      </c>
      <c r="I38">
        <v>1</v>
      </c>
      <c r="J38">
        <v>16.932500000000001</v>
      </c>
      <c r="K38">
        <v>-1.9509000000000001</v>
      </c>
    </row>
    <row r="39" spans="1:11" x14ac:dyDescent="0.2">
      <c r="A39">
        <v>61109</v>
      </c>
      <c r="B39" t="s">
        <v>980</v>
      </c>
      <c r="C39" t="str">
        <f t="shared" si="0"/>
        <v>GRUN</v>
      </c>
      <c r="D39" t="s">
        <v>804</v>
      </c>
      <c r="E39">
        <v>2</v>
      </c>
      <c r="F39" t="s">
        <v>820</v>
      </c>
      <c r="G39">
        <v>1</v>
      </c>
      <c r="H39" t="s">
        <v>806</v>
      </c>
      <c r="I39">
        <v>1</v>
      </c>
      <c r="J39">
        <v>4.7176999999999998</v>
      </c>
      <c r="K39">
        <v>0.1139</v>
      </c>
    </row>
    <row r="40" spans="1:11" x14ac:dyDescent="0.2">
      <c r="A40">
        <v>61109</v>
      </c>
      <c r="B40" t="s">
        <v>980</v>
      </c>
      <c r="C40" t="str">
        <f t="shared" si="0"/>
        <v>GRUN</v>
      </c>
      <c r="D40" t="s">
        <v>807</v>
      </c>
      <c r="E40">
        <v>2</v>
      </c>
      <c r="F40" t="s">
        <v>820</v>
      </c>
      <c r="G40">
        <v>1</v>
      </c>
      <c r="H40" t="s">
        <v>806</v>
      </c>
      <c r="I40">
        <v>1</v>
      </c>
      <c r="J40">
        <v>4.6990999999999996</v>
      </c>
      <c r="K40">
        <v>0.1087</v>
      </c>
    </row>
    <row r="41" spans="1:11" x14ac:dyDescent="0.2">
      <c r="A41">
        <v>61131</v>
      </c>
      <c r="B41" t="s">
        <v>982</v>
      </c>
      <c r="C41" t="str">
        <f t="shared" si="0"/>
        <v>GTHR</v>
      </c>
      <c r="D41" t="s">
        <v>804</v>
      </c>
      <c r="E41">
        <v>2</v>
      </c>
      <c r="F41" t="s">
        <v>820</v>
      </c>
      <c r="G41">
        <v>1</v>
      </c>
      <c r="H41" t="s">
        <v>806</v>
      </c>
      <c r="I41">
        <v>1</v>
      </c>
      <c r="J41">
        <v>45.993699999999997</v>
      </c>
      <c r="K41">
        <v>9.1610999999999994</v>
      </c>
    </row>
    <row r="42" spans="1:11" x14ac:dyDescent="0.2">
      <c r="A42">
        <v>61131</v>
      </c>
      <c r="B42" t="s">
        <v>982</v>
      </c>
      <c r="C42" t="str">
        <f t="shared" si="0"/>
        <v>GTHR</v>
      </c>
      <c r="D42" t="s">
        <v>807</v>
      </c>
      <c r="E42">
        <v>2</v>
      </c>
      <c r="F42" t="s">
        <v>820</v>
      </c>
      <c r="G42">
        <v>1</v>
      </c>
      <c r="H42" t="s">
        <v>806</v>
      </c>
      <c r="I42">
        <v>1</v>
      </c>
      <c r="J42">
        <v>45.768000000000001</v>
      </c>
      <c r="K42">
        <v>9.1196000000000002</v>
      </c>
    </row>
    <row r="43" spans="1:11" x14ac:dyDescent="0.2">
      <c r="A43">
        <v>61127</v>
      </c>
      <c r="B43" t="s">
        <v>1006</v>
      </c>
      <c r="C43" t="str">
        <f t="shared" si="0"/>
        <v>INTN</v>
      </c>
      <c r="D43" t="s">
        <v>804</v>
      </c>
      <c r="E43">
        <v>2</v>
      </c>
      <c r="F43" t="s">
        <v>820</v>
      </c>
      <c r="G43">
        <v>1</v>
      </c>
      <c r="H43" t="s">
        <v>806</v>
      </c>
      <c r="I43">
        <v>1</v>
      </c>
      <c r="J43">
        <v>16.5214</v>
      </c>
      <c r="K43">
        <v>2.2926000000000002</v>
      </c>
    </row>
    <row r="44" spans="1:11" x14ac:dyDescent="0.2">
      <c r="A44">
        <v>61127</v>
      </c>
      <c r="B44" t="s">
        <v>1006</v>
      </c>
      <c r="C44" t="str">
        <f t="shared" si="0"/>
        <v>INTN</v>
      </c>
      <c r="D44" t="s">
        <v>807</v>
      </c>
      <c r="E44">
        <v>2</v>
      </c>
      <c r="F44" t="s">
        <v>820</v>
      </c>
      <c r="G44">
        <v>1</v>
      </c>
      <c r="H44" t="s">
        <v>806</v>
      </c>
      <c r="I44">
        <v>1</v>
      </c>
      <c r="J44">
        <v>15.035399999999999</v>
      </c>
      <c r="K44">
        <v>2.1652</v>
      </c>
    </row>
    <row r="45" spans="1:11" x14ac:dyDescent="0.2">
      <c r="A45">
        <v>61127</v>
      </c>
      <c r="B45" t="s">
        <v>1006</v>
      </c>
      <c r="C45" t="str">
        <f t="shared" si="0"/>
        <v>INTN</v>
      </c>
      <c r="D45" t="s">
        <v>808</v>
      </c>
      <c r="E45">
        <v>2</v>
      </c>
      <c r="F45" t="s">
        <v>820</v>
      </c>
      <c r="G45">
        <v>1</v>
      </c>
      <c r="H45" t="s">
        <v>806</v>
      </c>
      <c r="I45">
        <v>1</v>
      </c>
      <c r="J45">
        <v>25.370799999999999</v>
      </c>
      <c r="K45">
        <v>5.1112000000000002</v>
      </c>
    </row>
    <row r="46" spans="1:11" x14ac:dyDescent="0.2">
      <c r="A46">
        <v>61127</v>
      </c>
      <c r="B46" t="s">
        <v>1006</v>
      </c>
      <c r="C46" t="str">
        <f t="shared" si="0"/>
        <v>INTN</v>
      </c>
      <c r="D46" t="s">
        <v>809</v>
      </c>
      <c r="E46">
        <v>2</v>
      </c>
      <c r="F46" t="s">
        <v>820</v>
      </c>
      <c r="G46">
        <v>1</v>
      </c>
      <c r="H46" t="s">
        <v>806</v>
      </c>
      <c r="I46">
        <v>1</v>
      </c>
      <c r="J46">
        <v>24.5185</v>
      </c>
      <c r="K46">
        <v>5.4673999999999996</v>
      </c>
    </row>
    <row r="47" spans="1:11" x14ac:dyDescent="0.2">
      <c r="A47">
        <v>61107</v>
      </c>
      <c r="B47" t="s">
        <v>1014</v>
      </c>
      <c r="C47" t="str">
        <f t="shared" si="0"/>
        <v>JENG</v>
      </c>
      <c r="D47" t="s">
        <v>804</v>
      </c>
      <c r="E47">
        <v>2</v>
      </c>
      <c r="F47" t="s">
        <v>820</v>
      </c>
      <c r="G47">
        <v>1</v>
      </c>
      <c r="H47" t="s">
        <v>806</v>
      </c>
      <c r="I47">
        <v>1</v>
      </c>
      <c r="J47">
        <v>14.4773</v>
      </c>
      <c r="K47">
        <v>2.1642000000000001</v>
      </c>
    </row>
    <row r="48" spans="1:11" x14ac:dyDescent="0.2">
      <c r="A48">
        <v>61107</v>
      </c>
      <c r="B48" t="s">
        <v>1014</v>
      </c>
      <c r="C48" t="str">
        <f t="shared" si="0"/>
        <v>JENG</v>
      </c>
      <c r="D48" t="s">
        <v>807</v>
      </c>
      <c r="E48">
        <v>2</v>
      </c>
      <c r="F48" t="s">
        <v>820</v>
      </c>
      <c r="G48">
        <v>1</v>
      </c>
      <c r="H48" t="s">
        <v>806</v>
      </c>
      <c r="I48">
        <v>1</v>
      </c>
      <c r="J48">
        <v>13.914</v>
      </c>
      <c r="K48">
        <v>-3.4927000000000001</v>
      </c>
    </row>
    <row r="49" spans="1:11" x14ac:dyDescent="0.2">
      <c r="A49">
        <v>61141</v>
      </c>
      <c r="B49" t="s">
        <v>1035</v>
      </c>
      <c r="C49" t="str">
        <f t="shared" si="0"/>
        <v>KERC</v>
      </c>
      <c r="D49" t="s">
        <v>804</v>
      </c>
      <c r="E49">
        <v>2</v>
      </c>
      <c r="F49" t="s">
        <v>820</v>
      </c>
      <c r="G49">
        <v>1</v>
      </c>
      <c r="H49" t="s">
        <v>806</v>
      </c>
      <c r="I49">
        <v>1</v>
      </c>
      <c r="J49">
        <v>0</v>
      </c>
      <c r="K49">
        <v>0</v>
      </c>
    </row>
    <row r="50" spans="1:11" x14ac:dyDescent="0.2">
      <c r="A50">
        <v>61141</v>
      </c>
      <c r="B50" t="s">
        <v>1035</v>
      </c>
      <c r="C50" t="str">
        <f t="shared" si="0"/>
        <v>KERC</v>
      </c>
      <c r="D50" t="s">
        <v>807</v>
      </c>
      <c r="E50">
        <v>2</v>
      </c>
      <c r="F50" t="s">
        <v>820</v>
      </c>
      <c r="G50">
        <v>1</v>
      </c>
      <c r="H50" t="s">
        <v>806</v>
      </c>
      <c r="I50">
        <v>1</v>
      </c>
      <c r="J50">
        <v>0</v>
      </c>
      <c r="K50">
        <v>0</v>
      </c>
    </row>
    <row r="51" spans="1:11" x14ac:dyDescent="0.2">
      <c r="A51">
        <v>61122</v>
      </c>
      <c r="B51" t="s">
        <v>1052</v>
      </c>
      <c r="C51" t="str">
        <f t="shared" si="0"/>
        <v>KKTL</v>
      </c>
      <c r="D51" t="s">
        <v>804</v>
      </c>
      <c r="E51">
        <v>2</v>
      </c>
      <c r="F51" t="s">
        <v>820</v>
      </c>
      <c r="G51">
        <v>1</v>
      </c>
      <c r="H51" t="s">
        <v>806</v>
      </c>
      <c r="I51">
        <v>1</v>
      </c>
      <c r="J51">
        <v>2.9998</v>
      </c>
      <c r="K51">
        <v>0.33450000000000002</v>
      </c>
    </row>
    <row r="52" spans="1:11" x14ac:dyDescent="0.2">
      <c r="A52">
        <v>61122</v>
      </c>
      <c r="B52" t="s">
        <v>1052</v>
      </c>
      <c r="C52" t="str">
        <f t="shared" si="0"/>
        <v>KKTL</v>
      </c>
      <c r="D52" t="s">
        <v>807</v>
      </c>
      <c r="E52">
        <v>2</v>
      </c>
      <c r="F52" t="s">
        <v>820</v>
      </c>
      <c r="G52">
        <v>1</v>
      </c>
      <c r="H52" t="s">
        <v>806</v>
      </c>
      <c r="I52">
        <v>1</v>
      </c>
      <c r="J52">
        <v>6.8404999999999996</v>
      </c>
      <c r="K52">
        <v>2.1631999999999998</v>
      </c>
    </row>
    <row r="53" spans="1:11" x14ac:dyDescent="0.2">
      <c r="A53">
        <v>61122</v>
      </c>
      <c r="B53" t="s">
        <v>1052</v>
      </c>
      <c r="C53" t="str">
        <f t="shared" si="0"/>
        <v>KKTL</v>
      </c>
      <c r="D53" t="s">
        <v>808</v>
      </c>
      <c r="E53">
        <v>2</v>
      </c>
      <c r="F53" t="s">
        <v>820</v>
      </c>
      <c r="G53">
        <v>1</v>
      </c>
      <c r="H53" t="s">
        <v>806</v>
      </c>
      <c r="I53">
        <v>1</v>
      </c>
      <c r="J53">
        <v>20.565999999999999</v>
      </c>
      <c r="K53">
        <v>1.1225000000000001</v>
      </c>
    </row>
    <row r="54" spans="1:11" x14ac:dyDescent="0.2">
      <c r="A54">
        <v>61122</v>
      </c>
      <c r="B54" t="s">
        <v>1052</v>
      </c>
      <c r="C54" t="str">
        <f t="shared" si="0"/>
        <v>KKTL</v>
      </c>
      <c r="D54" t="s">
        <v>809</v>
      </c>
      <c r="E54">
        <v>2</v>
      </c>
      <c r="F54" t="s">
        <v>820</v>
      </c>
      <c r="G54">
        <v>1</v>
      </c>
      <c r="H54" t="s">
        <v>806</v>
      </c>
      <c r="I54">
        <v>1</v>
      </c>
      <c r="J54">
        <v>20.787600000000001</v>
      </c>
      <c r="K54">
        <v>1.1017999999999999</v>
      </c>
    </row>
    <row r="55" spans="1:11" x14ac:dyDescent="0.2">
      <c r="A55">
        <v>61113</v>
      </c>
      <c r="B55" t="s">
        <v>1065</v>
      </c>
      <c r="C55" t="str">
        <f t="shared" si="0"/>
        <v>KLIM</v>
      </c>
      <c r="D55" t="s">
        <v>804</v>
      </c>
      <c r="E55">
        <v>2</v>
      </c>
      <c r="F55" t="s">
        <v>820</v>
      </c>
      <c r="G55">
        <v>1</v>
      </c>
      <c r="H55" t="s">
        <v>806</v>
      </c>
      <c r="I55">
        <v>1</v>
      </c>
      <c r="J55">
        <v>34.639499999999998</v>
      </c>
      <c r="K55">
        <v>5.6962999999999999</v>
      </c>
    </row>
    <row r="56" spans="1:11" x14ac:dyDescent="0.2">
      <c r="A56">
        <v>61113</v>
      </c>
      <c r="B56" t="s">
        <v>1065</v>
      </c>
      <c r="C56" t="str">
        <f t="shared" si="0"/>
        <v>KLIM</v>
      </c>
      <c r="D56" t="s">
        <v>807</v>
      </c>
      <c r="E56">
        <v>2</v>
      </c>
      <c r="F56" t="s">
        <v>820</v>
      </c>
      <c r="G56">
        <v>1</v>
      </c>
      <c r="H56" t="s">
        <v>806</v>
      </c>
      <c r="I56">
        <v>1</v>
      </c>
      <c r="J56">
        <v>34.868299999999998</v>
      </c>
      <c r="K56">
        <v>5.7201000000000004</v>
      </c>
    </row>
    <row r="57" spans="1:11" x14ac:dyDescent="0.2">
      <c r="A57">
        <v>61135</v>
      </c>
      <c r="B57" t="s">
        <v>1097</v>
      </c>
      <c r="C57" t="str">
        <f t="shared" si="0"/>
        <v>KSSM</v>
      </c>
      <c r="D57" t="s">
        <v>804</v>
      </c>
      <c r="E57">
        <v>2</v>
      </c>
      <c r="F57" t="s">
        <v>820</v>
      </c>
      <c r="G57">
        <v>1</v>
      </c>
      <c r="H57" t="s">
        <v>806</v>
      </c>
      <c r="I57">
        <v>1</v>
      </c>
      <c r="J57">
        <v>5.3318000000000003</v>
      </c>
      <c r="K57">
        <v>3.2099999999999997E-2</v>
      </c>
    </row>
    <row r="58" spans="1:11" x14ac:dyDescent="0.2">
      <c r="A58">
        <v>61135</v>
      </c>
      <c r="B58" t="s">
        <v>1097</v>
      </c>
      <c r="C58" t="str">
        <f t="shared" si="0"/>
        <v>KSSM</v>
      </c>
      <c r="D58" t="s">
        <v>807</v>
      </c>
      <c r="E58">
        <v>2</v>
      </c>
      <c r="F58" t="s">
        <v>820</v>
      </c>
      <c r="G58">
        <v>1</v>
      </c>
      <c r="H58" t="s">
        <v>806</v>
      </c>
      <c r="I58">
        <v>1</v>
      </c>
      <c r="J58">
        <v>5.3514999999999997</v>
      </c>
      <c r="K58">
        <v>2.5899999999999999E-2</v>
      </c>
    </row>
    <row r="59" spans="1:11" x14ac:dyDescent="0.2">
      <c r="A59">
        <v>61135</v>
      </c>
      <c r="B59" t="s">
        <v>1097</v>
      </c>
      <c r="C59" t="str">
        <f t="shared" si="0"/>
        <v>KSSM</v>
      </c>
      <c r="D59" t="s">
        <v>808</v>
      </c>
      <c r="E59">
        <v>2</v>
      </c>
      <c r="F59" t="s">
        <v>820</v>
      </c>
      <c r="G59">
        <v>1</v>
      </c>
      <c r="H59" t="s">
        <v>806</v>
      </c>
      <c r="I59">
        <v>1</v>
      </c>
      <c r="J59">
        <v>12.456</v>
      </c>
      <c r="K59">
        <v>-0.15429999999999999</v>
      </c>
    </row>
    <row r="60" spans="1:11" x14ac:dyDescent="0.2">
      <c r="A60">
        <v>61135</v>
      </c>
      <c r="B60" t="s">
        <v>1097</v>
      </c>
      <c r="C60" t="str">
        <f t="shared" si="0"/>
        <v>KSSM</v>
      </c>
      <c r="D60" t="s">
        <v>809</v>
      </c>
      <c r="E60">
        <v>2</v>
      </c>
      <c r="F60" t="s">
        <v>820</v>
      </c>
      <c r="G60">
        <v>1</v>
      </c>
      <c r="H60" t="s">
        <v>806</v>
      </c>
      <c r="I60">
        <v>1</v>
      </c>
      <c r="J60">
        <v>12.565799999999999</v>
      </c>
      <c r="K60">
        <v>-0.17910000000000001</v>
      </c>
    </row>
    <row r="61" spans="1:11" x14ac:dyDescent="0.2">
      <c r="A61">
        <v>561111</v>
      </c>
      <c r="B61" t="s">
        <v>1099</v>
      </c>
      <c r="C61" t="str">
        <f t="shared" si="0"/>
        <v>KSTR</v>
      </c>
      <c r="D61" t="s">
        <v>860</v>
      </c>
      <c r="E61">
        <v>2</v>
      </c>
      <c r="F61" t="s">
        <v>820</v>
      </c>
      <c r="G61">
        <v>1</v>
      </c>
      <c r="H61" t="s">
        <v>806</v>
      </c>
      <c r="I61">
        <v>1</v>
      </c>
      <c r="J61">
        <v>26.648599999999998</v>
      </c>
      <c r="K61">
        <v>3.0081000000000002</v>
      </c>
    </row>
    <row r="62" spans="1:11" x14ac:dyDescent="0.2">
      <c r="A62">
        <v>161111</v>
      </c>
      <c r="B62" t="s">
        <v>1100</v>
      </c>
      <c r="C62" t="str">
        <f t="shared" si="0"/>
        <v>KSTR</v>
      </c>
      <c r="D62" t="s">
        <v>848</v>
      </c>
      <c r="E62">
        <v>2</v>
      </c>
      <c r="F62" t="s">
        <v>820</v>
      </c>
      <c r="G62">
        <v>1</v>
      </c>
      <c r="H62" t="s">
        <v>806</v>
      </c>
      <c r="I62">
        <v>1</v>
      </c>
      <c r="J62">
        <v>36.276600000000002</v>
      </c>
      <c r="K62">
        <v>6.5049999999999999</v>
      </c>
    </row>
    <row r="63" spans="1:11" x14ac:dyDescent="0.2">
      <c r="A63">
        <v>61119</v>
      </c>
      <c r="B63" t="s">
        <v>1142</v>
      </c>
      <c r="C63" t="str">
        <f t="shared" si="0"/>
        <v>MGON</v>
      </c>
      <c r="D63" t="s">
        <v>804</v>
      </c>
      <c r="E63">
        <v>2</v>
      </c>
      <c r="F63" t="s">
        <v>820</v>
      </c>
      <c r="G63">
        <v>1</v>
      </c>
      <c r="H63" t="s">
        <v>806</v>
      </c>
      <c r="I63">
        <v>1</v>
      </c>
      <c r="J63">
        <v>8.2591000000000001</v>
      </c>
      <c r="K63">
        <v>1.0075000000000001</v>
      </c>
    </row>
    <row r="64" spans="1:11" x14ac:dyDescent="0.2">
      <c r="A64">
        <v>61119</v>
      </c>
      <c r="B64" t="s">
        <v>1142</v>
      </c>
      <c r="C64" t="str">
        <f t="shared" si="0"/>
        <v>MGON</v>
      </c>
      <c r="D64" t="s">
        <v>807</v>
      </c>
      <c r="E64">
        <v>2</v>
      </c>
      <c r="F64" t="s">
        <v>820</v>
      </c>
      <c r="G64">
        <v>1</v>
      </c>
      <c r="H64" t="s">
        <v>806</v>
      </c>
      <c r="I64">
        <v>1</v>
      </c>
      <c r="J64">
        <v>8.2529000000000003</v>
      </c>
      <c r="K64">
        <v>0.99409999999999998</v>
      </c>
    </row>
    <row r="65" spans="1:11" x14ac:dyDescent="0.2">
      <c r="A65">
        <v>61119</v>
      </c>
      <c r="B65" t="s">
        <v>1142</v>
      </c>
      <c r="C65" t="str">
        <f t="shared" si="0"/>
        <v>MGON</v>
      </c>
      <c r="D65" t="s">
        <v>808</v>
      </c>
      <c r="E65">
        <v>2</v>
      </c>
      <c r="F65" t="s">
        <v>820</v>
      </c>
      <c r="G65">
        <v>1</v>
      </c>
      <c r="H65" t="s">
        <v>806</v>
      </c>
      <c r="I65">
        <v>1</v>
      </c>
      <c r="J65">
        <v>49.234900000000003</v>
      </c>
      <c r="K65">
        <v>3.5766</v>
      </c>
    </row>
    <row r="66" spans="1:11" x14ac:dyDescent="0.2">
      <c r="A66">
        <v>61119</v>
      </c>
      <c r="B66" t="s">
        <v>1142</v>
      </c>
      <c r="C66" t="str">
        <f t="shared" si="0"/>
        <v>MGON</v>
      </c>
      <c r="D66" t="s">
        <v>809</v>
      </c>
      <c r="E66">
        <v>2</v>
      </c>
      <c r="F66" t="s">
        <v>820</v>
      </c>
      <c r="G66">
        <v>1</v>
      </c>
      <c r="H66" t="s">
        <v>806</v>
      </c>
      <c r="I66">
        <v>1</v>
      </c>
      <c r="J66">
        <v>45.968899999999998</v>
      </c>
      <c r="K66">
        <v>4.93</v>
      </c>
    </row>
    <row r="67" spans="1:11" x14ac:dyDescent="0.2">
      <c r="A67">
        <v>61132</v>
      </c>
      <c r="B67" t="s">
        <v>1188</v>
      </c>
      <c r="C67" t="str">
        <f t="shared" ref="C67:C130" si="1">LEFT(B67,4)</f>
        <v>PAUH</v>
      </c>
      <c r="D67" t="s">
        <v>804</v>
      </c>
      <c r="E67">
        <v>2</v>
      </c>
      <c r="F67" t="s">
        <v>820</v>
      </c>
      <c r="G67">
        <v>1</v>
      </c>
      <c r="H67" t="s">
        <v>806</v>
      </c>
      <c r="I67">
        <v>1</v>
      </c>
      <c r="J67">
        <v>18.808800000000002</v>
      </c>
      <c r="K67">
        <v>0.1522</v>
      </c>
    </row>
    <row r="68" spans="1:11" x14ac:dyDescent="0.2">
      <c r="A68">
        <v>61132</v>
      </c>
      <c r="B68" t="s">
        <v>1188</v>
      </c>
      <c r="C68" t="str">
        <f t="shared" si="1"/>
        <v>PAUH</v>
      </c>
      <c r="D68" t="s">
        <v>807</v>
      </c>
      <c r="E68">
        <v>2</v>
      </c>
      <c r="F68" t="s">
        <v>820</v>
      </c>
      <c r="G68">
        <v>1</v>
      </c>
      <c r="H68" t="s">
        <v>806</v>
      </c>
      <c r="I68">
        <v>1</v>
      </c>
      <c r="J68">
        <v>18.986899999999999</v>
      </c>
      <c r="K68">
        <v>0.13569999999999999</v>
      </c>
    </row>
    <row r="69" spans="1:11" x14ac:dyDescent="0.2">
      <c r="A69">
        <v>61132</v>
      </c>
      <c r="B69" t="s">
        <v>1188</v>
      </c>
      <c r="C69" t="str">
        <f t="shared" si="1"/>
        <v>PAUH</v>
      </c>
      <c r="D69" t="s">
        <v>808</v>
      </c>
      <c r="E69">
        <v>2</v>
      </c>
      <c r="F69" t="s">
        <v>820</v>
      </c>
      <c r="G69">
        <v>1</v>
      </c>
      <c r="H69" t="s">
        <v>806</v>
      </c>
      <c r="I69">
        <v>1</v>
      </c>
      <c r="J69">
        <v>10.7723</v>
      </c>
      <c r="K69">
        <v>-1.5832999999999999</v>
      </c>
    </row>
    <row r="70" spans="1:11" x14ac:dyDescent="0.2">
      <c r="A70">
        <v>61132</v>
      </c>
      <c r="B70" t="s">
        <v>1188</v>
      </c>
      <c r="C70" t="str">
        <f t="shared" si="1"/>
        <v>PAUH</v>
      </c>
      <c r="D70" t="s">
        <v>809</v>
      </c>
      <c r="E70">
        <v>2</v>
      </c>
      <c r="F70" t="s">
        <v>820</v>
      </c>
      <c r="G70">
        <v>1</v>
      </c>
      <c r="H70" t="s">
        <v>806</v>
      </c>
      <c r="I70">
        <v>1</v>
      </c>
      <c r="J70">
        <v>10.8261</v>
      </c>
      <c r="K70">
        <v>-1.605</v>
      </c>
    </row>
    <row r="71" spans="1:11" x14ac:dyDescent="0.2">
      <c r="A71">
        <v>61132</v>
      </c>
      <c r="B71" t="s">
        <v>1188</v>
      </c>
      <c r="C71" t="str">
        <f t="shared" si="1"/>
        <v>PAUH</v>
      </c>
      <c r="D71" t="s">
        <v>810</v>
      </c>
      <c r="E71">
        <v>2</v>
      </c>
      <c r="F71" t="s">
        <v>820</v>
      </c>
      <c r="G71">
        <v>1</v>
      </c>
      <c r="H71" t="s">
        <v>806</v>
      </c>
      <c r="I71">
        <v>1</v>
      </c>
      <c r="J71">
        <v>11.9787</v>
      </c>
      <c r="K71">
        <v>-2.2770999999999999</v>
      </c>
    </row>
    <row r="72" spans="1:11" x14ac:dyDescent="0.2">
      <c r="A72">
        <v>61106</v>
      </c>
      <c r="B72" t="s">
        <v>1315</v>
      </c>
      <c r="C72" t="str">
        <f t="shared" si="1"/>
        <v>SPID</v>
      </c>
      <c r="D72" t="s">
        <v>804</v>
      </c>
      <c r="E72">
        <v>2</v>
      </c>
      <c r="F72" t="s">
        <v>820</v>
      </c>
      <c r="G72">
        <v>1</v>
      </c>
      <c r="H72" t="s">
        <v>806</v>
      </c>
      <c r="I72">
        <v>1</v>
      </c>
      <c r="J72">
        <v>9.7470999999999997</v>
      </c>
      <c r="K72">
        <v>-5.1799999999999999E-2</v>
      </c>
    </row>
    <row r="73" spans="1:11" x14ac:dyDescent="0.2">
      <c r="A73">
        <v>61106</v>
      </c>
      <c r="B73" t="s">
        <v>1315</v>
      </c>
      <c r="C73" t="str">
        <f t="shared" si="1"/>
        <v>SPID</v>
      </c>
      <c r="D73" t="s">
        <v>807</v>
      </c>
      <c r="E73">
        <v>2</v>
      </c>
      <c r="F73" t="s">
        <v>820</v>
      </c>
      <c r="G73">
        <v>1</v>
      </c>
      <c r="H73" t="s">
        <v>806</v>
      </c>
      <c r="I73">
        <v>1</v>
      </c>
      <c r="J73">
        <v>10.0816</v>
      </c>
      <c r="K73">
        <v>3.9472999999999998</v>
      </c>
    </row>
    <row r="74" spans="1:11" x14ac:dyDescent="0.2">
      <c r="A74">
        <v>61106</v>
      </c>
      <c r="B74" t="s">
        <v>1315</v>
      </c>
      <c r="C74" t="str">
        <f t="shared" si="1"/>
        <v>SPID</v>
      </c>
      <c r="D74" t="s">
        <v>808</v>
      </c>
      <c r="E74">
        <v>2</v>
      </c>
      <c r="F74" t="s">
        <v>820</v>
      </c>
      <c r="G74">
        <v>1</v>
      </c>
      <c r="H74" t="s">
        <v>806</v>
      </c>
      <c r="I74">
        <v>1</v>
      </c>
      <c r="J74">
        <v>43.656599999999997</v>
      </c>
      <c r="K74">
        <v>4.5034000000000001</v>
      </c>
    </row>
    <row r="75" spans="1:11" x14ac:dyDescent="0.2">
      <c r="A75">
        <v>61106</v>
      </c>
      <c r="B75" t="s">
        <v>1315</v>
      </c>
      <c r="C75" t="str">
        <f t="shared" si="1"/>
        <v>SPID</v>
      </c>
      <c r="D75" t="s">
        <v>809</v>
      </c>
      <c r="E75">
        <v>2</v>
      </c>
      <c r="F75" t="s">
        <v>820</v>
      </c>
      <c r="G75">
        <v>1</v>
      </c>
      <c r="H75" t="s">
        <v>806</v>
      </c>
      <c r="I75">
        <v>1</v>
      </c>
      <c r="J75">
        <v>43.950699999999998</v>
      </c>
      <c r="K75">
        <v>4.5852000000000004</v>
      </c>
    </row>
    <row r="76" spans="1:11" x14ac:dyDescent="0.2">
      <c r="A76">
        <v>61112</v>
      </c>
      <c r="B76" t="s">
        <v>1367</v>
      </c>
      <c r="C76" t="str">
        <f t="shared" si="1"/>
        <v>TKBU</v>
      </c>
      <c r="D76" t="s">
        <v>804</v>
      </c>
      <c r="E76">
        <v>2</v>
      </c>
      <c r="F76" t="s">
        <v>820</v>
      </c>
      <c r="G76">
        <v>1</v>
      </c>
      <c r="H76" t="s">
        <v>806</v>
      </c>
      <c r="I76">
        <v>1</v>
      </c>
      <c r="J76">
        <v>31.637599999999999</v>
      </c>
      <c r="K76">
        <v>0.79730000000000001</v>
      </c>
    </row>
    <row r="77" spans="1:11" x14ac:dyDescent="0.2">
      <c r="A77">
        <v>61112</v>
      </c>
      <c r="B77" t="s">
        <v>1367</v>
      </c>
      <c r="C77" t="str">
        <f t="shared" si="1"/>
        <v>TKBU</v>
      </c>
      <c r="D77" t="s">
        <v>807</v>
      </c>
      <c r="E77">
        <v>2</v>
      </c>
      <c r="F77" t="s">
        <v>820</v>
      </c>
      <c r="G77">
        <v>1</v>
      </c>
      <c r="H77" t="s">
        <v>806</v>
      </c>
      <c r="I77">
        <v>1</v>
      </c>
      <c r="J77">
        <v>31.707000000000001</v>
      </c>
      <c r="K77">
        <v>0.79530000000000001</v>
      </c>
    </row>
    <row r="78" spans="1:11" x14ac:dyDescent="0.2">
      <c r="A78">
        <v>62105</v>
      </c>
      <c r="B78" t="s">
        <v>844</v>
      </c>
      <c r="C78" t="str">
        <f t="shared" si="1"/>
        <v>ATJN</v>
      </c>
      <c r="D78" t="s">
        <v>804</v>
      </c>
      <c r="E78">
        <v>3</v>
      </c>
      <c r="F78" t="s">
        <v>845</v>
      </c>
      <c r="G78">
        <v>1</v>
      </c>
      <c r="H78" t="s">
        <v>806</v>
      </c>
      <c r="I78">
        <v>1</v>
      </c>
      <c r="J78">
        <v>5.3577000000000004</v>
      </c>
      <c r="K78">
        <v>0.43180000000000002</v>
      </c>
    </row>
    <row r="79" spans="1:11" x14ac:dyDescent="0.2">
      <c r="A79">
        <v>62105</v>
      </c>
      <c r="B79" t="s">
        <v>844</v>
      </c>
      <c r="C79" t="str">
        <f t="shared" si="1"/>
        <v>ATJN</v>
      </c>
      <c r="D79" t="s">
        <v>807</v>
      </c>
      <c r="E79">
        <v>3</v>
      </c>
      <c r="F79" t="s">
        <v>845</v>
      </c>
      <c r="G79">
        <v>1</v>
      </c>
      <c r="H79" t="s">
        <v>806</v>
      </c>
      <c r="I79">
        <v>1</v>
      </c>
      <c r="J79">
        <v>9.6000999999999994</v>
      </c>
      <c r="K79">
        <v>0.98060000000000003</v>
      </c>
    </row>
    <row r="80" spans="1:11" x14ac:dyDescent="0.2">
      <c r="A80">
        <v>62105</v>
      </c>
      <c r="B80" t="s">
        <v>844</v>
      </c>
      <c r="C80" t="str">
        <f t="shared" si="1"/>
        <v>ATJN</v>
      </c>
      <c r="D80" t="s">
        <v>808</v>
      </c>
      <c r="E80">
        <v>3</v>
      </c>
      <c r="F80" t="s">
        <v>845</v>
      </c>
      <c r="G80">
        <v>1</v>
      </c>
      <c r="H80" t="s">
        <v>806</v>
      </c>
      <c r="I80">
        <v>1</v>
      </c>
      <c r="J80">
        <v>22.457899999999999</v>
      </c>
      <c r="K80">
        <v>0.40589999999999998</v>
      </c>
    </row>
    <row r="81" spans="1:11" x14ac:dyDescent="0.2">
      <c r="A81">
        <v>62105</v>
      </c>
      <c r="B81" t="s">
        <v>844</v>
      </c>
      <c r="C81" t="str">
        <f t="shared" si="1"/>
        <v>ATJN</v>
      </c>
      <c r="D81" t="s">
        <v>809</v>
      </c>
      <c r="E81">
        <v>3</v>
      </c>
      <c r="F81" t="s">
        <v>845</v>
      </c>
      <c r="G81">
        <v>1</v>
      </c>
      <c r="H81" t="s">
        <v>806</v>
      </c>
      <c r="I81">
        <v>1</v>
      </c>
      <c r="J81">
        <v>23.086400000000001</v>
      </c>
      <c r="K81">
        <v>-2.5028000000000001</v>
      </c>
    </row>
    <row r="82" spans="1:11" x14ac:dyDescent="0.2">
      <c r="A82">
        <v>62131</v>
      </c>
      <c r="B82" t="s">
        <v>857</v>
      </c>
      <c r="C82" t="str">
        <f t="shared" si="1"/>
        <v>BBRU</v>
      </c>
      <c r="D82" t="s">
        <v>804</v>
      </c>
      <c r="E82">
        <v>3</v>
      </c>
      <c r="F82" t="s">
        <v>845</v>
      </c>
      <c r="G82">
        <v>41</v>
      </c>
      <c r="H82" t="s">
        <v>858</v>
      </c>
      <c r="I82">
        <v>1</v>
      </c>
      <c r="J82">
        <v>48.453000000000003</v>
      </c>
      <c r="K82">
        <v>10.723599999999999</v>
      </c>
    </row>
    <row r="83" spans="1:11" x14ac:dyDescent="0.2">
      <c r="A83">
        <v>62131</v>
      </c>
      <c r="B83" t="s">
        <v>857</v>
      </c>
      <c r="C83" t="str">
        <f t="shared" si="1"/>
        <v>BBRU</v>
      </c>
      <c r="D83" t="s">
        <v>807</v>
      </c>
      <c r="E83">
        <v>3</v>
      </c>
      <c r="F83" t="s">
        <v>845</v>
      </c>
      <c r="G83">
        <v>41</v>
      </c>
      <c r="H83" t="s">
        <v>858</v>
      </c>
      <c r="I83">
        <v>1</v>
      </c>
      <c r="J83">
        <v>48.166200000000003</v>
      </c>
      <c r="K83">
        <v>10.6408</v>
      </c>
    </row>
    <row r="84" spans="1:11" x14ac:dyDescent="0.2">
      <c r="A84">
        <v>62131</v>
      </c>
      <c r="B84" t="s">
        <v>857</v>
      </c>
      <c r="C84" t="str">
        <f t="shared" si="1"/>
        <v>BBRU</v>
      </c>
      <c r="D84" t="s">
        <v>808</v>
      </c>
      <c r="E84">
        <v>3</v>
      </c>
      <c r="F84" t="s">
        <v>845</v>
      </c>
      <c r="G84">
        <v>41</v>
      </c>
      <c r="H84" t="s">
        <v>858</v>
      </c>
      <c r="I84">
        <v>1</v>
      </c>
      <c r="J84">
        <v>5.367</v>
      </c>
      <c r="K84">
        <v>1.0759000000000001</v>
      </c>
    </row>
    <row r="85" spans="1:11" x14ac:dyDescent="0.2">
      <c r="A85">
        <v>62131</v>
      </c>
      <c r="B85" t="s">
        <v>857</v>
      </c>
      <c r="C85" t="str">
        <f t="shared" si="1"/>
        <v>BBRU</v>
      </c>
      <c r="D85" t="s">
        <v>809</v>
      </c>
      <c r="E85">
        <v>3</v>
      </c>
      <c r="F85" t="s">
        <v>845</v>
      </c>
      <c r="G85">
        <v>41</v>
      </c>
      <c r="H85" t="s">
        <v>858</v>
      </c>
      <c r="I85">
        <v>1</v>
      </c>
      <c r="J85">
        <v>11.420500000000001</v>
      </c>
      <c r="K85">
        <v>2.5752999999999999</v>
      </c>
    </row>
    <row r="86" spans="1:11" x14ac:dyDescent="0.2">
      <c r="A86">
        <v>562131</v>
      </c>
      <c r="B86" t="s">
        <v>859</v>
      </c>
      <c r="C86" t="str">
        <f t="shared" si="1"/>
        <v>BBRU</v>
      </c>
      <c r="D86" t="s">
        <v>807</v>
      </c>
      <c r="E86">
        <v>3</v>
      </c>
      <c r="F86" t="s">
        <v>845</v>
      </c>
      <c r="G86">
        <v>41</v>
      </c>
      <c r="H86" t="s">
        <v>858</v>
      </c>
      <c r="I86">
        <v>1</v>
      </c>
      <c r="J86">
        <v>41.773299999999999</v>
      </c>
      <c r="K86">
        <v>10.6722</v>
      </c>
    </row>
    <row r="87" spans="1:11" x14ac:dyDescent="0.2">
      <c r="A87">
        <v>562131</v>
      </c>
      <c r="B87" t="s">
        <v>859</v>
      </c>
      <c r="C87" t="str">
        <f t="shared" si="1"/>
        <v>BBRU</v>
      </c>
      <c r="D87" t="s">
        <v>809</v>
      </c>
      <c r="E87">
        <v>3</v>
      </c>
      <c r="F87" t="s">
        <v>845</v>
      </c>
      <c r="G87">
        <v>41</v>
      </c>
      <c r="H87" t="s">
        <v>858</v>
      </c>
      <c r="I87">
        <v>1</v>
      </c>
      <c r="J87">
        <v>12.6684</v>
      </c>
      <c r="K87">
        <v>3.6027999999999998</v>
      </c>
    </row>
    <row r="88" spans="1:11" x14ac:dyDescent="0.2">
      <c r="A88">
        <v>562131</v>
      </c>
      <c r="B88" t="s">
        <v>859</v>
      </c>
      <c r="C88" t="str">
        <f t="shared" si="1"/>
        <v>BBRU</v>
      </c>
      <c r="D88" t="s">
        <v>860</v>
      </c>
      <c r="E88">
        <v>3</v>
      </c>
      <c r="F88" t="s">
        <v>845</v>
      </c>
      <c r="G88">
        <v>41</v>
      </c>
      <c r="H88" t="s">
        <v>858</v>
      </c>
      <c r="I88">
        <v>1</v>
      </c>
      <c r="J88">
        <v>14.197900000000001</v>
      </c>
      <c r="K88">
        <v>5.8936999999999999</v>
      </c>
    </row>
    <row r="89" spans="1:11" x14ac:dyDescent="0.2">
      <c r="A89">
        <v>62120</v>
      </c>
      <c r="B89" t="s">
        <v>883</v>
      </c>
      <c r="C89" t="str">
        <f t="shared" si="1"/>
        <v>BKWS</v>
      </c>
      <c r="D89" t="s">
        <v>804</v>
      </c>
      <c r="E89">
        <v>3</v>
      </c>
      <c r="F89" t="s">
        <v>845</v>
      </c>
      <c r="G89">
        <v>1</v>
      </c>
      <c r="H89" t="s">
        <v>806</v>
      </c>
      <c r="I89">
        <v>1</v>
      </c>
      <c r="J89">
        <v>55.877600000000001</v>
      </c>
      <c r="K89">
        <v>15.1897</v>
      </c>
    </row>
    <row r="90" spans="1:11" x14ac:dyDescent="0.2">
      <c r="A90">
        <v>62120</v>
      </c>
      <c r="B90" t="s">
        <v>883</v>
      </c>
      <c r="C90" t="str">
        <f t="shared" si="1"/>
        <v>BKWS</v>
      </c>
      <c r="D90" t="s">
        <v>807</v>
      </c>
      <c r="E90">
        <v>3</v>
      </c>
      <c r="F90" t="s">
        <v>845</v>
      </c>
      <c r="G90">
        <v>1</v>
      </c>
      <c r="H90" t="s">
        <v>806</v>
      </c>
      <c r="I90">
        <v>1</v>
      </c>
      <c r="J90">
        <v>54.365699999999997</v>
      </c>
      <c r="K90">
        <v>3.4098999999999999</v>
      </c>
    </row>
    <row r="91" spans="1:11" x14ac:dyDescent="0.2">
      <c r="A91">
        <v>62120</v>
      </c>
      <c r="B91" t="s">
        <v>883</v>
      </c>
      <c r="C91" t="str">
        <f t="shared" si="1"/>
        <v>BKWS</v>
      </c>
      <c r="D91" t="s">
        <v>810</v>
      </c>
      <c r="E91">
        <v>3</v>
      </c>
      <c r="F91" t="s">
        <v>845</v>
      </c>
      <c r="G91">
        <v>1</v>
      </c>
      <c r="H91" t="s">
        <v>806</v>
      </c>
      <c r="I91">
        <v>1</v>
      </c>
      <c r="J91">
        <v>1.0262</v>
      </c>
      <c r="K91">
        <v>9.6699999999999994E-2</v>
      </c>
    </row>
    <row r="92" spans="1:11" x14ac:dyDescent="0.2">
      <c r="A92">
        <v>61117</v>
      </c>
      <c r="B92" t="s">
        <v>884</v>
      </c>
      <c r="C92" t="str">
        <f t="shared" si="1"/>
        <v>BLIN</v>
      </c>
      <c r="D92" t="s">
        <v>804</v>
      </c>
      <c r="E92">
        <v>3</v>
      </c>
      <c r="F92" t="s">
        <v>845</v>
      </c>
      <c r="G92">
        <v>1</v>
      </c>
      <c r="H92" t="s">
        <v>806</v>
      </c>
      <c r="I92">
        <v>1</v>
      </c>
      <c r="J92">
        <v>15.6174</v>
      </c>
      <c r="K92">
        <v>1.516</v>
      </c>
    </row>
    <row r="93" spans="1:11" x14ac:dyDescent="0.2">
      <c r="A93">
        <v>61117</v>
      </c>
      <c r="B93" t="s">
        <v>884</v>
      </c>
      <c r="C93" t="str">
        <f t="shared" si="1"/>
        <v>BLIN</v>
      </c>
      <c r="D93" t="s">
        <v>807</v>
      </c>
      <c r="E93">
        <v>3</v>
      </c>
      <c r="F93" t="s">
        <v>845</v>
      </c>
      <c r="G93">
        <v>1</v>
      </c>
      <c r="H93" t="s">
        <v>806</v>
      </c>
      <c r="I93">
        <v>1</v>
      </c>
      <c r="J93">
        <v>14.2102</v>
      </c>
      <c r="K93">
        <v>-2.6591999999999998</v>
      </c>
    </row>
    <row r="94" spans="1:11" x14ac:dyDescent="0.2">
      <c r="A94">
        <v>62102</v>
      </c>
      <c r="B94" t="s">
        <v>886</v>
      </c>
      <c r="C94" t="str">
        <f t="shared" si="1"/>
        <v>BLPS</v>
      </c>
      <c r="D94" t="s">
        <v>808</v>
      </c>
      <c r="E94">
        <v>3</v>
      </c>
      <c r="F94" t="s">
        <v>845</v>
      </c>
      <c r="G94">
        <v>1</v>
      </c>
      <c r="H94" t="s">
        <v>806</v>
      </c>
      <c r="I94">
        <v>1</v>
      </c>
      <c r="J94">
        <v>43.268300000000004</v>
      </c>
      <c r="K94">
        <v>7.8356000000000003</v>
      </c>
    </row>
    <row r="95" spans="1:11" x14ac:dyDescent="0.2">
      <c r="A95">
        <v>62102</v>
      </c>
      <c r="B95" t="s">
        <v>886</v>
      </c>
      <c r="C95" t="str">
        <f t="shared" si="1"/>
        <v>BLPS</v>
      </c>
      <c r="D95" t="s">
        <v>809</v>
      </c>
      <c r="E95">
        <v>3</v>
      </c>
      <c r="F95" t="s">
        <v>845</v>
      </c>
      <c r="G95">
        <v>1</v>
      </c>
      <c r="H95" t="s">
        <v>806</v>
      </c>
      <c r="I95">
        <v>1</v>
      </c>
      <c r="J95">
        <v>46.579799999999999</v>
      </c>
      <c r="K95">
        <v>7.4432</v>
      </c>
    </row>
    <row r="96" spans="1:11" x14ac:dyDescent="0.2">
      <c r="A96">
        <v>62104</v>
      </c>
      <c r="B96" t="s">
        <v>887</v>
      </c>
      <c r="C96" t="str">
        <f t="shared" si="1"/>
        <v>BLPS</v>
      </c>
      <c r="D96" t="s">
        <v>804</v>
      </c>
      <c r="E96">
        <v>3</v>
      </c>
      <c r="F96" t="s">
        <v>845</v>
      </c>
      <c r="G96">
        <v>1</v>
      </c>
      <c r="H96" t="s">
        <v>806</v>
      </c>
      <c r="I96">
        <v>1</v>
      </c>
      <c r="J96">
        <v>36.057099999999998</v>
      </c>
      <c r="K96">
        <v>7.2941000000000003</v>
      </c>
    </row>
    <row r="97" spans="1:11" x14ac:dyDescent="0.2">
      <c r="A97">
        <v>62104</v>
      </c>
      <c r="B97" t="s">
        <v>887</v>
      </c>
      <c r="C97" t="str">
        <f t="shared" si="1"/>
        <v>BLPS</v>
      </c>
      <c r="D97" t="s">
        <v>807</v>
      </c>
      <c r="E97">
        <v>3</v>
      </c>
      <c r="F97" t="s">
        <v>845</v>
      </c>
      <c r="G97">
        <v>1</v>
      </c>
      <c r="H97" t="s">
        <v>806</v>
      </c>
      <c r="I97">
        <v>1</v>
      </c>
      <c r="J97">
        <v>35.311500000000002</v>
      </c>
      <c r="K97">
        <v>6.9047000000000001</v>
      </c>
    </row>
    <row r="98" spans="1:11" x14ac:dyDescent="0.2">
      <c r="A98">
        <v>62106</v>
      </c>
      <c r="B98" t="s">
        <v>888</v>
      </c>
      <c r="C98" t="str">
        <f t="shared" si="1"/>
        <v>BMJM</v>
      </c>
      <c r="D98" t="s">
        <v>804</v>
      </c>
      <c r="E98">
        <v>3</v>
      </c>
      <c r="F98" t="s">
        <v>845</v>
      </c>
      <c r="G98">
        <v>1</v>
      </c>
      <c r="H98" t="s">
        <v>806</v>
      </c>
      <c r="I98">
        <v>1</v>
      </c>
      <c r="J98">
        <v>9.5617999999999999</v>
      </c>
      <c r="K98">
        <v>0.99299999999999999</v>
      </c>
    </row>
    <row r="99" spans="1:11" x14ac:dyDescent="0.2">
      <c r="A99">
        <v>62106</v>
      </c>
      <c r="B99" t="s">
        <v>888</v>
      </c>
      <c r="C99" t="str">
        <f t="shared" si="1"/>
        <v>BMJM</v>
      </c>
      <c r="D99" t="s">
        <v>807</v>
      </c>
      <c r="E99">
        <v>3</v>
      </c>
      <c r="F99" t="s">
        <v>845</v>
      </c>
      <c r="G99">
        <v>1</v>
      </c>
      <c r="H99" t="s">
        <v>806</v>
      </c>
      <c r="I99">
        <v>1</v>
      </c>
      <c r="J99">
        <v>12.9313</v>
      </c>
      <c r="K99">
        <v>1.2767999999999999</v>
      </c>
    </row>
    <row r="100" spans="1:11" x14ac:dyDescent="0.2">
      <c r="A100">
        <v>62106</v>
      </c>
      <c r="B100" t="s">
        <v>888</v>
      </c>
      <c r="C100" t="str">
        <f t="shared" si="1"/>
        <v>BMJM</v>
      </c>
      <c r="D100" t="s">
        <v>808</v>
      </c>
      <c r="E100">
        <v>3</v>
      </c>
      <c r="F100" t="s">
        <v>845</v>
      </c>
      <c r="G100">
        <v>1</v>
      </c>
      <c r="H100" t="s">
        <v>806</v>
      </c>
      <c r="I100">
        <v>1</v>
      </c>
      <c r="J100">
        <v>21.292999999999999</v>
      </c>
      <c r="K100">
        <v>2.3485</v>
      </c>
    </row>
    <row r="101" spans="1:11" x14ac:dyDescent="0.2">
      <c r="A101">
        <v>62106</v>
      </c>
      <c r="B101" t="s">
        <v>888</v>
      </c>
      <c r="C101" t="str">
        <f t="shared" si="1"/>
        <v>BMJM</v>
      </c>
      <c r="D101" t="s">
        <v>809</v>
      </c>
      <c r="E101">
        <v>3</v>
      </c>
      <c r="F101" t="s">
        <v>845</v>
      </c>
      <c r="G101">
        <v>1</v>
      </c>
      <c r="H101" t="s">
        <v>806</v>
      </c>
      <c r="I101">
        <v>1</v>
      </c>
      <c r="J101">
        <v>21.2712</v>
      </c>
      <c r="K101">
        <v>2.3713000000000002</v>
      </c>
    </row>
    <row r="102" spans="1:11" x14ac:dyDescent="0.2">
      <c r="A102">
        <v>62110</v>
      </c>
      <c r="B102" t="s">
        <v>893</v>
      </c>
      <c r="C102" t="str">
        <f t="shared" si="1"/>
        <v>BMTR</v>
      </c>
      <c r="D102" t="s">
        <v>804</v>
      </c>
      <c r="E102">
        <v>3</v>
      </c>
      <c r="F102" t="s">
        <v>845</v>
      </c>
      <c r="G102">
        <v>1</v>
      </c>
      <c r="H102" t="s">
        <v>806</v>
      </c>
      <c r="I102">
        <v>1</v>
      </c>
      <c r="J102">
        <v>62.741900000000001</v>
      </c>
      <c r="K102">
        <v>30.1113</v>
      </c>
    </row>
    <row r="103" spans="1:11" x14ac:dyDescent="0.2">
      <c r="A103">
        <v>62110</v>
      </c>
      <c r="B103" t="s">
        <v>893</v>
      </c>
      <c r="C103" t="str">
        <f t="shared" si="1"/>
        <v>BMTR</v>
      </c>
      <c r="D103" t="s">
        <v>807</v>
      </c>
      <c r="E103">
        <v>3</v>
      </c>
      <c r="F103" t="s">
        <v>845</v>
      </c>
      <c r="G103">
        <v>1</v>
      </c>
      <c r="H103" t="s">
        <v>806</v>
      </c>
      <c r="I103">
        <v>1</v>
      </c>
      <c r="J103">
        <v>57.494</v>
      </c>
      <c r="K103">
        <v>-4.8968999999999996</v>
      </c>
    </row>
    <row r="104" spans="1:11" x14ac:dyDescent="0.2">
      <c r="A104">
        <v>62108</v>
      </c>
      <c r="B104" t="s">
        <v>894</v>
      </c>
      <c r="C104" t="str">
        <f t="shared" si="1"/>
        <v>BMYK</v>
      </c>
      <c r="D104" t="s">
        <v>804</v>
      </c>
      <c r="E104">
        <v>3</v>
      </c>
      <c r="F104" t="s">
        <v>845</v>
      </c>
      <c r="G104">
        <v>1</v>
      </c>
      <c r="H104" t="s">
        <v>806</v>
      </c>
      <c r="I104">
        <v>1</v>
      </c>
      <c r="J104">
        <v>11.951700000000001</v>
      </c>
      <c r="K104">
        <v>2.6478000000000002</v>
      </c>
    </row>
    <row r="105" spans="1:11" x14ac:dyDescent="0.2">
      <c r="A105">
        <v>62108</v>
      </c>
      <c r="B105" t="s">
        <v>894</v>
      </c>
      <c r="C105" t="str">
        <f t="shared" si="1"/>
        <v>BMYK</v>
      </c>
      <c r="D105" t="s">
        <v>807</v>
      </c>
      <c r="E105">
        <v>3</v>
      </c>
      <c r="F105" t="s">
        <v>845</v>
      </c>
      <c r="G105">
        <v>1</v>
      </c>
      <c r="H105" t="s">
        <v>806</v>
      </c>
      <c r="I105">
        <v>1</v>
      </c>
      <c r="J105">
        <v>14.630599999999999</v>
      </c>
      <c r="K105">
        <v>3.6025</v>
      </c>
    </row>
    <row r="106" spans="1:11" x14ac:dyDescent="0.2">
      <c r="A106">
        <v>62108</v>
      </c>
      <c r="B106" t="s">
        <v>894</v>
      </c>
      <c r="C106" t="str">
        <f t="shared" si="1"/>
        <v>BMYK</v>
      </c>
      <c r="D106" t="s">
        <v>808</v>
      </c>
      <c r="E106">
        <v>3</v>
      </c>
      <c r="F106" t="s">
        <v>845</v>
      </c>
      <c r="G106">
        <v>1</v>
      </c>
      <c r="H106" t="s">
        <v>806</v>
      </c>
      <c r="I106">
        <v>1</v>
      </c>
      <c r="J106">
        <v>49.206899999999997</v>
      </c>
      <c r="K106">
        <v>8.1494</v>
      </c>
    </row>
    <row r="107" spans="1:11" x14ac:dyDescent="0.2">
      <c r="A107">
        <v>62108</v>
      </c>
      <c r="B107" t="s">
        <v>894</v>
      </c>
      <c r="C107" t="str">
        <f t="shared" si="1"/>
        <v>BMYK</v>
      </c>
      <c r="D107" t="s">
        <v>809</v>
      </c>
      <c r="E107">
        <v>3</v>
      </c>
      <c r="F107" t="s">
        <v>845</v>
      </c>
      <c r="G107">
        <v>1</v>
      </c>
      <c r="H107" t="s">
        <v>806</v>
      </c>
      <c r="I107">
        <v>1</v>
      </c>
      <c r="J107">
        <v>48.297699999999999</v>
      </c>
      <c r="K107">
        <v>8.0241000000000007</v>
      </c>
    </row>
    <row r="108" spans="1:11" x14ac:dyDescent="0.2">
      <c r="A108">
        <v>62101</v>
      </c>
      <c r="B108" t="s">
        <v>910</v>
      </c>
      <c r="C108" t="str">
        <f t="shared" si="1"/>
        <v>BTBN</v>
      </c>
      <c r="D108" t="s">
        <v>804</v>
      </c>
      <c r="E108">
        <v>3</v>
      </c>
      <c r="F108" t="s">
        <v>845</v>
      </c>
      <c r="G108">
        <v>1</v>
      </c>
      <c r="H108" t="s">
        <v>806</v>
      </c>
      <c r="I108">
        <v>1</v>
      </c>
      <c r="J108">
        <v>40.329599999999999</v>
      </c>
      <c r="K108">
        <v>4.5510000000000002</v>
      </c>
    </row>
    <row r="109" spans="1:11" x14ac:dyDescent="0.2">
      <c r="A109">
        <v>62101</v>
      </c>
      <c r="B109" t="s">
        <v>910</v>
      </c>
      <c r="C109" t="str">
        <f t="shared" si="1"/>
        <v>BTBN</v>
      </c>
      <c r="D109" t="s">
        <v>807</v>
      </c>
      <c r="E109">
        <v>3</v>
      </c>
      <c r="F109" t="s">
        <v>845</v>
      </c>
      <c r="G109">
        <v>1</v>
      </c>
      <c r="H109" t="s">
        <v>806</v>
      </c>
      <c r="I109">
        <v>1</v>
      </c>
      <c r="J109">
        <v>40.7624</v>
      </c>
      <c r="K109">
        <v>4.5945</v>
      </c>
    </row>
    <row r="110" spans="1:11" x14ac:dyDescent="0.2">
      <c r="A110">
        <v>462114</v>
      </c>
      <c r="B110" t="s">
        <v>912</v>
      </c>
      <c r="C110" t="str">
        <f t="shared" si="1"/>
        <v>BTGH</v>
      </c>
      <c r="D110" t="s">
        <v>804</v>
      </c>
      <c r="E110">
        <v>3</v>
      </c>
      <c r="F110" t="s">
        <v>845</v>
      </c>
      <c r="G110">
        <v>1</v>
      </c>
      <c r="H110" t="s">
        <v>806</v>
      </c>
      <c r="I110">
        <v>1</v>
      </c>
      <c r="J110">
        <v>49.983499999999999</v>
      </c>
      <c r="K110">
        <v>9.2469999999999999</v>
      </c>
    </row>
    <row r="111" spans="1:11" x14ac:dyDescent="0.2">
      <c r="A111">
        <v>462114</v>
      </c>
      <c r="B111" t="s">
        <v>912</v>
      </c>
      <c r="C111" t="str">
        <f t="shared" si="1"/>
        <v>BTGH</v>
      </c>
      <c r="D111" t="s">
        <v>807</v>
      </c>
      <c r="E111">
        <v>3</v>
      </c>
      <c r="F111" t="s">
        <v>845</v>
      </c>
      <c r="G111">
        <v>1</v>
      </c>
      <c r="H111" t="s">
        <v>806</v>
      </c>
      <c r="I111">
        <v>1</v>
      </c>
      <c r="J111">
        <v>47.003300000000003</v>
      </c>
      <c r="K111">
        <v>9.0595999999999997</v>
      </c>
    </row>
    <row r="112" spans="1:11" x14ac:dyDescent="0.2">
      <c r="A112">
        <v>62133</v>
      </c>
      <c r="B112" t="s">
        <v>921</v>
      </c>
      <c r="C112" t="str">
        <f t="shared" si="1"/>
        <v>BWTN</v>
      </c>
      <c r="D112" t="s">
        <v>804</v>
      </c>
      <c r="E112">
        <v>3</v>
      </c>
      <c r="F112" t="s">
        <v>845</v>
      </c>
      <c r="G112">
        <v>1</v>
      </c>
      <c r="H112" t="s">
        <v>806</v>
      </c>
      <c r="I112">
        <v>1</v>
      </c>
      <c r="J112">
        <v>38.700699999999998</v>
      </c>
      <c r="K112">
        <v>2.7833999999999999</v>
      </c>
    </row>
    <row r="113" spans="1:11" x14ac:dyDescent="0.2">
      <c r="A113">
        <v>62133</v>
      </c>
      <c r="B113" t="s">
        <v>921</v>
      </c>
      <c r="C113" t="str">
        <f t="shared" si="1"/>
        <v>BWTN</v>
      </c>
      <c r="D113" t="s">
        <v>807</v>
      </c>
      <c r="E113">
        <v>3</v>
      </c>
      <c r="F113" t="s">
        <v>845</v>
      </c>
      <c r="G113">
        <v>1</v>
      </c>
      <c r="H113" t="s">
        <v>806</v>
      </c>
      <c r="I113">
        <v>1</v>
      </c>
      <c r="J113">
        <v>39.998199999999997</v>
      </c>
      <c r="K113">
        <v>2.8652000000000002</v>
      </c>
    </row>
    <row r="114" spans="1:11" x14ac:dyDescent="0.2">
      <c r="A114">
        <v>62133</v>
      </c>
      <c r="B114" t="s">
        <v>921</v>
      </c>
      <c r="C114" t="str">
        <f t="shared" si="1"/>
        <v>BWTN</v>
      </c>
      <c r="D114" t="s">
        <v>810</v>
      </c>
      <c r="E114">
        <v>3</v>
      </c>
      <c r="F114" t="s">
        <v>845</v>
      </c>
      <c r="G114">
        <v>1</v>
      </c>
      <c r="H114" t="s">
        <v>806</v>
      </c>
      <c r="I114">
        <v>1</v>
      </c>
      <c r="J114">
        <v>0</v>
      </c>
      <c r="K114">
        <v>0</v>
      </c>
    </row>
    <row r="115" spans="1:11" x14ac:dyDescent="0.2">
      <c r="A115">
        <v>62109</v>
      </c>
      <c r="B115" t="s">
        <v>944</v>
      </c>
      <c r="C115" t="str">
        <f t="shared" si="1"/>
        <v>DKMT</v>
      </c>
      <c r="D115" t="s">
        <v>804</v>
      </c>
      <c r="E115">
        <v>3</v>
      </c>
      <c r="F115" t="s">
        <v>845</v>
      </c>
      <c r="G115">
        <v>1</v>
      </c>
      <c r="H115" t="s">
        <v>806</v>
      </c>
      <c r="I115">
        <v>1</v>
      </c>
      <c r="J115">
        <v>8.9374000000000002</v>
      </c>
      <c r="K115">
        <v>0.438</v>
      </c>
    </row>
    <row r="116" spans="1:11" x14ac:dyDescent="0.2">
      <c r="A116">
        <v>62109</v>
      </c>
      <c r="B116" t="s">
        <v>944</v>
      </c>
      <c r="C116" t="str">
        <f t="shared" si="1"/>
        <v>DKMT</v>
      </c>
      <c r="D116" t="s">
        <v>807</v>
      </c>
      <c r="E116">
        <v>3</v>
      </c>
      <c r="F116" t="s">
        <v>845</v>
      </c>
      <c r="G116">
        <v>1</v>
      </c>
      <c r="H116" t="s">
        <v>806</v>
      </c>
      <c r="I116">
        <v>1</v>
      </c>
      <c r="J116">
        <v>8.9963999999999995</v>
      </c>
      <c r="K116">
        <v>0.437</v>
      </c>
    </row>
    <row r="117" spans="1:11" x14ac:dyDescent="0.2">
      <c r="A117">
        <v>61163</v>
      </c>
      <c r="B117" t="s">
        <v>960</v>
      </c>
      <c r="C117" t="str">
        <f t="shared" si="1"/>
        <v>EVEM</v>
      </c>
      <c r="D117" t="s">
        <v>804</v>
      </c>
      <c r="E117">
        <v>3</v>
      </c>
      <c r="F117" t="s">
        <v>845</v>
      </c>
      <c r="G117">
        <v>1</v>
      </c>
      <c r="H117" t="s">
        <v>806</v>
      </c>
      <c r="I117">
        <v>1</v>
      </c>
      <c r="J117">
        <v>1.1541999999999999</v>
      </c>
      <c r="K117">
        <v>0.17319999999999999</v>
      </c>
    </row>
    <row r="118" spans="1:11" x14ac:dyDescent="0.2">
      <c r="A118">
        <v>61163</v>
      </c>
      <c r="B118" t="s">
        <v>960</v>
      </c>
      <c r="C118" t="str">
        <f t="shared" si="1"/>
        <v>EVEM</v>
      </c>
      <c r="D118" t="s">
        <v>807</v>
      </c>
      <c r="E118">
        <v>3</v>
      </c>
      <c r="F118" t="s">
        <v>845</v>
      </c>
      <c r="G118">
        <v>1</v>
      </c>
      <c r="H118" t="s">
        <v>806</v>
      </c>
      <c r="I118">
        <v>1</v>
      </c>
      <c r="J118">
        <v>3.5836999999999999</v>
      </c>
      <c r="K118">
        <v>0.92220000000000002</v>
      </c>
    </row>
    <row r="119" spans="1:11" x14ac:dyDescent="0.2">
      <c r="A119">
        <v>62103</v>
      </c>
      <c r="B119" t="s">
        <v>962</v>
      </c>
      <c r="C119" t="str">
        <f t="shared" si="1"/>
        <v>FLIM</v>
      </c>
      <c r="D119" t="s">
        <v>804</v>
      </c>
      <c r="E119">
        <v>3</v>
      </c>
      <c r="F119" t="s">
        <v>845</v>
      </c>
      <c r="G119">
        <v>1</v>
      </c>
      <c r="H119" t="s">
        <v>806</v>
      </c>
      <c r="I119">
        <v>1</v>
      </c>
      <c r="J119">
        <v>11.464</v>
      </c>
      <c r="K119">
        <v>1.2312000000000001</v>
      </c>
    </row>
    <row r="120" spans="1:11" x14ac:dyDescent="0.2">
      <c r="A120">
        <v>62103</v>
      </c>
      <c r="B120" t="s">
        <v>962</v>
      </c>
      <c r="C120" t="str">
        <f t="shared" si="1"/>
        <v>FLIM</v>
      </c>
      <c r="D120" t="s">
        <v>807</v>
      </c>
      <c r="E120">
        <v>3</v>
      </c>
      <c r="F120" t="s">
        <v>845</v>
      </c>
      <c r="G120">
        <v>1</v>
      </c>
      <c r="H120" t="s">
        <v>806</v>
      </c>
      <c r="I120">
        <v>1</v>
      </c>
      <c r="J120">
        <v>5.8651</v>
      </c>
      <c r="K120">
        <v>0.59130000000000005</v>
      </c>
    </row>
    <row r="121" spans="1:11" x14ac:dyDescent="0.2">
      <c r="A121">
        <v>62103</v>
      </c>
      <c r="B121" t="s">
        <v>962</v>
      </c>
      <c r="C121" t="str">
        <f t="shared" si="1"/>
        <v>FLIM</v>
      </c>
      <c r="D121" t="s">
        <v>808</v>
      </c>
      <c r="E121">
        <v>3</v>
      </c>
      <c r="F121" t="s">
        <v>845</v>
      </c>
      <c r="G121">
        <v>1</v>
      </c>
      <c r="H121" t="s">
        <v>806</v>
      </c>
      <c r="I121">
        <v>1</v>
      </c>
      <c r="J121">
        <v>26.7438</v>
      </c>
      <c r="K121">
        <v>0.95269999999999999</v>
      </c>
    </row>
    <row r="122" spans="1:11" x14ac:dyDescent="0.2">
      <c r="A122">
        <v>62103</v>
      </c>
      <c r="B122" t="s">
        <v>962</v>
      </c>
      <c r="C122" t="str">
        <f t="shared" si="1"/>
        <v>FLIM</v>
      </c>
      <c r="D122" t="s">
        <v>809</v>
      </c>
      <c r="E122">
        <v>3</v>
      </c>
      <c r="F122" t="s">
        <v>845</v>
      </c>
      <c r="G122">
        <v>1</v>
      </c>
      <c r="H122" t="s">
        <v>806</v>
      </c>
      <c r="I122">
        <v>1</v>
      </c>
      <c r="J122">
        <v>23.267600000000002</v>
      </c>
      <c r="K122">
        <v>1.4040999999999999</v>
      </c>
    </row>
    <row r="123" spans="1:11" x14ac:dyDescent="0.2">
      <c r="A123">
        <v>62118</v>
      </c>
      <c r="B123" t="s">
        <v>972</v>
      </c>
      <c r="C123" t="str">
        <f t="shared" si="1"/>
        <v>GLGR</v>
      </c>
      <c r="D123" t="s">
        <v>804</v>
      </c>
      <c r="E123">
        <v>3</v>
      </c>
      <c r="F123" t="s">
        <v>845</v>
      </c>
      <c r="G123">
        <v>1</v>
      </c>
      <c r="H123" t="s">
        <v>806</v>
      </c>
      <c r="I123">
        <v>1</v>
      </c>
      <c r="J123">
        <v>19.196100000000001</v>
      </c>
      <c r="K123">
        <v>-4.6577000000000002</v>
      </c>
    </row>
    <row r="124" spans="1:11" x14ac:dyDescent="0.2">
      <c r="A124">
        <v>62118</v>
      </c>
      <c r="B124" t="s">
        <v>972</v>
      </c>
      <c r="C124" t="str">
        <f t="shared" si="1"/>
        <v>GLGR</v>
      </c>
      <c r="D124" t="s">
        <v>807</v>
      </c>
      <c r="E124">
        <v>3</v>
      </c>
      <c r="F124" t="s">
        <v>845</v>
      </c>
      <c r="G124">
        <v>1</v>
      </c>
      <c r="H124" t="s">
        <v>806</v>
      </c>
      <c r="I124">
        <v>1</v>
      </c>
      <c r="J124">
        <v>21.373699999999999</v>
      </c>
      <c r="K124">
        <v>0.86770000000000003</v>
      </c>
    </row>
    <row r="125" spans="1:11" x14ac:dyDescent="0.2">
      <c r="A125">
        <v>62118</v>
      </c>
      <c r="B125" t="s">
        <v>972</v>
      </c>
      <c r="C125" t="str">
        <f t="shared" si="1"/>
        <v>GLGR</v>
      </c>
      <c r="D125" t="s">
        <v>808</v>
      </c>
      <c r="E125">
        <v>3</v>
      </c>
      <c r="F125" t="s">
        <v>845</v>
      </c>
      <c r="G125">
        <v>1</v>
      </c>
      <c r="H125" t="s">
        <v>806</v>
      </c>
      <c r="I125">
        <v>1</v>
      </c>
      <c r="J125">
        <v>21.4069</v>
      </c>
      <c r="K125">
        <v>0.88119999999999998</v>
      </c>
    </row>
    <row r="126" spans="1:11" x14ac:dyDescent="0.2">
      <c r="A126">
        <v>62221</v>
      </c>
      <c r="B126" t="s">
        <v>1008</v>
      </c>
      <c r="C126" t="str">
        <f t="shared" si="1"/>
        <v>ITLM</v>
      </c>
      <c r="D126" t="s">
        <v>823</v>
      </c>
      <c r="E126">
        <v>3</v>
      </c>
      <c r="F126" t="s">
        <v>845</v>
      </c>
      <c r="G126">
        <v>1</v>
      </c>
      <c r="H126" t="s">
        <v>806</v>
      </c>
      <c r="I126">
        <v>1</v>
      </c>
      <c r="J126">
        <v>0</v>
      </c>
      <c r="K126">
        <v>0</v>
      </c>
    </row>
    <row r="127" spans="1:11" x14ac:dyDescent="0.2">
      <c r="A127">
        <v>62221</v>
      </c>
      <c r="B127" t="s">
        <v>1008</v>
      </c>
      <c r="C127" t="str">
        <f t="shared" si="1"/>
        <v>ITLM</v>
      </c>
      <c r="D127" t="s">
        <v>826</v>
      </c>
      <c r="E127">
        <v>3</v>
      </c>
      <c r="F127" t="s">
        <v>845</v>
      </c>
      <c r="G127">
        <v>1</v>
      </c>
      <c r="H127" t="s">
        <v>806</v>
      </c>
      <c r="I127">
        <v>1</v>
      </c>
      <c r="J127">
        <v>0</v>
      </c>
      <c r="K127">
        <v>0</v>
      </c>
    </row>
    <row r="128" spans="1:11" x14ac:dyDescent="0.2">
      <c r="A128">
        <v>62111</v>
      </c>
      <c r="B128" t="s">
        <v>1180</v>
      </c>
      <c r="C128" t="str">
        <f t="shared" si="1"/>
        <v>NTBL</v>
      </c>
      <c r="D128" t="s">
        <v>804</v>
      </c>
      <c r="E128">
        <v>3</v>
      </c>
      <c r="F128" t="s">
        <v>845</v>
      </c>
      <c r="G128">
        <v>1</v>
      </c>
      <c r="H128" t="s">
        <v>806</v>
      </c>
      <c r="I128">
        <v>1</v>
      </c>
      <c r="J128">
        <v>11.9238</v>
      </c>
      <c r="K128">
        <v>1.8349</v>
      </c>
    </row>
    <row r="129" spans="1:11" x14ac:dyDescent="0.2">
      <c r="A129">
        <v>62111</v>
      </c>
      <c r="B129" t="s">
        <v>1180</v>
      </c>
      <c r="C129" t="str">
        <f t="shared" si="1"/>
        <v>NTBL</v>
      </c>
      <c r="D129" t="s">
        <v>807</v>
      </c>
      <c r="E129">
        <v>3</v>
      </c>
      <c r="F129" t="s">
        <v>845</v>
      </c>
      <c r="G129">
        <v>1</v>
      </c>
      <c r="H129" t="s">
        <v>806</v>
      </c>
      <c r="I129">
        <v>1</v>
      </c>
      <c r="J129">
        <v>14.825200000000001</v>
      </c>
      <c r="K129">
        <v>2.2553000000000001</v>
      </c>
    </row>
    <row r="130" spans="1:11" x14ac:dyDescent="0.2">
      <c r="A130">
        <v>62137</v>
      </c>
      <c r="B130" t="s">
        <v>1238</v>
      </c>
      <c r="C130" t="str">
        <f t="shared" si="1"/>
        <v>PRGS</v>
      </c>
      <c r="D130" t="s">
        <v>804</v>
      </c>
      <c r="E130">
        <v>3</v>
      </c>
      <c r="F130" t="s">
        <v>845</v>
      </c>
      <c r="G130">
        <v>1</v>
      </c>
      <c r="H130" t="s">
        <v>806</v>
      </c>
      <c r="I130">
        <v>1</v>
      </c>
      <c r="J130">
        <v>12.5585</v>
      </c>
      <c r="K130">
        <v>2.5059</v>
      </c>
    </row>
    <row r="131" spans="1:11" x14ac:dyDescent="0.2">
      <c r="A131">
        <v>62137</v>
      </c>
      <c r="B131" t="s">
        <v>1238</v>
      </c>
      <c r="C131" t="str">
        <f t="shared" ref="C131:C194" si="2">LEFT(B131,4)</f>
        <v>PRGS</v>
      </c>
      <c r="D131" t="s">
        <v>807</v>
      </c>
      <c r="E131">
        <v>3</v>
      </c>
      <c r="F131" t="s">
        <v>845</v>
      </c>
      <c r="G131">
        <v>1</v>
      </c>
      <c r="H131" t="s">
        <v>806</v>
      </c>
      <c r="I131">
        <v>1</v>
      </c>
      <c r="J131">
        <v>7.5839999999999996</v>
      </c>
      <c r="K131">
        <v>1.6339999999999999</v>
      </c>
    </row>
    <row r="132" spans="1:11" x14ac:dyDescent="0.2">
      <c r="A132">
        <v>562137</v>
      </c>
      <c r="B132" t="s">
        <v>1239</v>
      </c>
      <c r="C132" t="str">
        <f t="shared" si="2"/>
        <v>PRGS</v>
      </c>
      <c r="D132" t="s">
        <v>808</v>
      </c>
      <c r="E132">
        <v>3</v>
      </c>
      <c r="F132" t="s">
        <v>845</v>
      </c>
      <c r="G132">
        <v>1</v>
      </c>
      <c r="H132" t="s">
        <v>806</v>
      </c>
      <c r="I132">
        <v>1</v>
      </c>
      <c r="J132">
        <v>21.045500000000001</v>
      </c>
      <c r="K132">
        <v>-3.8426999999999998</v>
      </c>
    </row>
    <row r="133" spans="1:11" x14ac:dyDescent="0.2">
      <c r="A133">
        <v>562137</v>
      </c>
      <c r="B133" t="s">
        <v>1239</v>
      </c>
      <c r="C133" t="str">
        <f t="shared" si="2"/>
        <v>PRGS</v>
      </c>
      <c r="D133" t="s">
        <v>809</v>
      </c>
      <c r="E133">
        <v>3</v>
      </c>
      <c r="F133" t="s">
        <v>845</v>
      </c>
      <c r="G133">
        <v>1</v>
      </c>
      <c r="H133" t="s">
        <v>806</v>
      </c>
      <c r="I133">
        <v>1</v>
      </c>
      <c r="J133">
        <v>21.0061</v>
      </c>
      <c r="K133">
        <v>-3.9287000000000001</v>
      </c>
    </row>
    <row r="134" spans="1:11" x14ac:dyDescent="0.2">
      <c r="A134">
        <v>62155</v>
      </c>
      <c r="B134" t="s">
        <v>1240</v>
      </c>
      <c r="C134" t="str">
        <f t="shared" si="2"/>
        <v>PRID</v>
      </c>
      <c r="D134" t="s">
        <v>804</v>
      </c>
      <c r="E134">
        <v>3</v>
      </c>
      <c r="F134" t="s">
        <v>845</v>
      </c>
      <c r="G134">
        <v>1</v>
      </c>
      <c r="H134" t="s">
        <v>806</v>
      </c>
      <c r="I134">
        <v>1</v>
      </c>
      <c r="J134">
        <v>23.613499999999998</v>
      </c>
      <c r="K134">
        <v>4.3398000000000003</v>
      </c>
    </row>
    <row r="135" spans="1:11" x14ac:dyDescent="0.2">
      <c r="A135">
        <v>62155</v>
      </c>
      <c r="B135" t="s">
        <v>1240</v>
      </c>
      <c r="C135" t="str">
        <f t="shared" si="2"/>
        <v>PRID</v>
      </c>
      <c r="D135" t="s">
        <v>807</v>
      </c>
      <c r="E135">
        <v>3</v>
      </c>
      <c r="F135" t="s">
        <v>845</v>
      </c>
      <c r="G135">
        <v>1</v>
      </c>
      <c r="H135" t="s">
        <v>806</v>
      </c>
      <c r="I135">
        <v>1</v>
      </c>
      <c r="J135">
        <v>23.4313</v>
      </c>
      <c r="K135">
        <v>4.2858999999999998</v>
      </c>
    </row>
    <row r="136" spans="1:11" x14ac:dyDescent="0.2">
      <c r="A136">
        <v>62155</v>
      </c>
      <c r="B136" t="s">
        <v>1240</v>
      </c>
      <c r="C136" t="str">
        <f t="shared" si="2"/>
        <v>PRID</v>
      </c>
      <c r="D136" t="s">
        <v>808</v>
      </c>
      <c r="E136">
        <v>3</v>
      </c>
      <c r="F136" t="s">
        <v>845</v>
      </c>
      <c r="G136">
        <v>1</v>
      </c>
      <c r="H136" t="s">
        <v>806</v>
      </c>
      <c r="I136">
        <v>1</v>
      </c>
      <c r="J136">
        <v>36.820300000000003</v>
      </c>
      <c r="K136">
        <v>7.1966999999999999</v>
      </c>
    </row>
    <row r="137" spans="1:11" x14ac:dyDescent="0.2">
      <c r="A137">
        <v>62155</v>
      </c>
      <c r="B137" t="s">
        <v>1240</v>
      </c>
      <c r="C137" t="str">
        <f t="shared" si="2"/>
        <v>PRID</v>
      </c>
      <c r="D137" t="s">
        <v>809</v>
      </c>
      <c r="E137">
        <v>3</v>
      </c>
      <c r="F137" t="s">
        <v>845</v>
      </c>
      <c r="G137">
        <v>1</v>
      </c>
      <c r="H137" t="s">
        <v>806</v>
      </c>
      <c r="I137">
        <v>1</v>
      </c>
      <c r="J137">
        <v>36.909300000000002</v>
      </c>
      <c r="K137">
        <v>7.2961</v>
      </c>
    </row>
    <row r="138" spans="1:11" x14ac:dyDescent="0.2">
      <c r="A138">
        <v>62128</v>
      </c>
      <c r="B138" t="s">
        <v>1267</v>
      </c>
      <c r="C138" t="str">
        <f t="shared" si="2"/>
        <v>SARA</v>
      </c>
      <c r="D138" t="s">
        <v>804</v>
      </c>
      <c r="E138">
        <v>3</v>
      </c>
      <c r="F138" t="s">
        <v>845</v>
      </c>
      <c r="G138">
        <v>1</v>
      </c>
      <c r="H138" t="s">
        <v>806</v>
      </c>
      <c r="I138">
        <v>1</v>
      </c>
      <c r="J138">
        <v>35.607700000000001</v>
      </c>
      <c r="K138">
        <v>1.5210999999999999</v>
      </c>
    </row>
    <row r="139" spans="1:11" x14ac:dyDescent="0.2">
      <c r="A139">
        <v>62128</v>
      </c>
      <c r="B139" t="s">
        <v>1267</v>
      </c>
      <c r="C139" t="str">
        <f t="shared" si="2"/>
        <v>SARA</v>
      </c>
      <c r="D139" t="s">
        <v>807</v>
      </c>
      <c r="E139">
        <v>3</v>
      </c>
      <c r="F139" t="s">
        <v>845</v>
      </c>
      <c r="G139">
        <v>1</v>
      </c>
      <c r="H139" t="s">
        <v>806</v>
      </c>
      <c r="I139">
        <v>1</v>
      </c>
      <c r="J139">
        <v>35.717399999999998</v>
      </c>
      <c r="K139">
        <v>1.5210999999999999</v>
      </c>
    </row>
    <row r="140" spans="1:11" x14ac:dyDescent="0.2">
      <c r="A140">
        <v>62112</v>
      </c>
      <c r="B140" t="s">
        <v>1296</v>
      </c>
      <c r="C140" t="str">
        <f t="shared" si="2"/>
        <v>SJAY</v>
      </c>
      <c r="D140" t="s">
        <v>804</v>
      </c>
      <c r="E140">
        <v>3</v>
      </c>
      <c r="F140" t="s">
        <v>845</v>
      </c>
      <c r="G140">
        <v>1</v>
      </c>
      <c r="H140" t="s">
        <v>806</v>
      </c>
      <c r="I140">
        <v>1</v>
      </c>
      <c r="J140">
        <v>42.577599999999997</v>
      </c>
      <c r="K140">
        <v>6.1238999999999999</v>
      </c>
    </row>
    <row r="141" spans="1:11" x14ac:dyDescent="0.2">
      <c r="A141">
        <v>62112</v>
      </c>
      <c r="B141" t="s">
        <v>1296</v>
      </c>
      <c r="C141" t="str">
        <f t="shared" si="2"/>
        <v>SJAY</v>
      </c>
      <c r="D141" t="s">
        <v>807</v>
      </c>
      <c r="E141">
        <v>3</v>
      </c>
      <c r="F141" t="s">
        <v>845</v>
      </c>
      <c r="G141">
        <v>1</v>
      </c>
      <c r="H141" t="s">
        <v>806</v>
      </c>
      <c r="I141">
        <v>1</v>
      </c>
      <c r="J141">
        <v>42.991799999999998</v>
      </c>
      <c r="K141">
        <v>6.1963999999999997</v>
      </c>
    </row>
    <row r="142" spans="1:11" x14ac:dyDescent="0.2">
      <c r="A142">
        <v>62107</v>
      </c>
      <c r="B142" t="s">
        <v>1299</v>
      </c>
      <c r="C142" t="str">
        <f t="shared" si="2"/>
        <v>SKCL</v>
      </c>
      <c r="D142" t="s">
        <v>804</v>
      </c>
      <c r="E142">
        <v>3</v>
      </c>
      <c r="F142" t="s">
        <v>845</v>
      </c>
      <c r="G142">
        <v>1</v>
      </c>
      <c r="H142" t="s">
        <v>806</v>
      </c>
      <c r="I142">
        <v>1</v>
      </c>
      <c r="J142">
        <v>11.552</v>
      </c>
      <c r="K142">
        <v>1.3274999999999999</v>
      </c>
    </row>
    <row r="143" spans="1:11" x14ac:dyDescent="0.2">
      <c r="A143">
        <v>62107</v>
      </c>
      <c r="B143" t="s">
        <v>1299</v>
      </c>
      <c r="C143" t="str">
        <f t="shared" si="2"/>
        <v>SKCL</v>
      </c>
      <c r="D143" t="s">
        <v>807</v>
      </c>
      <c r="E143">
        <v>3</v>
      </c>
      <c r="F143" t="s">
        <v>845</v>
      </c>
      <c r="G143">
        <v>1</v>
      </c>
      <c r="H143" t="s">
        <v>806</v>
      </c>
      <c r="I143">
        <v>1</v>
      </c>
      <c r="J143">
        <v>9.2790999999999997</v>
      </c>
      <c r="K143">
        <v>0.89049999999999996</v>
      </c>
    </row>
    <row r="144" spans="1:11" x14ac:dyDescent="0.2">
      <c r="A144">
        <v>62107</v>
      </c>
      <c r="B144" t="s">
        <v>1299</v>
      </c>
      <c r="C144" t="str">
        <f t="shared" si="2"/>
        <v>SKCL</v>
      </c>
      <c r="D144" t="s">
        <v>808</v>
      </c>
      <c r="E144">
        <v>3</v>
      </c>
      <c r="F144" t="s">
        <v>845</v>
      </c>
      <c r="G144">
        <v>1</v>
      </c>
      <c r="H144" t="s">
        <v>806</v>
      </c>
      <c r="I144">
        <v>1</v>
      </c>
      <c r="J144">
        <v>22.398900000000001</v>
      </c>
      <c r="K144">
        <v>-4.4173999999999998</v>
      </c>
    </row>
    <row r="145" spans="1:11" x14ac:dyDescent="0.2">
      <c r="A145">
        <v>62107</v>
      </c>
      <c r="B145" t="s">
        <v>1299</v>
      </c>
      <c r="C145" t="str">
        <f t="shared" si="2"/>
        <v>SKCL</v>
      </c>
      <c r="D145" t="s">
        <v>809</v>
      </c>
      <c r="E145">
        <v>3</v>
      </c>
      <c r="F145" t="s">
        <v>845</v>
      </c>
      <c r="G145">
        <v>1</v>
      </c>
      <c r="H145" t="s">
        <v>806</v>
      </c>
      <c r="I145">
        <v>1</v>
      </c>
      <c r="J145">
        <v>22.9208</v>
      </c>
      <c r="K145">
        <v>8.1514000000000006</v>
      </c>
    </row>
    <row r="146" spans="1:11" x14ac:dyDescent="0.2">
      <c r="A146">
        <v>62124</v>
      </c>
      <c r="B146" t="s">
        <v>1312</v>
      </c>
      <c r="C146" t="str">
        <f t="shared" si="2"/>
        <v>SPAE</v>
      </c>
      <c r="D146" t="s">
        <v>804</v>
      </c>
      <c r="E146">
        <v>3</v>
      </c>
      <c r="F146" t="s">
        <v>845</v>
      </c>
      <c r="G146">
        <v>1</v>
      </c>
      <c r="H146" t="s">
        <v>806</v>
      </c>
      <c r="I146">
        <v>1</v>
      </c>
      <c r="J146">
        <v>36.443300000000001</v>
      </c>
      <c r="K146">
        <v>3.996</v>
      </c>
    </row>
    <row r="147" spans="1:11" x14ac:dyDescent="0.2">
      <c r="A147">
        <v>62124</v>
      </c>
      <c r="B147" t="s">
        <v>1312</v>
      </c>
      <c r="C147" t="str">
        <f t="shared" si="2"/>
        <v>SPAE</v>
      </c>
      <c r="D147" t="s">
        <v>807</v>
      </c>
      <c r="E147">
        <v>3</v>
      </c>
      <c r="F147" t="s">
        <v>845</v>
      </c>
      <c r="G147">
        <v>1</v>
      </c>
      <c r="H147" t="s">
        <v>806</v>
      </c>
      <c r="I147">
        <v>1</v>
      </c>
      <c r="J147">
        <v>36.065399999999997</v>
      </c>
      <c r="K147">
        <v>3.9565999999999999</v>
      </c>
    </row>
    <row r="148" spans="1:11" x14ac:dyDescent="0.2">
      <c r="A148">
        <v>62117</v>
      </c>
      <c r="B148" t="s">
        <v>1313</v>
      </c>
      <c r="C148" t="str">
        <f t="shared" si="2"/>
        <v>SPG4</v>
      </c>
      <c r="D148" t="s">
        <v>804</v>
      </c>
      <c r="E148">
        <v>3</v>
      </c>
      <c r="F148" t="s">
        <v>845</v>
      </c>
      <c r="G148">
        <v>1</v>
      </c>
      <c r="H148" t="s">
        <v>806</v>
      </c>
      <c r="I148">
        <v>1</v>
      </c>
      <c r="J148">
        <v>0</v>
      </c>
      <c r="K148">
        <v>0</v>
      </c>
    </row>
    <row r="149" spans="1:11" x14ac:dyDescent="0.2">
      <c r="A149">
        <v>562117</v>
      </c>
      <c r="B149" t="s">
        <v>1314</v>
      </c>
      <c r="C149" t="str">
        <f t="shared" si="2"/>
        <v>SPG4</v>
      </c>
      <c r="D149" t="s">
        <v>807</v>
      </c>
      <c r="E149">
        <v>3</v>
      </c>
      <c r="F149" t="s">
        <v>845</v>
      </c>
      <c r="G149">
        <v>1</v>
      </c>
      <c r="H149" t="s">
        <v>806</v>
      </c>
      <c r="I149">
        <v>1</v>
      </c>
      <c r="J149">
        <v>0</v>
      </c>
      <c r="K149">
        <v>0</v>
      </c>
    </row>
    <row r="150" spans="1:11" x14ac:dyDescent="0.2">
      <c r="A150">
        <v>62135</v>
      </c>
      <c r="B150" t="s">
        <v>1317</v>
      </c>
      <c r="C150" t="str">
        <f t="shared" si="2"/>
        <v>SPNG</v>
      </c>
      <c r="D150" t="s">
        <v>804</v>
      </c>
      <c r="E150">
        <v>3</v>
      </c>
      <c r="F150" t="s">
        <v>845</v>
      </c>
      <c r="G150">
        <v>1</v>
      </c>
      <c r="H150" t="s">
        <v>806</v>
      </c>
      <c r="I150">
        <v>1</v>
      </c>
      <c r="J150">
        <v>27.458300000000001</v>
      </c>
      <c r="K150">
        <v>3.5766</v>
      </c>
    </row>
    <row r="151" spans="1:11" x14ac:dyDescent="0.2">
      <c r="A151">
        <v>62135</v>
      </c>
      <c r="B151" t="s">
        <v>1317</v>
      </c>
      <c r="C151" t="str">
        <f t="shared" si="2"/>
        <v>SPNG</v>
      </c>
      <c r="D151" t="s">
        <v>807</v>
      </c>
      <c r="E151">
        <v>3</v>
      </c>
      <c r="F151" t="s">
        <v>845</v>
      </c>
      <c r="G151">
        <v>1</v>
      </c>
      <c r="H151" t="s">
        <v>806</v>
      </c>
      <c r="I151">
        <v>1</v>
      </c>
      <c r="J151">
        <v>25.937200000000001</v>
      </c>
      <c r="K151">
        <v>2.7078000000000002</v>
      </c>
    </row>
    <row r="152" spans="1:11" x14ac:dyDescent="0.2">
      <c r="A152">
        <v>62125</v>
      </c>
      <c r="B152" t="s">
        <v>1353</v>
      </c>
      <c r="C152" t="str">
        <f t="shared" si="2"/>
        <v>TGLR</v>
      </c>
      <c r="D152" t="s">
        <v>804</v>
      </c>
      <c r="E152">
        <v>3</v>
      </c>
      <c r="F152" t="s">
        <v>845</v>
      </c>
      <c r="G152">
        <v>1</v>
      </c>
      <c r="H152" t="s">
        <v>806</v>
      </c>
      <c r="I152">
        <v>1</v>
      </c>
      <c r="J152">
        <v>20.497699999999998</v>
      </c>
      <c r="K152">
        <v>1.3824000000000001</v>
      </c>
    </row>
    <row r="153" spans="1:11" x14ac:dyDescent="0.2">
      <c r="A153">
        <v>62125</v>
      </c>
      <c r="B153" t="s">
        <v>1353</v>
      </c>
      <c r="C153" t="str">
        <f t="shared" si="2"/>
        <v>TGLR</v>
      </c>
      <c r="D153" t="s">
        <v>807</v>
      </c>
      <c r="E153">
        <v>3</v>
      </c>
      <c r="F153" t="s">
        <v>845</v>
      </c>
      <c r="G153">
        <v>1</v>
      </c>
      <c r="H153" t="s">
        <v>806</v>
      </c>
      <c r="I153">
        <v>1</v>
      </c>
      <c r="J153">
        <v>20.636399999999998</v>
      </c>
      <c r="K153">
        <v>1.2032</v>
      </c>
    </row>
    <row r="154" spans="1:11" x14ac:dyDescent="0.2">
      <c r="A154">
        <v>62127</v>
      </c>
      <c r="B154" t="s">
        <v>1355</v>
      </c>
      <c r="C154" t="str">
        <f t="shared" si="2"/>
        <v>TGTK</v>
      </c>
      <c r="D154" t="s">
        <v>804</v>
      </c>
      <c r="E154">
        <v>3</v>
      </c>
      <c r="F154" t="s">
        <v>845</v>
      </c>
      <c r="G154">
        <v>1</v>
      </c>
      <c r="H154" t="s">
        <v>806</v>
      </c>
      <c r="I154">
        <v>1</v>
      </c>
      <c r="J154">
        <v>21.5425</v>
      </c>
      <c r="K154">
        <v>2.8331</v>
      </c>
    </row>
    <row r="155" spans="1:11" x14ac:dyDescent="0.2">
      <c r="A155">
        <v>62127</v>
      </c>
      <c r="B155" t="s">
        <v>1355</v>
      </c>
      <c r="C155" t="str">
        <f t="shared" si="2"/>
        <v>TGTK</v>
      </c>
      <c r="D155" t="s">
        <v>807</v>
      </c>
      <c r="E155">
        <v>3</v>
      </c>
      <c r="F155" t="s">
        <v>845</v>
      </c>
      <c r="G155">
        <v>1</v>
      </c>
      <c r="H155" t="s">
        <v>806</v>
      </c>
      <c r="I155">
        <v>1</v>
      </c>
      <c r="J155">
        <v>21.7807</v>
      </c>
      <c r="K155">
        <v>2.8828</v>
      </c>
    </row>
    <row r="156" spans="1:11" x14ac:dyDescent="0.2">
      <c r="A156">
        <v>62122</v>
      </c>
      <c r="B156" t="s">
        <v>1407</v>
      </c>
      <c r="C156" t="str">
        <f t="shared" si="2"/>
        <v>VDOR</v>
      </c>
      <c r="D156" t="s">
        <v>804</v>
      </c>
      <c r="E156">
        <v>3</v>
      </c>
      <c r="F156" t="s">
        <v>845</v>
      </c>
      <c r="G156">
        <v>1</v>
      </c>
      <c r="H156" t="s">
        <v>806</v>
      </c>
      <c r="I156">
        <v>1</v>
      </c>
      <c r="J156">
        <v>12.69</v>
      </c>
      <c r="K156">
        <v>0.50639999999999996</v>
      </c>
    </row>
    <row r="157" spans="1:11" x14ac:dyDescent="0.2">
      <c r="A157">
        <v>62122</v>
      </c>
      <c r="B157" t="s">
        <v>1407</v>
      </c>
      <c r="C157" t="str">
        <f t="shared" si="2"/>
        <v>VDOR</v>
      </c>
      <c r="D157" t="s">
        <v>807</v>
      </c>
      <c r="E157">
        <v>3</v>
      </c>
      <c r="F157" t="s">
        <v>845</v>
      </c>
      <c r="G157">
        <v>1</v>
      </c>
      <c r="H157" t="s">
        <v>806</v>
      </c>
      <c r="I157">
        <v>1</v>
      </c>
      <c r="J157">
        <v>15.5097</v>
      </c>
      <c r="K157">
        <v>3.1551999999999998</v>
      </c>
    </row>
    <row r="158" spans="1:11" x14ac:dyDescent="0.2">
      <c r="A158">
        <v>62122</v>
      </c>
      <c r="B158" t="s">
        <v>1407</v>
      </c>
      <c r="C158" t="str">
        <f t="shared" si="2"/>
        <v>VDOR</v>
      </c>
      <c r="D158" t="s">
        <v>848</v>
      </c>
      <c r="E158">
        <v>3</v>
      </c>
      <c r="F158" t="s">
        <v>845</v>
      </c>
      <c r="G158">
        <v>1</v>
      </c>
      <c r="H158" t="s">
        <v>806</v>
      </c>
      <c r="I158">
        <v>1</v>
      </c>
      <c r="J158">
        <v>14.6066</v>
      </c>
      <c r="K158">
        <v>-1.956</v>
      </c>
    </row>
    <row r="159" spans="1:11" x14ac:dyDescent="0.2">
      <c r="A159">
        <v>562122</v>
      </c>
      <c r="B159" t="s">
        <v>1408</v>
      </c>
      <c r="C159" t="str">
        <f t="shared" si="2"/>
        <v>VDOR</v>
      </c>
      <c r="D159" t="s">
        <v>848</v>
      </c>
      <c r="E159">
        <v>3</v>
      </c>
      <c r="F159" t="s">
        <v>845</v>
      </c>
      <c r="G159">
        <v>1</v>
      </c>
      <c r="H159" t="s">
        <v>806</v>
      </c>
      <c r="I159">
        <v>1</v>
      </c>
      <c r="J159">
        <v>0</v>
      </c>
      <c r="K159">
        <v>0</v>
      </c>
    </row>
    <row r="160" spans="1:11" x14ac:dyDescent="0.2">
      <c r="A160">
        <v>63106</v>
      </c>
      <c r="B160" t="s">
        <v>871</v>
      </c>
      <c r="C160" t="str">
        <f t="shared" si="2"/>
        <v>BDOR</v>
      </c>
      <c r="D160" t="s">
        <v>804</v>
      </c>
      <c r="E160">
        <v>4</v>
      </c>
      <c r="F160" t="s">
        <v>834</v>
      </c>
      <c r="G160">
        <v>1</v>
      </c>
      <c r="H160" t="s">
        <v>806</v>
      </c>
      <c r="I160">
        <v>1</v>
      </c>
      <c r="J160">
        <v>13.738</v>
      </c>
      <c r="K160">
        <v>1.6318999999999999</v>
      </c>
    </row>
    <row r="161" spans="1:11" x14ac:dyDescent="0.2">
      <c r="A161">
        <v>63106</v>
      </c>
      <c r="B161" t="s">
        <v>871</v>
      </c>
      <c r="C161" t="str">
        <f t="shared" si="2"/>
        <v>BDOR</v>
      </c>
      <c r="D161" t="s">
        <v>807</v>
      </c>
      <c r="E161">
        <v>4</v>
      </c>
      <c r="F161" t="s">
        <v>834</v>
      </c>
      <c r="G161">
        <v>1</v>
      </c>
      <c r="H161" t="s">
        <v>806</v>
      </c>
      <c r="I161">
        <v>1</v>
      </c>
      <c r="J161">
        <v>6.7866999999999997</v>
      </c>
      <c r="K161">
        <v>0.83560000000000001</v>
      </c>
    </row>
    <row r="162" spans="1:11" x14ac:dyDescent="0.2">
      <c r="A162">
        <v>63106</v>
      </c>
      <c r="B162" t="s">
        <v>871</v>
      </c>
      <c r="C162" t="str">
        <f t="shared" si="2"/>
        <v>BDOR</v>
      </c>
      <c r="D162" t="s">
        <v>808</v>
      </c>
      <c r="E162">
        <v>4</v>
      </c>
      <c r="F162" t="s">
        <v>834</v>
      </c>
      <c r="G162">
        <v>1</v>
      </c>
      <c r="H162" t="s">
        <v>806</v>
      </c>
      <c r="I162">
        <v>1</v>
      </c>
      <c r="J162">
        <v>15.8017</v>
      </c>
      <c r="K162">
        <v>-2.8031000000000001</v>
      </c>
    </row>
    <row r="163" spans="1:11" x14ac:dyDescent="0.2">
      <c r="A163">
        <v>63106</v>
      </c>
      <c r="B163" t="s">
        <v>871</v>
      </c>
      <c r="C163" t="str">
        <f t="shared" si="2"/>
        <v>BDOR</v>
      </c>
      <c r="D163" t="s">
        <v>809</v>
      </c>
      <c r="E163">
        <v>4</v>
      </c>
      <c r="F163" t="s">
        <v>834</v>
      </c>
      <c r="G163">
        <v>1</v>
      </c>
      <c r="H163" t="s">
        <v>806</v>
      </c>
      <c r="I163">
        <v>1</v>
      </c>
      <c r="J163">
        <v>15.7965</v>
      </c>
      <c r="K163">
        <v>-2.7616999999999998</v>
      </c>
    </row>
    <row r="164" spans="1:11" x14ac:dyDescent="0.2">
      <c r="A164">
        <v>63153</v>
      </c>
      <c r="B164" t="s">
        <v>891</v>
      </c>
      <c r="C164" t="str">
        <f t="shared" si="2"/>
        <v>BMRH</v>
      </c>
      <c r="D164" t="s">
        <v>808</v>
      </c>
      <c r="E164">
        <v>4</v>
      </c>
      <c r="F164" t="s">
        <v>834</v>
      </c>
      <c r="G164">
        <v>1</v>
      </c>
      <c r="H164" t="s">
        <v>806</v>
      </c>
      <c r="I164">
        <v>1</v>
      </c>
      <c r="J164">
        <v>11.948600000000001</v>
      </c>
      <c r="K164">
        <v>-3.4813000000000001</v>
      </c>
    </row>
    <row r="165" spans="1:11" x14ac:dyDescent="0.2">
      <c r="A165">
        <v>63153</v>
      </c>
      <c r="B165" t="s">
        <v>891</v>
      </c>
      <c r="C165" t="str">
        <f t="shared" si="2"/>
        <v>BMRH</v>
      </c>
      <c r="D165" t="s">
        <v>809</v>
      </c>
      <c r="E165">
        <v>4</v>
      </c>
      <c r="F165" t="s">
        <v>834</v>
      </c>
      <c r="G165">
        <v>1</v>
      </c>
      <c r="H165" t="s">
        <v>806</v>
      </c>
      <c r="I165">
        <v>1</v>
      </c>
      <c r="J165">
        <v>11.9787</v>
      </c>
      <c r="K165">
        <v>-3.4460999999999999</v>
      </c>
    </row>
    <row r="166" spans="1:11" x14ac:dyDescent="0.2">
      <c r="A166">
        <v>63151</v>
      </c>
      <c r="B166" t="s">
        <v>906</v>
      </c>
      <c r="C166" t="str">
        <f t="shared" si="2"/>
        <v>BSRI</v>
      </c>
      <c r="D166" t="s">
        <v>804</v>
      </c>
      <c r="E166">
        <v>4</v>
      </c>
      <c r="F166" t="s">
        <v>834</v>
      </c>
      <c r="G166">
        <v>1</v>
      </c>
      <c r="H166" t="s">
        <v>806</v>
      </c>
      <c r="I166">
        <v>1</v>
      </c>
      <c r="J166">
        <v>6.3879999999999999</v>
      </c>
      <c r="K166">
        <v>0.53120000000000001</v>
      </c>
    </row>
    <row r="167" spans="1:11" x14ac:dyDescent="0.2">
      <c r="A167">
        <v>63151</v>
      </c>
      <c r="B167" t="s">
        <v>906</v>
      </c>
      <c r="C167" t="str">
        <f t="shared" si="2"/>
        <v>BSRI</v>
      </c>
      <c r="D167" t="s">
        <v>807</v>
      </c>
      <c r="E167">
        <v>4</v>
      </c>
      <c r="F167" t="s">
        <v>834</v>
      </c>
      <c r="G167">
        <v>1</v>
      </c>
      <c r="H167" t="s">
        <v>806</v>
      </c>
      <c r="I167">
        <v>1</v>
      </c>
      <c r="J167">
        <v>15.8276</v>
      </c>
      <c r="K167">
        <v>1.2021999999999999</v>
      </c>
    </row>
    <row r="168" spans="1:11" x14ac:dyDescent="0.2">
      <c r="A168">
        <v>63166</v>
      </c>
      <c r="B168" t="s">
        <v>916</v>
      </c>
      <c r="C168" t="str">
        <f t="shared" si="2"/>
        <v>BTNG</v>
      </c>
      <c r="D168" t="s">
        <v>804</v>
      </c>
      <c r="E168">
        <v>4</v>
      </c>
      <c r="F168" t="s">
        <v>834</v>
      </c>
      <c r="G168">
        <v>1</v>
      </c>
      <c r="H168" t="s">
        <v>806</v>
      </c>
      <c r="I168">
        <v>1</v>
      </c>
      <c r="J168">
        <v>14.1656</v>
      </c>
      <c r="K168">
        <v>-5.1799999999999999E-2</v>
      </c>
    </row>
    <row r="169" spans="1:11" x14ac:dyDescent="0.2">
      <c r="A169">
        <v>63166</v>
      </c>
      <c r="B169" t="s">
        <v>916</v>
      </c>
      <c r="C169" t="str">
        <f t="shared" si="2"/>
        <v>BTNG</v>
      </c>
      <c r="D169" t="s">
        <v>807</v>
      </c>
      <c r="E169">
        <v>4</v>
      </c>
      <c r="F169" t="s">
        <v>834</v>
      </c>
      <c r="G169">
        <v>1</v>
      </c>
      <c r="H169" t="s">
        <v>806</v>
      </c>
      <c r="I169">
        <v>1</v>
      </c>
      <c r="J169">
        <v>14.310600000000001</v>
      </c>
      <c r="K169">
        <v>-6.2100000000000002E-2</v>
      </c>
    </row>
    <row r="170" spans="1:11" x14ac:dyDescent="0.2">
      <c r="A170">
        <v>63141</v>
      </c>
      <c r="B170" t="s">
        <v>927</v>
      </c>
      <c r="C170" t="str">
        <f t="shared" si="2"/>
        <v>CEND</v>
      </c>
      <c r="D170" t="s">
        <v>804</v>
      </c>
      <c r="E170">
        <v>4</v>
      </c>
      <c r="F170" t="s">
        <v>834</v>
      </c>
      <c r="G170">
        <v>1</v>
      </c>
      <c r="H170" t="s">
        <v>806</v>
      </c>
      <c r="I170">
        <v>1</v>
      </c>
      <c r="J170">
        <v>8.6226000000000003</v>
      </c>
      <c r="K170">
        <v>-0.88539999999999996</v>
      </c>
    </row>
    <row r="171" spans="1:11" x14ac:dyDescent="0.2">
      <c r="A171">
        <v>63141</v>
      </c>
      <c r="B171" t="s">
        <v>927</v>
      </c>
      <c r="C171" t="str">
        <f t="shared" si="2"/>
        <v>CEND</v>
      </c>
      <c r="D171" t="s">
        <v>807</v>
      </c>
      <c r="E171">
        <v>4</v>
      </c>
      <c r="F171" t="s">
        <v>834</v>
      </c>
      <c r="G171">
        <v>1</v>
      </c>
      <c r="H171" t="s">
        <v>806</v>
      </c>
      <c r="I171">
        <v>1</v>
      </c>
      <c r="J171">
        <v>8.6039999999999992</v>
      </c>
      <c r="K171">
        <v>-0.89980000000000004</v>
      </c>
    </row>
    <row r="172" spans="1:11" x14ac:dyDescent="0.2">
      <c r="A172">
        <v>63124</v>
      </c>
      <c r="B172" t="s">
        <v>975</v>
      </c>
      <c r="C172" t="str">
        <f t="shared" si="2"/>
        <v>GPRD</v>
      </c>
      <c r="D172" t="s">
        <v>804</v>
      </c>
      <c r="E172">
        <v>4</v>
      </c>
      <c r="F172" t="s">
        <v>834</v>
      </c>
      <c r="G172">
        <v>1</v>
      </c>
      <c r="H172" t="s">
        <v>806</v>
      </c>
      <c r="I172">
        <v>1</v>
      </c>
      <c r="J172">
        <v>5.5316000000000001</v>
      </c>
      <c r="K172">
        <v>1.05</v>
      </c>
    </row>
    <row r="173" spans="1:11" x14ac:dyDescent="0.2">
      <c r="A173">
        <v>63124</v>
      </c>
      <c r="B173" t="s">
        <v>975</v>
      </c>
      <c r="C173" t="str">
        <f t="shared" si="2"/>
        <v>GPRD</v>
      </c>
      <c r="D173" t="s">
        <v>807</v>
      </c>
      <c r="E173">
        <v>4</v>
      </c>
      <c r="F173" t="s">
        <v>834</v>
      </c>
      <c r="G173">
        <v>1</v>
      </c>
      <c r="H173" t="s">
        <v>806</v>
      </c>
      <c r="I173">
        <v>1</v>
      </c>
      <c r="J173">
        <v>10.539300000000001</v>
      </c>
      <c r="K173">
        <v>1.4528000000000001</v>
      </c>
    </row>
    <row r="174" spans="1:11" x14ac:dyDescent="0.2">
      <c r="A174">
        <v>63124</v>
      </c>
      <c r="B174" t="s">
        <v>975</v>
      </c>
      <c r="C174" t="str">
        <f t="shared" si="2"/>
        <v>GPRD</v>
      </c>
      <c r="D174" t="s">
        <v>808</v>
      </c>
      <c r="E174">
        <v>4</v>
      </c>
      <c r="F174" t="s">
        <v>834</v>
      </c>
      <c r="G174">
        <v>1</v>
      </c>
      <c r="H174" t="s">
        <v>806</v>
      </c>
      <c r="I174">
        <v>1</v>
      </c>
      <c r="J174">
        <v>51.216799999999999</v>
      </c>
      <c r="K174">
        <v>7.2619999999999996</v>
      </c>
    </row>
    <row r="175" spans="1:11" x14ac:dyDescent="0.2">
      <c r="A175">
        <v>63124</v>
      </c>
      <c r="B175" t="s">
        <v>975</v>
      </c>
      <c r="C175" t="str">
        <f t="shared" si="2"/>
        <v>GPRD</v>
      </c>
      <c r="D175" t="s">
        <v>809</v>
      </c>
      <c r="E175">
        <v>4</v>
      </c>
      <c r="F175" t="s">
        <v>834</v>
      </c>
      <c r="G175">
        <v>1</v>
      </c>
      <c r="H175" t="s">
        <v>806</v>
      </c>
      <c r="I175">
        <v>1</v>
      </c>
      <c r="J175">
        <v>50.779800000000002</v>
      </c>
      <c r="K175">
        <v>7.1914999999999996</v>
      </c>
    </row>
    <row r="176" spans="1:11" x14ac:dyDescent="0.2">
      <c r="A176">
        <v>63209</v>
      </c>
      <c r="B176" t="s">
        <v>977</v>
      </c>
      <c r="C176" t="str">
        <f t="shared" si="2"/>
        <v>GRIK</v>
      </c>
      <c r="D176" t="s">
        <v>804</v>
      </c>
      <c r="E176">
        <v>4</v>
      </c>
      <c r="F176" t="s">
        <v>834</v>
      </c>
      <c r="G176">
        <v>41</v>
      </c>
      <c r="H176" t="s">
        <v>858</v>
      </c>
      <c r="I176">
        <v>1</v>
      </c>
      <c r="J176">
        <v>9.6870999999999992</v>
      </c>
      <c r="K176">
        <v>53.705100000000002</v>
      </c>
    </row>
    <row r="177" spans="1:11" x14ac:dyDescent="0.2">
      <c r="A177">
        <v>63176</v>
      </c>
      <c r="B177" t="s">
        <v>984</v>
      </c>
      <c r="C177" t="str">
        <f t="shared" si="2"/>
        <v>GTWN</v>
      </c>
      <c r="D177" t="s">
        <v>804</v>
      </c>
      <c r="E177">
        <v>4</v>
      </c>
      <c r="F177" t="s">
        <v>834</v>
      </c>
      <c r="G177">
        <v>1</v>
      </c>
      <c r="H177" t="s">
        <v>806</v>
      </c>
      <c r="I177">
        <v>1</v>
      </c>
      <c r="J177">
        <v>12.7636</v>
      </c>
      <c r="K177">
        <v>2.0379</v>
      </c>
    </row>
    <row r="178" spans="1:11" x14ac:dyDescent="0.2">
      <c r="A178">
        <v>63176</v>
      </c>
      <c r="B178" t="s">
        <v>984</v>
      </c>
      <c r="C178" t="str">
        <f t="shared" si="2"/>
        <v>GTWN</v>
      </c>
      <c r="D178" t="s">
        <v>807</v>
      </c>
      <c r="E178">
        <v>4</v>
      </c>
      <c r="F178" t="s">
        <v>834</v>
      </c>
      <c r="G178">
        <v>1</v>
      </c>
      <c r="H178" t="s">
        <v>806</v>
      </c>
      <c r="I178">
        <v>1</v>
      </c>
      <c r="J178">
        <v>11.928900000000001</v>
      </c>
      <c r="K178">
        <v>2.1777000000000002</v>
      </c>
    </row>
    <row r="179" spans="1:11" x14ac:dyDescent="0.2">
      <c r="A179">
        <v>63136</v>
      </c>
      <c r="B179" t="s">
        <v>991</v>
      </c>
      <c r="C179" t="str">
        <f t="shared" si="2"/>
        <v>HMLG</v>
      </c>
      <c r="D179" t="s">
        <v>804</v>
      </c>
      <c r="E179">
        <v>4</v>
      </c>
      <c r="F179" t="s">
        <v>834</v>
      </c>
      <c r="G179">
        <v>1</v>
      </c>
      <c r="H179" t="s">
        <v>806</v>
      </c>
      <c r="I179">
        <v>1</v>
      </c>
      <c r="J179">
        <v>32.505299999999998</v>
      </c>
      <c r="K179">
        <v>3.1074999999999999</v>
      </c>
    </row>
    <row r="180" spans="1:11" x14ac:dyDescent="0.2">
      <c r="A180">
        <v>63136</v>
      </c>
      <c r="B180" t="s">
        <v>991</v>
      </c>
      <c r="C180" t="str">
        <f t="shared" si="2"/>
        <v>HMLG</v>
      </c>
      <c r="D180" t="s">
        <v>807</v>
      </c>
      <c r="E180">
        <v>4</v>
      </c>
      <c r="F180" t="s">
        <v>834</v>
      </c>
      <c r="G180">
        <v>1</v>
      </c>
      <c r="H180" t="s">
        <v>806</v>
      </c>
      <c r="I180">
        <v>1</v>
      </c>
      <c r="J180">
        <v>32.392499999999998</v>
      </c>
      <c r="K180">
        <v>3.1189</v>
      </c>
    </row>
    <row r="181" spans="1:11" x14ac:dyDescent="0.2">
      <c r="A181">
        <v>63128</v>
      </c>
      <c r="B181" t="s">
        <v>1039</v>
      </c>
      <c r="C181" t="str">
        <f t="shared" si="2"/>
        <v>KGJH</v>
      </c>
      <c r="D181" t="s">
        <v>804</v>
      </c>
      <c r="E181">
        <v>4</v>
      </c>
      <c r="F181" t="s">
        <v>834</v>
      </c>
      <c r="G181">
        <v>1</v>
      </c>
      <c r="H181" t="s">
        <v>806</v>
      </c>
      <c r="I181">
        <v>1</v>
      </c>
      <c r="J181">
        <v>9.1641999999999992</v>
      </c>
      <c r="K181">
        <v>-1.9467000000000001</v>
      </c>
    </row>
    <row r="182" spans="1:11" x14ac:dyDescent="0.2">
      <c r="A182">
        <v>63128</v>
      </c>
      <c r="B182" t="s">
        <v>1039</v>
      </c>
      <c r="C182" t="str">
        <f t="shared" si="2"/>
        <v>KGJH</v>
      </c>
      <c r="D182" t="s">
        <v>807</v>
      </c>
      <c r="E182">
        <v>4</v>
      </c>
      <c r="F182" t="s">
        <v>834</v>
      </c>
      <c r="G182">
        <v>1</v>
      </c>
      <c r="H182" t="s">
        <v>806</v>
      </c>
      <c r="I182">
        <v>1</v>
      </c>
      <c r="J182">
        <v>8.3667999999999996</v>
      </c>
      <c r="K182">
        <v>-1.6464000000000001</v>
      </c>
    </row>
    <row r="183" spans="1:11" x14ac:dyDescent="0.2">
      <c r="A183">
        <v>63148</v>
      </c>
      <c r="B183" t="s">
        <v>1047</v>
      </c>
      <c r="C183" t="str">
        <f t="shared" si="2"/>
        <v>KJWA</v>
      </c>
      <c r="D183" t="s">
        <v>804</v>
      </c>
      <c r="E183">
        <v>4</v>
      </c>
      <c r="F183" t="s">
        <v>834</v>
      </c>
      <c r="G183">
        <v>1</v>
      </c>
      <c r="H183" t="s">
        <v>806</v>
      </c>
      <c r="I183">
        <v>1</v>
      </c>
      <c r="J183">
        <v>7.3167999999999997</v>
      </c>
      <c r="K183">
        <v>1.4870000000000001</v>
      </c>
    </row>
    <row r="184" spans="1:11" x14ac:dyDescent="0.2">
      <c r="A184">
        <v>63148</v>
      </c>
      <c r="B184" t="s">
        <v>1047</v>
      </c>
      <c r="C184" t="str">
        <f t="shared" si="2"/>
        <v>KJWA</v>
      </c>
      <c r="D184" t="s">
        <v>807</v>
      </c>
      <c r="E184">
        <v>4</v>
      </c>
      <c r="F184" t="s">
        <v>834</v>
      </c>
      <c r="G184">
        <v>1</v>
      </c>
      <c r="H184" t="s">
        <v>806</v>
      </c>
      <c r="I184">
        <v>1</v>
      </c>
      <c r="J184">
        <v>6.6272000000000002</v>
      </c>
      <c r="K184">
        <v>1.6910000000000001</v>
      </c>
    </row>
    <row r="185" spans="1:11" x14ac:dyDescent="0.2">
      <c r="A185">
        <v>63138</v>
      </c>
      <c r="B185" t="s">
        <v>1051</v>
      </c>
      <c r="C185" t="str">
        <f t="shared" si="2"/>
        <v>KKSR</v>
      </c>
      <c r="D185" t="s">
        <v>804</v>
      </c>
      <c r="E185">
        <v>4</v>
      </c>
      <c r="F185" t="s">
        <v>834</v>
      </c>
      <c r="G185">
        <v>1</v>
      </c>
      <c r="H185" t="s">
        <v>806</v>
      </c>
      <c r="I185">
        <v>1</v>
      </c>
      <c r="J185">
        <v>11.696</v>
      </c>
      <c r="K185">
        <v>1.0707</v>
      </c>
    </row>
    <row r="186" spans="1:11" x14ac:dyDescent="0.2">
      <c r="A186">
        <v>63138</v>
      </c>
      <c r="B186" t="s">
        <v>1051</v>
      </c>
      <c r="C186" t="str">
        <f t="shared" si="2"/>
        <v>KKSR</v>
      </c>
      <c r="D186" t="s">
        <v>807</v>
      </c>
      <c r="E186">
        <v>4</v>
      </c>
      <c r="F186" t="s">
        <v>834</v>
      </c>
      <c r="G186">
        <v>1</v>
      </c>
      <c r="H186" t="s">
        <v>806</v>
      </c>
      <c r="I186">
        <v>1</v>
      </c>
      <c r="J186">
        <v>8.2239000000000004</v>
      </c>
      <c r="K186">
        <v>1.3253999999999999</v>
      </c>
    </row>
    <row r="187" spans="1:11" x14ac:dyDescent="0.2">
      <c r="A187">
        <v>63155</v>
      </c>
      <c r="B187" t="s">
        <v>1058</v>
      </c>
      <c r="C187" t="str">
        <f t="shared" si="2"/>
        <v>KLBG</v>
      </c>
      <c r="D187" t="s">
        <v>804</v>
      </c>
      <c r="E187">
        <v>4</v>
      </c>
      <c r="F187" t="s">
        <v>834</v>
      </c>
      <c r="G187">
        <v>1</v>
      </c>
      <c r="H187" t="s">
        <v>806</v>
      </c>
      <c r="I187">
        <v>1</v>
      </c>
      <c r="J187">
        <v>15.329499999999999</v>
      </c>
      <c r="K187">
        <v>2.0844999999999998</v>
      </c>
    </row>
    <row r="188" spans="1:11" x14ac:dyDescent="0.2">
      <c r="A188">
        <v>63155</v>
      </c>
      <c r="B188" t="s">
        <v>1058</v>
      </c>
      <c r="C188" t="str">
        <f t="shared" si="2"/>
        <v>KLBG</v>
      </c>
      <c r="D188" t="s">
        <v>807</v>
      </c>
      <c r="E188">
        <v>4</v>
      </c>
      <c r="F188" t="s">
        <v>834</v>
      </c>
      <c r="G188">
        <v>1</v>
      </c>
      <c r="H188" t="s">
        <v>806</v>
      </c>
      <c r="I188">
        <v>1</v>
      </c>
      <c r="J188">
        <v>15.191800000000001</v>
      </c>
      <c r="K188">
        <v>2.0886</v>
      </c>
    </row>
    <row r="189" spans="1:11" x14ac:dyDescent="0.2">
      <c r="A189">
        <v>63155</v>
      </c>
      <c r="B189" t="s">
        <v>1058</v>
      </c>
      <c r="C189" t="str">
        <f t="shared" si="2"/>
        <v>KLBG</v>
      </c>
      <c r="D189" t="s">
        <v>808</v>
      </c>
      <c r="E189">
        <v>4</v>
      </c>
      <c r="F189" t="s">
        <v>834</v>
      </c>
      <c r="G189">
        <v>1</v>
      </c>
      <c r="H189" t="s">
        <v>806</v>
      </c>
      <c r="I189">
        <v>1</v>
      </c>
      <c r="J189">
        <v>11.2807</v>
      </c>
      <c r="K189">
        <v>-2.3226</v>
      </c>
    </row>
    <row r="190" spans="1:11" x14ac:dyDescent="0.2">
      <c r="A190">
        <v>63155</v>
      </c>
      <c r="B190" t="s">
        <v>1058</v>
      </c>
      <c r="C190" t="str">
        <f t="shared" si="2"/>
        <v>KLBG</v>
      </c>
      <c r="D190" t="s">
        <v>809</v>
      </c>
      <c r="E190">
        <v>4</v>
      </c>
      <c r="F190" t="s">
        <v>834</v>
      </c>
      <c r="G190">
        <v>1</v>
      </c>
      <c r="H190" t="s">
        <v>806</v>
      </c>
      <c r="I190">
        <v>1</v>
      </c>
      <c r="J190">
        <v>11.235200000000001</v>
      </c>
      <c r="K190">
        <v>-2.2511999999999999</v>
      </c>
    </row>
    <row r="191" spans="1:11" x14ac:dyDescent="0.2">
      <c r="A191">
        <v>63104</v>
      </c>
      <c r="B191" t="s">
        <v>1073</v>
      </c>
      <c r="C191" t="str">
        <f t="shared" si="2"/>
        <v>KMPR</v>
      </c>
      <c r="D191" t="s">
        <v>804</v>
      </c>
      <c r="E191">
        <v>4</v>
      </c>
      <c r="F191" t="s">
        <v>834</v>
      </c>
      <c r="G191">
        <v>1</v>
      </c>
      <c r="H191" t="s">
        <v>806</v>
      </c>
      <c r="I191">
        <v>1</v>
      </c>
      <c r="J191">
        <v>0</v>
      </c>
      <c r="K191">
        <v>0</v>
      </c>
    </row>
    <row r="192" spans="1:11" x14ac:dyDescent="0.2">
      <c r="A192">
        <v>63104</v>
      </c>
      <c r="B192" t="s">
        <v>1073</v>
      </c>
      <c r="C192" t="str">
        <f t="shared" si="2"/>
        <v>KMPR</v>
      </c>
      <c r="D192" t="s">
        <v>807</v>
      </c>
      <c r="E192">
        <v>4</v>
      </c>
      <c r="F192" t="s">
        <v>834</v>
      </c>
      <c r="G192">
        <v>1</v>
      </c>
      <c r="H192" t="s">
        <v>806</v>
      </c>
      <c r="I192">
        <v>1</v>
      </c>
      <c r="J192">
        <v>24.091899999999999</v>
      </c>
      <c r="K192">
        <v>2.4904000000000002</v>
      </c>
    </row>
    <row r="193" spans="1:11" x14ac:dyDescent="0.2">
      <c r="A193">
        <v>63104</v>
      </c>
      <c r="B193" t="s">
        <v>1073</v>
      </c>
      <c r="C193" t="str">
        <f t="shared" si="2"/>
        <v>KMPR</v>
      </c>
      <c r="D193" t="s">
        <v>808</v>
      </c>
      <c r="E193">
        <v>4</v>
      </c>
      <c r="F193" t="s">
        <v>834</v>
      </c>
      <c r="G193">
        <v>1</v>
      </c>
      <c r="H193" t="s">
        <v>806</v>
      </c>
      <c r="I193">
        <v>1</v>
      </c>
      <c r="J193">
        <v>15.3005</v>
      </c>
      <c r="K193">
        <v>0.1232</v>
      </c>
    </row>
    <row r="194" spans="1:11" x14ac:dyDescent="0.2">
      <c r="A194">
        <v>63104</v>
      </c>
      <c r="B194" t="s">
        <v>1073</v>
      </c>
      <c r="C194" t="str">
        <f t="shared" si="2"/>
        <v>KMPR</v>
      </c>
      <c r="D194" t="s">
        <v>809</v>
      </c>
      <c r="E194">
        <v>4</v>
      </c>
      <c r="F194" t="s">
        <v>834</v>
      </c>
      <c r="G194">
        <v>1</v>
      </c>
      <c r="H194" t="s">
        <v>806</v>
      </c>
      <c r="I194">
        <v>1</v>
      </c>
      <c r="J194">
        <v>15.505599999999999</v>
      </c>
      <c r="K194">
        <v>6.1100000000000002E-2</v>
      </c>
    </row>
    <row r="195" spans="1:11" x14ac:dyDescent="0.2">
      <c r="A195">
        <v>63119</v>
      </c>
      <c r="B195" t="s">
        <v>1074</v>
      </c>
      <c r="C195" t="str">
        <f t="shared" ref="C195:C258" si="3">LEFT(B195,4)</f>
        <v>KMTG</v>
      </c>
      <c r="D195" t="s">
        <v>804</v>
      </c>
      <c r="E195">
        <v>4</v>
      </c>
      <c r="F195" t="s">
        <v>834</v>
      </c>
      <c r="G195">
        <v>1</v>
      </c>
      <c r="H195" t="s">
        <v>806</v>
      </c>
      <c r="I195">
        <v>1</v>
      </c>
      <c r="J195">
        <v>10.027799999999999</v>
      </c>
      <c r="K195">
        <v>1.3937999999999999</v>
      </c>
    </row>
    <row r="196" spans="1:11" x14ac:dyDescent="0.2">
      <c r="A196">
        <v>63119</v>
      </c>
      <c r="B196" t="s">
        <v>1074</v>
      </c>
      <c r="C196" t="str">
        <f t="shared" si="3"/>
        <v>KMTG</v>
      </c>
      <c r="D196" t="s">
        <v>807</v>
      </c>
      <c r="E196">
        <v>4</v>
      </c>
      <c r="F196" t="s">
        <v>834</v>
      </c>
      <c r="G196">
        <v>1</v>
      </c>
      <c r="H196" t="s">
        <v>806</v>
      </c>
      <c r="I196">
        <v>1</v>
      </c>
      <c r="J196">
        <v>10.0702</v>
      </c>
      <c r="K196">
        <v>1.3886000000000001</v>
      </c>
    </row>
    <row r="197" spans="1:11" x14ac:dyDescent="0.2">
      <c r="A197">
        <v>63119</v>
      </c>
      <c r="B197" t="s">
        <v>1074</v>
      </c>
      <c r="C197" t="str">
        <f t="shared" si="3"/>
        <v>KMTG</v>
      </c>
      <c r="D197" t="s">
        <v>808</v>
      </c>
      <c r="E197">
        <v>4</v>
      </c>
      <c r="F197" t="s">
        <v>834</v>
      </c>
      <c r="G197">
        <v>1</v>
      </c>
      <c r="H197" t="s">
        <v>806</v>
      </c>
      <c r="I197">
        <v>1</v>
      </c>
      <c r="J197">
        <v>6.5547000000000004</v>
      </c>
      <c r="K197">
        <v>0.82220000000000004</v>
      </c>
    </row>
    <row r="198" spans="1:11" x14ac:dyDescent="0.2">
      <c r="A198">
        <v>63119</v>
      </c>
      <c r="B198" t="s">
        <v>1074</v>
      </c>
      <c r="C198" t="str">
        <f t="shared" si="3"/>
        <v>KMTG</v>
      </c>
      <c r="D198" t="s">
        <v>809</v>
      </c>
      <c r="E198">
        <v>4</v>
      </c>
      <c r="F198" t="s">
        <v>834</v>
      </c>
      <c r="G198">
        <v>1</v>
      </c>
      <c r="H198" t="s">
        <v>806</v>
      </c>
      <c r="I198">
        <v>1</v>
      </c>
      <c r="J198">
        <v>8.4807000000000006</v>
      </c>
      <c r="K198">
        <v>1.4207000000000001</v>
      </c>
    </row>
    <row r="199" spans="1:11" x14ac:dyDescent="0.2">
      <c r="A199">
        <v>63173</v>
      </c>
      <c r="B199" t="s">
        <v>1117</v>
      </c>
      <c r="C199" t="str">
        <f t="shared" si="3"/>
        <v>KVRT</v>
      </c>
      <c r="D199" t="s">
        <v>804</v>
      </c>
      <c r="E199">
        <v>4</v>
      </c>
      <c r="F199" t="s">
        <v>834</v>
      </c>
      <c r="G199">
        <v>1</v>
      </c>
      <c r="H199" t="s">
        <v>806</v>
      </c>
      <c r="I199">
        <v>1</v>
      </c>
      <c r="J199">
        <v>12.8485</v>
      </c>
      <c r="K199">
        <v>1.7334000000000001</v>
      </c>
    </row>
    <row r="200" spans="1:11" x14ac:dyDescent="0.2">
      <c r="A200">
        <v>63173</v>
      </c>
      <c r="B200" t="s">
        <v>1117</v>
      </c>
      <c r="C200" t="str">
        <f t="shared" si="3"/>
        <v>KVRT</v>
      </c>
      <c r="D200" t="s">
        <v>807</v>
      </c>
      <c r="E200">
        <v>4</v>
      </c>
      <c r="F200" t="s">
        <v>834</v>
      </c>
      <c r="G200">
        <v>1</v>
      </c>
      <c r="H200" t="s">
        <v>806</v>
      </c>
      <c r="I200">
        <v>1</v>
      </c>
      <c r="J200">
        <v>10.972099999999999</v>
      </c>
      <c r="K200">
        <v>0.84809999999999997</v>
      </c>
    </row>
    <row r="201" spans="1:11" x14ac:dyDescent="0.2">
      <c r="A201">
        <v>63173</v>
      </c>
      <c r="B201" t="s">
        <v>1117</v>
      </c>
      <c r="C201" t="str">
        <f t="shared" si="3"/>
        <v>KVRT</v>
      </c>
      <c r="D201" t="s">
        <v>808</v>
      </c>
      <c r="E201">
        <v>4</v>
      </c>
      <c r="F201" t="s">
        <v>834</v>
      </c>
      <c r="G201">
        <v>1</v>
      </c>
      <c r="H201" t="s">
        <v>806</v>
      </c>
      <c r="I201">
        <v>1</v>
      </c>
      <c r="J201">
        <v>33.939500000000002</v>
      </c>
      <c r="K201">
        <v>5.6279000000000003</v>
      </c>
    </row>
    <row r="202" spans="1:11" x14ac:dyDescent="0.2">
      <c r="A202">
        <v>63173</v>
      </c>
      <c r="B202" t="s">
        <v>1117</v>
      </c>
      <c r="C202" t="str">
        <f t="shared" si="3"/>
        <v>KVRT</v>
      </c>
      <c r="D202" t="s">
        <v>809</v>
      </c>
      <c r="E202">
        <v>4</v>
      </c>
      <c r="F202" t="s">
        <v>834</v>
      </c>
      <c r="G202">
        <v>1</v>
      </c>
      <c r="H202" t="s">
        <v>806</v>
      </c>
      <c r="I202">
        <v>1</v>
      </c>
      <c r="J202">
        <v>33.933300000000003</v>
      </c>
      <c r="K202">
        <v>5.6435000000000004</v>
      </c>
    </row>
    <row r="203" spans="1:11" x14ac:dyDescent="0.2">
      <c r="A203">
        <v>63131</v>
      </c>
      <c r="B203" t="s">
        <v>1126</v>
      </c>
      <c r="C203" t="str">
        <f t="shared" si="3"/>
        <v>LMTM</v>
      </c>
      <c r="D203" t="s">
        <v>804</v>
      </c>
      <c r="E203">
        <v>4</v>
      </c>
      <c r="F203" t="s">
        <v>834</v>
      </c>
      <c r="G203">
        <v>1</v>
      </c>
      <c r="H203" t="s">
        <v>806</v>
      </c>
      <c r="I203">
        <v>1</v>
      </c>
      <c r="J203">
        <v>12.4063</v>
      </c>
      <c r="K203">
        <v>2.0139999999999998</v>
      </c>
    </row>
    <row r="204" spans="1:11" x14ac:dyDescent="0.2">
      <c r="A204">
        <v>63131</v>
      </c>
      <c r="B204" t="s">
        <v>1126</v>
      </c>
      <c r="C204" t="str">
        <f t="shared" si="3"/>
        <v>LMTM</v>
      </c>
      <c r="D204" t="s">
        <v>807</v>
      </c>
      <c r="E204">
        <v>4</v>
      </c>
      <c r="F204" t="s">
        <v>834</v>
      </c>
      <c r="G204">
        <v>1</v>
      </c>
      <c r="H204" t="s">
        <v>806</v>
      </c>
      <c r="I204">
        <v>1</v>
      </c>
      <c r="J204">
        <v>12.3649</v>
      </c>
      <c r="K204">
        <v>2.0078</v>
      </c>
    </row>
    <row r="205" spans="1:11" x14ac:dyDescent="0.2">
      <c r="A205">
        <v>63131</v>
      </c>
      <c r="B205" t="s">
        <v>1126</v>
      </c>
      <c r="C205" t="str">
        <f t="shared" si="3"/>
        <v>LMTM</v>
      </c>
      <c r="D205" t="s">
        <v>808</v>
      </c>
      <c r="E205">
        <v>4</v>
      </c>
      <c r="F205" t="s">
        <v>834</v>
      </c>
      <c r="G205">
        <v>1</v>
      </c>
      <c r="H205" t="s">
        <v>806</v>
      </c>
      <c r="I205">
        <v>1</v>
      </c>
      <c r="J205">
        <v>41.558700000000002</v>
      </c>
      <c r="K205">
        <v>3.3374000000000001</v>
      </c>
    </row>
    <row r="206" spans="1:11" x14ac:dyDescent="0.2">
      <c r="A206">
        <v>63131</v>
      </c>
      <c r="B206" t="s">
        <v>1126</v>
      </c>
      <c r="C206" t="str">
        <f t="shared" si="3"/>
        <v>LMTM</v>
      </c>
      <c r="D206" t="s">
        <v>809</v>
      </c>
      <c r="E206">
        <v>4</v>
      </c>
      <c r="F206" t="s">
        <v>834</v>
      </c>
      <c r="G206">
        <v>1</v>
      </c>
      <c r="H206" t="s">
        <v>806</v>
      </c>
      <c r="I206">
        <v>1</v>
      </c>
      <c r="J206">
        <v>39.884300000000003</v>
      </c>
      <c r="K206">
        <v>3.9990999999999999</v>
      </c>
    </row>
    <row r="207" spans="1:11" x14ac:dyDescent="0.2">
      <c r="A207">
        <v>63129</v>
      </c>
      <c r="B207" t="s">
        <v>1127</v>
      </c>
      <c r="C207" t="str">
        <f t="shared" si="3"/>
        <v>LMUT</v>
      </c>
      <c r="D207" t="s">
        <v>804</v>
      </c>
      <c r="E207">
        <v>4</v>
      </c>
      <c r="F207" t="s">
        <v>834</v>
      </c>
      <c r="G207">
        <v>1</v>
      </c>
      <c r="H207" t="s">
        <v>806</v>
      </c>
      <c r="I207">
        <v>1</v>
      </c>
      <c r="J207">
        <v>42.339500000000001</v>
      </c>
      <c r="K207">
        <v>3.4108999999999998</v>
      </c>
    </row>
    <row r="208" spans="1:11" x14ac:dyDescent="0.2">
      <c r="A208">
        <v>63129</v>
      </c>
      <c r="B208" t="s">
        <v>1127</v>
      </c>
      <c r="C208" t="str">
        <f t="shared" si="3"/>
        <v>LMUT</v>
      </c>
      <c r="D208" t="s">
        <v>807</v>
      </c>
      <c r="E208">
        <v>4</v>
      </c>
      <c r="F208" t="s">
        <v>834</v>
      </c>
      <c r="G208">
        <v>1</v>
      </c>
      <c r="H208" t="s">
        <v>806</v>
      </c>
      <c r="I208">
        <v>1</v>
      </c>
      <c r="J208">
        <v>43.2455</v>
      </c>
      <c r="K208">
        <v>4.4371</v>
      </c>
    </row>
    <row r="209" spans="1:11" x14ac:dyDescent="0.2">
      <c r="A209">
        <v>63129</v>
      </c>
      <c r="B209" t="s">
        <v>1127</v>
      </c>
      <c r="C209" t="str">
        <f t="shared" si="3"/>
        <v>LMUT</v>
      </c>
      <c r="D209" t="s">
        <v>808</v>
      </c>
      <c r="E209">
        <v>4</v>
      </c>
      <c r="F209" t="s">
        <v>834</v>
      </c>
      <c r="G209">
        <v>40</v>
      </c>
      <c r="H209" t="s">
        <v>832</v>
      </c>
      <c r="I209">
        <v>1</v>
      </c>
      <c r="J209">
        <v>27.778300000000002</v>
      </c>
      <c r="K209">
        <v>2.8186</v>
      </c>
    </row>
    <row r="210" spans="1:11" x14ac:dyDescent="0.2">
      <c r="A210">
        <v>63160</v>
      </c>
      <c r="B210" t="s">
        <v>1140</v>
      </c>
      <c r="C210" t="str">
        <f t="shared" si="3"/>
        <v>MERY</v>
      </c>
      <c r="D210" t="s">
        <v>804</v>
      </c>
      <c r="E210">
        <v>4</v>
      </c>
      <c r="F210" t="s">
        <v>834</v>
      </c>
      <c r="G210">
        <v>1</v>
      </c>
      <c r="H210" t="s">
        <v>806</v>
      </c>
      <c r="I210">
        <v>1</v>
      </c>
      <c r="J210">
        <v>3.6345999999999998</v>
      </c>
      <c r="K210">
        <v>-0.2175</v>
      </c>
    </row>
    <row r="211" spans="1:11" x14ac:dyDescent="0.2">
      <c r="A211">
        <v>63160</v>
      </c>
      <c r="B211" t="s">
        <v>1140</v>
      </c>
      <c r="C211" t="str">
        <f t="shared" si="3"/>
        <v>MERY</v>
      </c>
      <c r="D211" t="s">
        <v>807</v>
      </c>
      <c r="E211">
        <v>4</v>
      </c>
      <c r="F211" t="s">
        <v>834</v>
      </c>
      <c r="G211">
        <v>1</v>
      </c>
      <c r="H211" t="s">
        <v>806</v>
      </c>
      <c r="I211">
        <v>1</v>
      </c>
      <c r="J211">
        <v>3.6139000000000001</v>
      </c>
      <c r="K211">
        <v>-0.2382</v>
      </c>
    </row>
    <row r="212" spans="1:11" x14ac:dyDescent="0.2">
      <c r="A212">
        <v>63146</v>
      </c>
      <c r="B212" t="s">
        <v>1150</v>
      </c>
      <c r="C212" t="str">
        <f t="shared" si="3"/>
        <v>MLBU</v>
      </c>
      <c r="D212" t="s">
        <v>804</v>
      </c>
      <c r="E212">
        <v>4</v>
      </c>
      <c r="F212" t="s">
        <v>834</v>
      </c>
      <c r="G212">
        <v>1</v>
      </c>
      <c r="H212" t="s">
        <v>806</v>
      </c>
      <c r="I212">
        <v>1</v>
      </c>
      <c r="J212">
        <v>8.4952000000000005</v>
      </c>
      <c r="K212">
        <v>1.1929000000000001</v>
      </c>
    </row>
    <row r="213" spans="1:11" x14ac:dyDescent="0.2">
      <c r="A213">
        <v>63146</v>
      </c>
      <c r="B213" t="s">
        <v>1150</v>
      </c>
      <c r="C213" t="str">
        <f t="shared" si="3"/>
        <v>MLBU</v>
      </c>
      <c r="D213" t="s">
        <v>807</v>
      </c>
      <c r="E213">
        <v>4</v>
      </c>
      <c r="F213" t="s">
        <v>834</v>
      </c>
      <c r="G213">
        <v>1</v>
      </c>
      <c r="H213" t="s">
        <v>806</v>
      </c>
      <c r="I213">
        <v>1</v>
      </c>
      <c r="J213">
        <v>12.581300000000001</v>
      </c>
      <c r="K213">
        <v>1.7148000000000001</v>
      </c>
    </row>
    <row r="214" spans="1:11" x14ac:dyDescent="0.2">
      <c r="A214">
        <v>63146</v>
      </c>
      <c r="B214" t="s">
        <v>1150</v>
      </c>
      <c r="C214" t="str">
        <f t="shared" si="3"/>
        <v>MLBU</v>
      </c>
      <c r="D214" t="s">
        <v>808</v>
      </c>
      <c r="E214">
        <v>4</v>
      </c>
      <c r="F214" t="s">
        <v>834</v>
      </c>
      <c r="G214">
        <v>1</v>
      </c>
      <c r="H214" t="s">
        <v>806</v>
      </c>
      <c r="I214">
        <v>1</v>
      </c>
      <c r="J214">
        <v>34.484200000000001</v>
      </c>
      <c r="K214">
        <v>5.8154000000000003</v>
      </c>
    </row>
    <row r="215" spans="1:11" x14ac:dyDescent="0.2">
      <c r="A215">
        <v>63146</v>
      </c>
      <c r="B215" t="s">
        <v>1150</v>
      </c>
      <c r="C215" t="str">
        <f t="shared" si="3"/>
        <v>MLBU</v>
      </c>
      <c r="D215" t="s">
        <v>809</v>
      </c>
      <c r="E215">
        <v>4</v>
      </c>
      <c r="F215" t="s">
        <v>834</v>
      </c>
      <c r="G215">
        <v>1</v>
      </c>
      <c r="H215" t="s">
        <v>806</v>
      </c>
      <c r="I215">
        <v>1</v>
      </c>
      <c r="J215">
        <v>34.633299999999998</v>
      </c>
      <c r="K215">
        <v>5.8556999999999997</v>
      </c>
    </row>
    <row r="216" spans="1:11" x14ac:dyDescent="0.2">
      <c r="A216">
        <v>63142</v>
      </c>
      <c r="B216" t="s">
        <v>1173</v>
      </c>
      <c r="C216" t="str">
        <f t="shared" si="3"/>
        <v>NKAN</v>
      </c>
      <c r="D216" t="s">
        <v>804</v>
      </c>
      <c r="E216">
        <v>4</v>
      </c>
      <c r="F216" t="s">
        <v>834</v>
      </c>
      <c r="G216">
        <v>1</v>
      </c>
      <c r="H216" t="s">
        <v>806</v>
      </c>
      <c r="I216">
        <v>1</v>
      </c>
      <c r="J216">
        <v>14.7455</v>
      </c>
      <c r="K216">
        <v>2.1537999999999999</v>
      </c>
    </row>
    <row r="217" spans="1:11" x14ac:dyDescent="0.2">
      <c r="A217">
        <v>63142</v>
      </c>
      <c r="B217" t="s">
        <v>1173</v>
      </c>
      <c r="C217" t="str">
        <f t="shared" si="3"/>
        <v>NKAN</v>
      </c>
      <c r="D217" t="s">
        <v>807</v>
      </c>
      <c r="E217">
        <v>4</v>
      </c>
      <c r="F217" t="s">
        <v>834</v>
      </c>
      <c r="G217">
        <v>1</v>
      </c>
      <c r="H217" t="s">
        <v>806</v>
      </c>
      <c r="I217">
        <v>1</v>
      </c>
      <c r="J217">
        <v>14.807600000000001</v>
      </c>
      <c r="K217">
        <v>2.1642000000000001</v>
      </c>
    </row>
    <row r="218" spans="1:11" x14ac:dyDescent="0.2">
      <c r="A218">
        <v>63118</v>
      </c>
      <c r="B218" t="s">
        <v>1191</v>
      </c>
      <c r="C218" t="str">
        <f t="shared" si="3"/>
        <v>PBTR</v>
      </c>
      <c r="D218" t="s">
        <v>804</v>
      </c>
      <c r="E218">
        <v>4</v>
      </c>
      <c r="F218" t="s">
        <v>834</v>
      </c>
      <c r="G218">
        <v>1</v>
      </c>
      <c r="H218" t="s">
        <v>806</v>
      </c>
      <c r="I218">
        <v>1</v>
      </c>
      <c r="J218">
        <v>19.1557</v>
      </c>
      <c r="K218">
        <v>3.0247000000000002</v>
      </c>
    </row>
    <row r="219" spans="1:11" x14ac:dyDescent="0.2">
      <c r="A219">
        <v>63118</v>
      </c>
      <c r="B219" t="s">
        <v>1191</v>
      </c>
      <c r="C219" t="str">
        <f t="shared" si="3"/>
        <v>PBTR</v>
      </c>
      <c r="D219" t="s">
        <v>807</v>
      </c>
      <c r="E219">
        <v>4</v>
      </c>
      <c r="F219" t="s">
        <v>834</v>
      </c>
      <c r="G219">
        <v>1</v>
      </c>
      <c r="H219" t="s">
        <v>806</v>
      </c>
      <c r="I219">
        <v>1</v>
      </c>
      <c r="J219">
        <v>22.1845</v>
      </c>
      <c r="K219">
        <v>4.1025999999999998</v>
      </c>
    </row>
    <row r="220" spans="1:11" x14ac:dyDescent="0.2">
      <c r="A220">
        <v>63120</v>
      </c>
      <c r="B220" t="s">
        <v>1218</v>
      </c>
      <c r="C220" t="str">
        <f t="shared" si="3"/>
        <v>PKCB</v>
      </c>
      <c r="D220" t="s">
        <v>804</v>
      </c>
      <c r="E220">
        <v>4</v>
      </c>
      <c r="F220" t="s">
        <v>834</v>
      </c>
      <c r="G220">
        <v>1</v>
      </c>
      <c r="H220" t="s">
        <v>806</v>
      </c>
      <c r="I220">
        <v>1</v>
      </c>
      <c r="J220">
        <v>2.4552</v>
      </c>
      <c r="K220">
        <v>0.28170000000000001</v>
      </c>
    </row>
    <row r="221" spans="1:11" x14ac:dyDescent="0.2">
      <c r="A221">
        <v>63120</v>
      </c>
      <c r="B221" t="s">
        <v>1218</v>
      </c>
      <c r="C221" t="str">
        <f t="shared" si="3"/>
        <v>PKCB</v>
      </c>
      <c r="D221" t="s">
        <v>807</v>
      </c>
      <c r="E221">
        <v>4</v>
      </c>
      <c r="F221" t="s">
        <v>834</v>
      </c>
      <c r="G221">
        <v>1</v>
      </c>
      <c r="H221" t="s">
        <v>806</v>
      </c>
      <c r="I221">
        <v>1</v>
      </c>
      <c r="J221">
        <v>2.4178999999999999</v>
      </c>
      <c r="K221">
        <v>4.3499999999999997E-2</v>
      </c>
    </row>
    <row r="222" spans="1:11" x14ac:dyDescent="0.2">
      <c r="A222">
        <v>63145</v>
      </c>
      <c r="B222" t="s">
        <v>1219</v>
      </c>
      <c r="C222" t="str">
        <f t="shared" si="3"/>
        <v>PKID</v>
      </c>
      <c r="D222" t="s">
        <v>804</v>
      </c>
      <c r="E222">
        <v>4</v>
      </c>
      <c r="F222" t="s">
        <v>834</v>
      </c>
      <c r="G222">
        <v>1</v>
      </c>
      <c r="H222" t="s">
        <v>806</v>
      </c>
      <c r="I222">
        <v>1</v>
      </c>
      <c r="J222">
        <v>5.4146000000000001</v>
      </c>
      <c r="K222">
        <v>0.65339999999999998</v>
      </c>
    </row>
    <row r="223" spans="1:11" x14ac:dyDescent="0.2">
      <c r="A223">
        <v>63145</v>
      </c>
      <c r="B223" t="s">
        <v>1219</v>
      </c>
      <c r="C223" t="str">
        <f t="shared" si="3"/>
        <v>PKID</v>
      </c>
      <c r="D223" t="s">
        <v>807</v>
      </c>
      <c r="E223">
        <v>4</v>
      </c>
      <c r="F223" t="s">
        <v>834</v>
      </c>
      <c r="G223">
        <v>1</v>
      </c>
      <c r="H223" t="s">
        <v>806</v>
      </c>
      <c r="I223">
        <v>1</v>
      </c>
      <c r="J223">
        <v>9.6611999999999991</v>
      </c>
      <c r="K223">
        <v>1.4279999999999999</v>
      </c>
    </row>
    <row r="224" spans="1:11" x14ac:dyDescent="0.2">
      <c r="A224">
        <v>63145</v>
      </c>
      <c r="B224" t="s">
        <v>1219</v>
      </c>
      <c r="C224" t="str">
        <f t="shared" si="3"/>
        <v>PKID</v>
      </c>
      <c r="D224" t="s">
        <v>808</v>
      </c>
      <c r="E224">
        <v>4</v>
      </c>
      <c r="F224" t="s">
        <v>834</v>
      </c>
      <c r="G224">
        <v>1</v>
      </c>
      <c r="H224" t="s">
        <v>806</v>
      </c>
      <c r="I224">
        <v>1</v>
      </c>
      <c r="J224">
        <v>12.6652</v>
      </c>
      <c r="K224">
        <v>-1.3047</v>
      </c>
    </row>
    <row r="225" spans="1:11" x14ac:dyDescent="0.2">
      <c r="A225">
        <v>63145</v>
      </c>
      <c r="B225" t="s">
        <v>1219</v>
      </c>
      <c r="C225" t="str">
        <f t="shared" si="3"/>
        <v>PKID</v>
      </c>
      <c r="D225" t="s">
        <v>809</v>
      </c>
      <c r="E225">
        <v>4</v>
      </c>
      <c r="F225" t="s">
        <v>834</v>
      </c>
      <c r="G225">
        <v>1</v>
      </c>
      <c r="H225" t="s">
        <v>806</v>
      </c>
      <c r="I225">
        <v>1</v>
      </c>
      <c r="J225">
        <v>12.6579</v>
      </c>
      <c r="K225">
        <v>-1.2374000000000001</v>
      </c>
    </row>
    <row r="226" spans="1:11" x14ac:dyDescent="0.2">
      <c r="A226">
        <v>63133</v>
      </c>
      <c r="B226" t="s">
        <v>1222</v>
      </c>
      <c r="C226" t="str">
        <f t="shared" si="3"/>
        <v>PKLN</v>
      </c>
      <c r="D226" t="s">
        <v>804</v>
      </c>
      <c r="E226">
        <v>4</v>
      </c>
      <c r="F226" t="s">
        <v>834</v>
      </c>
      <c r="G226">
        <v>1</v>
      </c>
      <c r="H226" t="s">
        <v>806</v>
      </c>
      <c r="I226">
        <v>1</v>
      </c>
      <c r="J226">
        <v>6.7545999999999999</v>
      </c>
      <c r="K226">
        <v>0.68759999999999999</v>
      </c>
    </row>
    <row r="227" spans="1:11" x14ac:dyDescent="0.2">
      <c r="A227">
        <v>63133</v>
      </c>
      <c r="B227" t="s">
        <v>1222</v>
      </c>
      <c r="C227" t="str">
        <f t="shared" si="3"/>
        <v>PKLN</v>
      </c>
      <c r="D227" t="s">
        <v>807</v>
      </c>
      <c r="E227">
        <v>4</v>
      </c>
      <c r="F227" t="s">
        <v>834</v>
      </c>
      <c r="G227">
        <v>1</v>
      </c>
      <c r="H227" t="s">
        <v>806</v>
      </c>
      <c r="I227">
        <v>1</v>
      </c>
      <c r="J227">
        <v>16.7699</v>
      </c>
      <c r="K227">
        <v>2.9521999999999999</v>
      </c>
    </row>
    <row r="228" spans="1:11" x14ac:dyDescent="0.2">
      <c r="A228">
        <v>63133</v>
      </c>
      <c r="B228" t="s">
        <v>1222</v>
      </c>
      <c r="C228" t="str">
        <f t="shared" si="3"/>
        <v>PKLN</v>
      </c>
      <c r="D228" t="s">
        <v>808</v>
      </c>
      <c r="E228">
        <v>4</v>
      </c>
      <c r="F228" t="s">
        <v>834</v>
      </c>
      <c r="G228">
        <v>1</v>
      </c>
      <c r="H228" t="s">
        <v>806</v>
      </c>
      <c r="I228">
        <v>1</v>
      </c>
      <c r="J228">
        <v>35.492800000000003</v>
      </c>
      <c r="K228">
        <v>2.4500000000000002</v>
      </c>
    </row>
    <row r="229" spans="1:11" x14ac:dyDescent="0.2">
      <c r="A229">
        <v>63133</v>
      </c>
      <c r="B229" t="s">
        <v>1222</v>
      </c>
      <c r="C229" t="str">
        <f t="shared" si="3"/>
        <v>PKLN</v>
      </c>
      <c r="D229" t="s">
        <v>809</v>
      </c>
      <c r="E229">
        <v>4</v>
      </c>
      <c r="F229" t="s">
        <v>834</v>
      </c>
      <c r="G229">
        <v>1</v>
      </c>
      <c r="H229" t="s">
        <v>806</v>
      </c>
      <c r="I229">
        <v>1</v>
      </c>
      <c r="J229">
        <v>35.365400000000001</v>
      </c>
      <c r="K229">
        <v>2.4571999999999998</v>
      </c>
    </row>
    <row r="230" spans="1:11" x14ac:dyDescent="0.2">
      <c r="A230">
        <v>63147</v>
      </c>
      <c r="B230" t="s">
        <v>1269</v>
      </c>
      <c r="C230" t="str">
        <f t="shared" si="3"/>
        <v>SBGS</v>
      </c>
      <c r="D230" t="s">
        <v>804</v>
      </c>
      <c r="E230">
        <v>4</v>
      </c>
      <c r="F230" t="s">
        <v>834</v>
      </c>
      <c r="G230">
        <v>1</v>
      </c>
      <c r="H230" t="s">
        <v>806</v>
      </c>
      <c r="I230">
        <v>1</v>
      </c>
      <c r="J230">
        <v>6.4283999999999999</v>
      </c>
      <c r="K230">
        <v>0.92369999999999997</v>
      </c>
    </row>
    <row r="231" spans="1:11" x14ac:dyDescent="0.2">
      <c r="A231">
        <v>63147</v>
      </c>
      <c r="B231" t="s">
        <v>1269</v>
      </c>
      <c r="C231" t="str">
        <f t="shared" si="3"/>
        <v>SBGS</v>
      </c>
      <c r="D231" t="s">
        <v>807</v>
      </c>
      <c r="E231">
        <v>4</v>
      </c>
      <c r="F231" t="s">
        <v>834</v>
      </c>
      <c r="G231">
        <v>1</v>
      </c>
      <c r="H231" t="s">
        <v>806</v>
      </c>
      <c r="I231">
        <v>1</v>
      </c>
      <c r="J231">
        <v>6.3932000000000002</v>
      </c>
      <c r="K231">
        <v>0.88849999999999996</v>
      </c>
    </row>
    <row r="232" spans="1:11" x14ac:dyDescent="0.2">
      <c r="A232">
        <v>63147</v>
      </c>
      <c r="B232" t="s">
        <v>1269</v>
      </c>
      <c r="C232" t="str">
        <f t="shared" si="3"/>
        <v>SBGS</v>
      </c>
      <c r="D232" t="s">
        <v>808</v>
      </c>
      <c r="E232">
        <v>4</v>
      </c>
      <c r="F232" t="s">
        <v>834</v>
      </c>
      <c r="G232">
        <v>1</v>
      </c>
      <c r="H232" t="s">
        <v>806</v>
      </c>
      <c r="I232">
        <v>1</v>
      </c>
      <c r="J232">
        <v>0</v>
      </c>
      <c r="K232">
        <v>0</v>
      </c>
    </row>
    <row r="233" spans="1:11" x14ac:dyDescent="0.2">
      <c r="A233">
        <v>63147</v>
      </c>
      <c r="B233" t="s">
        <v>1269</v>
      </c>
      <c r="C233" t="str">
        <f t="shared" si="3"/>
        <v>SBGS</v>
      </c>
      <c r="D233" t="s">
        <v>809</v>
      </c>
      <c r="E233">
        <v>4</v>
      </c>
      <c r="F233" t="s">
        <v>834</v>
      </c>
      <c r="G233">
        <v>1</v>
      </c>
      <c r="H233" t="s">
        <v>806</v>
      </c>
      <c r="I233">
        <v>1</v>
      </c>
      <c r="J233">
        <v>11.939299999999999</v>
      </c>
      <c r="K233">
        <v>1.75</v>
      </c>
    </row>
    <row r="234" spans="1:11" x14ac:dyDescent="0.2">
      <c r="A234">
        <v>63125</v>
      </c>
      <c r="B234" t="s">
        <v>1294</v>
      </c>
      <c r="C234" t="str">
        <f t="shared" si="3"/>
        <v>SIHY</v>
      </c>
      <c r="D234" t="s">
        <v>804</v>
      </c>
      <c r="E234">
        <v>4</v>
      </c>
      <c r="F234" t="s">
        <v>834</v>
      </c>
      <c r="G234">
        <v>1</v>
      </c>
      <c r="H234" t="s">
        <v>806</v>
      </c>
      <c r="I234">
        <v>1</v>
      </c>
      <c r="J234">
        <v>0.1139</v>
      </c>
      <c r="K234">
        <v>1.7189000000000001</v>
      </c>
    </row>
    <row r="235" spans="1:11" x14ac:dyDescent="0.2">
      <c r="A235">
        <v>63125</v>
      </c>
      <c r="B235" t="s">
        <v>1294</v>
      </c>
      <c r="C235" t="str">
        <f t="shared" si="3"/>
        <v>SIHY</v>
      </c>
      <c r="D235" t="s">
        <v>807</v>
      </c>
      <c r="E235">
        <v>4</v>
      </c>
      <c r="F235" t="s">
        <v>834</v>
      </c>
      <c r="G235">
        <v>1</v>
      </c>
      <c r="H235" t="s">
        <v>806</v>
      </c>
      <c r="I235">
        <v>1</v>
      </c>
      <c r="J235">
        <v>0.10349999999999999</v>
      </c>
      <c r="K235">
        <v>1.6256999999999999</v>
      </c>
    </row>
    <row r="236" spans="1:11" x14ac:dyDescent="0.2">
      <c r="A236">
        <v>63111</v>
      </c>
      <c r="B236" t="s">
        <v>1295</v>
      </c>
      <c r="C236" t="str">
        <f t="shared" si="3"/>
        <v>SIKD</v>
      </c>
      <c r="D236" t="s">
        <v>804</v>
      </c>
      <c r="E236">
        <v>4</v>
      </c>
      <c r="F236" t="s">
        <v>834</v>
      </c>
      <c r="G236">
        <v>1</v>
      </c>
      <c r="H236" t="s">
        <v>806</v>
      </c>
      <c r="I236">
        <v>1</v>
      </c>
      <c r="J236">
        <v>18.1492</v>
      </c>
      <c r="K236">
        <v>2.5608</v>
      </c>
    </row>
    <row r="237" spans="1:11" x14ac:dyDescent="0.2">
      <c r="A237">
        <v>63111</v>
      </c>
      <c r="B237" t="s">
        <v>1295</v>
      </c>
      <c r="C237" t="str">
        <f t="shared" si="3"/>
        <v>SIKD</v>
      </c>
      <c r="D237" t="s">
        <v>807</v>
      </c>
      <c r="E237">
        <v>4</v>
      </c>
      <c r="F237" t="s">
        <v>834</v>
      </c>
      <c r="G237">
        <v>1</v>
      </c>
      <c r="H237" t="s">
        <v>806</v>
      </c>
      <c r="I237">
        <v>1</v>
      </c>
      <c r="J237">
        <v>18.1264</v>
      </c>
      <c r="K237">
        <v>2.5855999999999999</v>
      </c>
    </row>
    <row r="238" spans="1:11" x14ac:dyDescent="0.2">
      <c r="A238">
        <v>63111</v>
      </c>
      <c r="B238" t="s">
        <v>1295</v>
      </c>
      <c r="C238" t="str">
        <f t="shared" si="3"/>
        <v>SIKD</v>
      </c>
      <c r="D238" t="s">
        <v>808</v>
      </c>
      <c r="E238">
        <v>4</v>
      </c>
      <c r="F238" t="s">
        <v>834</v>
      </c>
      <c r="G238">
        <v>1</v>
      </c>
      <c r="H238" t="s">
        <v>806</v>
      </c>
      <c r="I238">
        <v>1</v>
      </c>
      <c r="J238">
        <v>23.8703</v>
      </c>
      <c r="K238">
        <v>-0.85119999999999996</v>
      </c>
    </row>
    <row r="239" spans="1:11" x14ac:dyDescent="0.2">
      <c r="A239">
        <v>63111</v>
      </c>
      <c r="B239" t="s">
        <v>1295</v>
      </c>
      <c r="C239" t="str">
        <f t="shared" si="3"/>
        <v>SIKD</v>
      </c>
      <c r="D239" t="s">
        <v>809</v>
      </c>
      <c r="E239">
        <v>4</v>
      </c>
      <c r="F239" t="s">
        <v>834</v>
      </c>
      <c r="G239">
        <v>1</v>
      </c>
      <c r="H239" t="s">
        <v>806</v>
      </c>
      <c r="I239">
        <v>1</v>
      </c>
      <c r="J239">
        <v>23.921099999999999</v>
      </c>
      <c r="K239">
        <v>-0.89470000000000005</v>
      </c>
    </row>
    <row r="240" spans="1:11" x14ac:dyDescent="0.2">
      <c r="A240">
        <v>63157</v>
      </c>
      <c r="B240" t="s">
        <v>1328</v>
      </c>
      <c r="C240" t="str">
        <f t="shared" si="3"/>
        <v>SRVR</v>
      </c>
      <c r="D240" t="s">
        <v>810</v>
      </c>
      <c r="E240">
        <v>4</v>
      </c>
      <c r="F240" t="s">
        <v>834</v>
      </c>
      <c r="G240">
        <v>1</v>
      </c>
      <c r="H240" t="s">
        <v>806</v>
      </c>
      <c r="I240">
        <v>1</v>
      </c>
      <c r="J240">
        <v>7.6938000000000004</v>
      </c>
      <c r="K240">
        <v>0.2175</v>
      </c>
    </row>
    <row r="241" spans="1:11" x14ac:dyDescent="0.2">
      <c r="A241">
        <v>63157</v>
      </c>
      <c r="B241" t="s">
        <v>1328</v>
      </c>
      <c r="C241" t="str">
        <f t="shared" si="3"/>
        <v>SRVR</v>
      </c>
      <c r="D241" t="s">
        <v>812</v>
      </c>
      <c r="E241">
        <v>4</v>
      </c>
      <c r="F241" t="s">
        <v>834</v>
      </c>
      <c r="G241">
        <v>1</v>
      </c>
      <c r="H241" t="s">
        <v>806</v>
      </c>
      <c r="I241">
        <v>1</v>
      </c>
      <c r="J241">
        <v>7.7031000000000001</v>
      </c>
      <c r="K241">
        <v>0.2195</v>
      </c>
    </row>
    <row r="242" spans="1:11" x14ac:dyDescent="0.2">
      <c r="A242">
        <v>463159</v>
      </c>
      <c r="B242" t="s">
        <v>1331</v>
      </c>
      <c r="C242" t="str">
        <f t="shared" si="3"/>
        <v>SSLS</v>
      </c>
      <c r="D242" t="s">
        <v>804</v>
      </c>
      <c r="E242">
        <v>4</v>
      </c>
      <c r="F242" t="s">
        <v>834</v>
      </c>
      <c r="G242">
        <v>1</v>
      </c>
      <c r="H242" t="s">
        <v>806</v>
      </c>
      <c r="I242">
        <v>1</v>
      </c>
      <c r="J242">
        <v>15.532400000000001</v>
      </c>
      <c r="K242">
        <v>3.6941999999999999</v>
      </c>
    </row>
    <row r="243" spans="1:11" x14ac:dyDescent="0.2">
      <c r="A243">
        <v>63140</v>
      </c>
      <c r="B243" t="s">
        <v>1332</v>
      </c>
      <c r="C243" t="str">
        <f t="shared" si="3"/>
        <v>SSPT</v>
      </c>
      <c r="D243" t="s">
        <v>804</v>
      </c>
      <c r="E243">
        <v>4</v>
      </c>
      <c r="F243" t="s">
        <v>834</v>
      </c>
      <c r="G243">
        <v>1</v>
      </c>
      <c r="H243" t="s">
        <v>806</v>
      </c>
      <c r="I243">
        <v>1</v>
      </c>
      <c r="J243">
        <v>13.1084</v>
      </c>
      <c r="K243">
        <v>-2.7719999999999998</v>
      </c>
    </row>
    <row r="244" spans="1:11" x14ac:dyDescent="0.2">
      <c r="A244">
        <v>63140</v>
      </c>
      <c r="B244" t="s">
        <v>1332</v>
      </c>
      <c r="C244" t="str">
        <f t="shared" si="3"/>
        <v>SSPT</v>
      </c>
      <c r="D244" t="s">
        <v>807</v>
      </c>
      <c r="E244">
        <v>4</v>
      </c>
      <c r="F244" t="s">
        <v>834</v>
      </c>
      <c r="G244">
        <v>1</v>
      </c>
      <c r="H244" t="s">
        <v>806</v>
      </c>
      <c r="I244">
        <v>1</v>
      </c>
      <c r="J244">
        <v>13.0877</v>
      </c>
      <c r="K244">
        <v>-2.7854999999999999</v>
      </c>
    </row>
    <row r="245" spans="1:11" x14ac:dyDescent="0.2">
      <c r="A245">
        <v>63126</v>
      </c>
      <c r="B245" t="s">
        <v>1342</v>
      </c>
      <c r="C245" t="str">
        <f t="shared" si="3"/>
        <v>SYPS</v>
      </c>
      <c r="D245" t="s">
        <v>804</v>
      </c>
      <c r="E245">
        <v>4</v>
      </c>
      <c r="F245" t="s">
        <v>834</v>
      </c>
      <c r="G245">
        <v>1</v>
      </c>
      <c r="H245" t="s">
        <v>806</v>
      </c>
      <c r="I245">
        <v>1</v>
      </c>
      <c r="J245">
        <v>0.35520000000000002</v>
      </c>
      <c r="K245">
        <v>-1.9699999999999999E-2</v>
      </c>
    </row>
    <row r="246" spans="1:11" x14ac:dyDescent="0.2">
      <c r="A246">
        <v>63126</v>
      </c>
      <c r="B246" t="s">
        <v>1342</v>
      </c>
      <c r="C246" t="str">
        <f t="shared" si="3"/>
        <v>SYPS</v>
      </c>
      <c r="D246" t="s">
        <v>807</v>
      </c>
      <c r="E246">
        <v>4</v>
      </c>
      <c r="F246" t="s">
        <v>834</v>
      </c>
      <c r="G246">
        <v>1</v>
      </c>
      <c r="H246" t="s">
        <v>806</v>
      </c>
      <c r="I246">
        <v>1</v>
      </c>
      <c r="J246">
        <v>0.35720000000000002</v>
      </c>
      <c r="K246">
        <v>-2.07E-2</v>
      </c>
    </row>
    <row r="247" spans="1:11" x14ac:dyDescent="0.2">
      <c r="A247">
        <v>63134</v>
      </c>
      <c r="B247" t="s">
        <v>1345</v>
      </c>
      <c r="C247" t="str">
        <f t="shared" si="3"/>
        <v>TASK</v>
      </c>
      <c r="D247" t="s">
        <v>804</v>
      </c>
      <c r="E247">
        <v>4</v>
      </c>
      <c r="F247" t="s">
        <v>834</v>
      </c>
      <c r="G247">
        <v>1</v>
      </c>
      <c r="H247" t="s">
        <v>806</v>
      </c>
      <c r="I247">
        <v>1</v>
      </c>
      <c r="J247">
        <v>4.8460999999999999</v>
      </c>
      <c r="K247">
        <v>1.2012</v>
      </c>
    </row>
    <row r="248" spans="1:11" x14ac:dyDescent="0.2">
      <c r="A248">
        <v>63134</v>
      </c>
      <c r="B248" t="s">
        <v>1345</v>
      </c>
      <c r="C248" t="str">
        <f t="shared" si="3"/>
        <v>TASK</v>
      </c>
      <c r="D248" t="s">
        <v>807</v>
      </c>
      <c r="E248">
        <v>4</v>
      </c>
      <c r="F248" t="s">
        <v>834</v>
      </c>
      <c r="G248">
        <v>1</v>
      </c>
      <c r="H248" t="s">
        <v>806</v>
      </c>
      <c r="I248">
        <v>1</v>
      </c>
      <c r="J248">
        <v>4.7218999999999998</v>
      </c>
      <c r="K248">
        <v>1.1597999999999999</v>
      </c>
    </row>
    <row r="249" spans="1:11" x14ac:dyDescent="0.2">
      <c r="A249">
        <v>63134</v>
      </c>
      <c r="B249" t="s">
        <v>1345</v>
      </c>
      <c r="C249" t="str">
        <f t="shared" si="3"/>
        <v>TASK</v>
      </c>
      <c r="D249" t="s">
        <v>808</v>
      </c>
      <c r="E249">
        <v>4</v>
      </c>
      <c r="F249" t="s">
        <v>834</v>
      </c>
      <c r="G249">
        <v>1</v>
      </c>
      <c r="H249" t="s">
        <v>806</v>
      </c>
      <c r="I249">
        <v>1</v>
      </c>
      <c r="J249">
        <v>9.4603000000000002</v>
      </c>
      <c r="K249">
        <v>0.94230000000000003</v>
      </c>
    </row>
    <row r="250" spans="1:11" x14ac:dyDescent="0.2">
      <c r="A250">
        <v>63134</v>
      </c>
      <c r="B250" t="s">
        <v>1345</v>
      </c>
      <c r="C250" t="str">
        <f t="shared" si="3"/>
        <v>TASK</v>
      </c>
      <c r="D250" t="s">
        <v>809</v>
      </c>
      <c r="E250">
        <v>4</v>
      </c>
      <c r="F250" t="s">
        <v>834</v>
      </c>
      <c r="G250">
        <v>1</v>
      </c>
      <c r="H250" t="s">
        <v>806</v>
      </c>
      <c r="I250">
        <v>1</v>
      </c>
      <c r="J250">
        <v>11.7529</v>
      </c>
      <c r="K250">
        <v>1.2643</v>
      </c>
    </row>
    <row r="251" spans="1:11" x14ac:dyDescent="0.2">
      <c r="A251">
        <v>63135</v>
      </c>
      <c r="B251" t="s">
        <v>1348</v>
      </c>
      <c r="C251" t="str">
        <f t="shared" si="3"/>
        <v>TCMT</v>
      </c>
      <c r="D251" t="s">
        <v>804</v>
      </c>
      <c r="E251">
        <v>4</v>
      </c>
      <c r="F251" t="s">
        <v>834</v>
      </c>
      <c r="G251">
        <v>1</v>
      </c>
      <c r="H251" t="s">
        <v>806</v>
      </c>
      <c r="I251">
        <v>1</v>
      </c>
      <c r="J251">
        <v>6.5629999999999997</v>
      </c>
      <c r="K251">
        <v>1.3907</v>
      </c>
    </row>
    <row r="252" spans="1:11" x14ac:dyDescent="0.2">
      <c r="A252">
        <v>63135</v>
      </c>
      <c r="B252" t="s">
        <v>1348</v>
      </c>
      <c r="C252" t="str">
        <f t="shared" si="3"/>
        <v>TCMT</v>
      </c>
      <c r="D252" t="s">
        <v>807</v>
      </c>
      <c r="E252">
        <v>4</v>
      </c>
      <c r="F252" t="s">
        <v>834</v>
      </c>
      <c r="G252">
        <v>1</v>
      </c>
      <c r="H252" t="s">
        <v>806</v>
      </c>
      <c r="I252">
        <v>1</v>
      </c>
      <c r="J252">
        <v>9.9169999999999998</v>
      </c>
      <c r="K252">
        <v>1.5377000000000001</v>
      </c>
    </row>
    <row r="253" spans="1:11" x14ac:dyDescent="0.2">
      <c r="A253">
        <v>63135</v>
      </c>
      <c r="B253" t="s">
        <v>1348</v>
      </c>
      <c r="C253" t="str">
        <f t="shared" si="3"/>
        <v>TCMT</v>
      </c>
      <c r="D253" t="s">
        <v>808</v>
      </c>
      <c r="E253">
        <v>4</v>
      </c>
      <c r="F253" t="s">
        <v>834</v>
      </c>
      <c r="G253">
        <v>1</v>
      </c>
      <c r="H253" t="s">
        <v>806</v>
      </c>
      <c r="I253">
        <v>1</v>
      </c>
      <c r="J253">
        <v>2.5068999999999999</v>
      </c>
      <c r="K253">
        <v>0.94440000000000002</v>
      </c>
    </row>
    <row r="254" spans="1:11" x14ac:dyDescent="0.2">
      <c r="A254">
        <v>63135</v>
      </c>
      <c r="B254" t="s">
        <v>1348</v>
      </c>
      <c r="C254" t="str">
        <f t="shared" si="3"/>
        <v>TCMT</v>
      </c>
      <c r="D254" t="s">
        <v>809</v>
      </c>
      <c r="E254">
        <v>4</v>
      </c>
      <c r="F254" t="s">
        <v>834</v>
      </c>
      <c r="G254">
        <v>1</v>
      </c>
      <c r="H254" t="s">
        <v>806</v>
      </c>
      <c r="I254">
        <v>1</v>
      </c>
      <c r="J254">
        <v>2.5173000000000001</v>
      </c>
      <c r="K254">
        <v>0.95369999999999999</v>
      </c>
    </row>
    <row r="255" spans="1:11" x14ac:dyDescent="0.2">
      <c r="A255">
        <v>63150</v>
      </c>
      <c r="B255" t="s">
        <v>1357</v>
      </c>
      <c r="C255" t="str">
        <f t="shared" si="3"/>
        <v>TINE</v>
      </c>
      <c r="D255" t="s">
        <v>804</v>
      </c>
      <c r="E255">
        <v>4</v>
      </c>
      <c r="F255" t="s">
        <v>834</v>
      </c>
      <c r="G255">
        <v>1</v>
      </c>
      <c r="H255" t="s">
        <v>806</v>
      </c>
      <c r="I255">
        <v>1</v>
      </c>
      <c r="J255">
        <v>8.6288</v>
      </c>
      <c r="K255">
        <v>1.4311</v>
      </c>
    </row>
    <row r="256" spans="1:11" x14ac:dyDescent="0.2">
      <c r="A256">
        <v>63150</v>
      </c>
      <c r="B256" t="s">
        <v>1357</v>
      </c>
      <c r="C256" t="str">
        <f t="shared" si="3"/>
        <v>TINE</v>
      </c>
      <c r="D256" t="s">
        <v>807</v>
      </c>
      <c r="E256">
        <v>4</v>
      </c>
      <c r="F256" t="s">
        <v>834</v>
      </c>
      <c r="G256">
        <v>1</v>
      </c>
      <c r="H256" t="s">
        <v>806</v>
      </c>
      <c r="I256">
        <v>1</v>
      </c>
      <c r="J256">
        <v>8.5884</v>
      </c>
      <c r="K256">
        <v>1.4114</v>
      </c>
    </row>
    <row r="257" spans="1:11" x14ac:dyDescent="0.2">
      <c r="A257">
        <v>63130</v>
      </c>
      <c r="B257" t="s">
        <v>1358</v>
      </c>
      <c r="C257" t="str">
        <f t="shared" si="3"/>
        <v>TINT</v>
      </c>
      <c r="D257" t="s">
        <v>804</v>
      </c>
      <c r="E257">
        <v>4</v>
      </c>
      <c r="F257" t="s">
        <v>834</v>
      </c>
      <c r="G257">
        <v>1</v>
      </c>
      <c r="H257" t="s">
        <v>806</v>
      </c>
      <c r="I257">
        <v>1</v>
      </c>
      <c r="J257">
        <v>10.6242</v>
      </c>
      <c r="K257">
        <v>1.5015000000000001</v>
      </c>
    </row>
    <row r="258" spans="1:11" x14ac:dyDescent="0.2">
      <c r="A258">
        <v>63130</v>
      </c>
      <c r="B258" t="s">
        <v>1358</v>
      </c>
      <c r="C258" t="str">
        <f t="shared" si="3"/>
        <v>TINT</v>
      </c>
      <c r="D258" t="s">
        <v>807</v>
      </c>
      <c r="E258">
        <v>4</v>
      </c>
      <c r="F258" t="s">
        <v>834</v>
      </c>
      <c r="G258">
        <v>1</v>
      </c>
      <c r="H258" t="s">
        <v>806</v>
      </c>
      <c r="I258">
        <v>1</v>
      </c>
      <c r="J258">
        <v>10.4544</v>
      </c>
      <c r="K258">
        <v>1.3751</v>
      </c>
    </row>
    <row r="259" spans="1:11" x14ac:dyDescent="0.2">
      <c r="A259">
        <v>563130</v>
      </c>
      <c r="B259" t="s">
        <v>1359</v>
      </c>
      <c r="C259" t="str">
        <f t="shared" ref="C259:C322" si="4">LEFT(B259,4)</f>
        <v>TINT</v>
      </c>
      <c r="D259" t="s">
        <v>808</v>
      </c>
      <c r="E259">
        <v>4</v>
      </c>
      <c r="F259" t="s">
        <v>834</v>
      </c>
      <c r="G259">
        <v>1</v>
      </c>
      <c r="H259" t="s">
        <v>806</v>
      </c>
      <c r="I259">
        <v>1</v>
      </c>
      <c r="J259">
        <v>6.4718999999999998</v>
      </c>
      <c r="K259">
        <v>0.73519999999999996</v>
      </c>
    </row>
    <row r="260" spans="1:11" x14ac:dyDescent="0.2">
      <c r="A260">
        <v>63206</v>
      </c>
      <c r="B260" t="s">
        <v>1376</v>
      </c>
      <c r="C260" t="str">
        <f t="shared" si="4"/>
        <v>TMGR</v>
      </c>
      <c r="D260" t="s">
        <v>804</v>
      </c>
      <c r="E260">
        <v>4</v>
      </c>
      <c r="F260" t="s">
        <v>834</v>
      </c>
      <c r="G260">
        <v>1</v>
      </c>
      <c r="H260" t="s">
        <v>806</v>
      </c>
      <c r="I260">
        <v>1</v>
      </c>
      <c r="J260">
        <v>6.0472999999999999</v>
      </c>
      <c r="K260">
        <v>-2.2780999999999998</v>
      </c>
    </row>
    <row r="261" spans="1:11" x14ac:dyDescent="0.2">
      <c r="A261">
        <v>63127</v>
      </c>
      <c r="B261" t="s">
        <v>1378</v>
      </c>
      <c r="C261" t="str">
        <f t="shared" si="4"/>
        <v>TMOH</v>
      </c>
      <c r="D261" t="s">
        <v>808</v>
      </c>
      <c r="E261">
        <v>4</v>
      </c>
      <c r="F261" t="s">
        <v>834</v>
      </c>
      <c r="G261">
        <v>1</v>
      </c>
      <c r="H261" t="s">
        <v>806</v>
      </c>
      <c r="I261">
        <v>1</v>
      </c>
      <c r="J261">
        <v>11.390499999999999</v>
      </c>
      <c r="K261">
        <v>-0.50739999999999996</v>
      </c>
    </row>
    <row r="262" spans="1:11" x14ac:dyDescent="0.2">
      <c r="A262">
        <v>63127</v>
      </c>
      <c r="B262" t="s">
        <v>1378</v>
      </c>
      <c r="C262" t="str">
        <f t="shared" si="4"/>
        <v>TMOH</v>
      </c>
      <c r="D262" t="s">
        <v>809</v>
      </c>
      <c r="E262">
        <v>4</v>
      </c>
      <c r="F262" t="s">
        <v>834</v>
      </c>
      <c r="G262">
        <v>1</v>
      </c>
      <c r="H262" t="s">
        <v>806</v>
      </c>
      <c r="I262">
        <v>1</v>
      </c>
      <c r="J262">
        <v>11.214399999999999</v>
      </c>
      <c r="K262">
        <v>-0.4763</v>
      </c>
    </row>
    <row r="263" spans="1:11" x14ac:dyDescent="0.2">
      <c r="A263">
        <v>63154</v>
      </c>
      <c r="B263" t="s">
        <v>1386</v>
      </c>
      <c r="C263" t="str">
        <f t="shared" si="4"/>
        <v>TPID</v>
      </c>
      <c r="D263" t="s">
        <v>804</v>
      </c>
      <c r="E263">
        <v>4</v>
      </c>
      <c r="F263" t="s">
        <v>834</v>
      </c>
      <c r="G263">
        <v>1</v>
      </c>
      <c r="H263" t="s">
        <v>806</v>
      </c>
      <c r="I263">
        <v>1</v>
      </c>
      <c r="J263">
        <v>12.5244</v>
      </c>
      <c r="K263">
        <v>1.8234999999999999</v>
      </c>
    </row>
    <row r="264" spans="1:11" x14ac:dyDescent="0.2">
      <c r="A264">
        <v>63154</v>
      </c>
      <c r="B264" t="s">
        <v>1386</v>
      </c>
      <c r="C264" t="str">
        <f t="shared" si="4"/>
        <v>TPID</v>
      </c>
      <c r="D264" t="s">
        <v>807</v>
      </c>
      <c r="E264">
        <v>4</v>
      </c>
      <c r="F264" t="s">
        <v>834</v>
      </c>
      <c r="G264">
        <v>1</v>
      </c>
      <c r="H264" t="s">
        <v>806</v>
      </c>
      <c r="I264">
        <v>1</v>
      </c>
      <c r="J264">
        <v>12.6248</v>
      </c>
      <c r="K264">
        <v>1.8183</v>
      </c>
    </row>
    <row r="265" spans="1:11" x14ac:dyDescent="0.2">
      <c r="A265">
        <v>63154</v>
      </c>
      <c r="B265" t="s">
        <v>1386</v>
      </c>
      <c r="C265" t="str">
        <f t="shared" si="4"/>
        <v>TPID</v>
      </c>
      <c r="D265" t="s">
        <v>808</v>
      </c>
      <c r="E265">
        <v>4</v>
      </c>
      <c r="F265" t="s">
        <v>834</v>
      </c>
      <c r="G265">
        <v>1</v>
      </c>
      <c r="H265" t="s">
        <v>806</v>
      </c>
      <c r="I265">
        <v>1</v>
      </c>
      <c r="J265">
        <v>34.218000000000004</v>
      </c>
      <c r="K265">
        <v>0.2651</v>
      </c>
    </row>
    <row r="266" spans="1:11" x14ac:dyDescent="0.2">
      <c r="A266">
        <v>63154</v>
      </c>
      <c r="B266" t="s">
        <v>1386</v>
      </c>
      <c r="C266" t="str">
        <f t="shared" si="4"/>
        <v>TPID</v>
      </c>
      <c r="D266" t="s">
        <v>809</v>
      </c>
      <c r="E266">
        <v>4</v>
      </c>
      <c r="F266" t="s">
        <v>834</v>
      </c>
      <c r="G266">
        <v>1</v>
      </c>
      <c r="H266" t="s">
        <v>806</v>
      </c>
      <c r="I266">
        <v>1</v>
      </c>
      <c r="J266">
        <v>33.971600000000002</v>
      </c>
      <c r="K266">
        <v>0.3075</v>
      </c>
    </row>
    <row r="267" spans="1:11" x14ac:dyDescent="0.2">
      <c r="A267">
        <v>63121</v>
      </c>
      <c r="B267" t="s">
        <v>1387</v>
      </c>
      <c r="C267" t="str">
        <f t="shared" si="4"/>
        <v>TPNG</v>
      </c>
      <c r="D267" t="s">
        <v>804</v>
      </c>
      <c r="E267">
        <v>4</v>
      </c>
      <c r="F267" t="s">
        <v>834</v>
      </c>
      <c r="G267">
        <v>1</v>
      </c>
      <c r="H267" t="s">
        <v>806</v>
      </c>
      <c r="I267">
        <v>1</v>
      </c>
      <c r="J267">
        <v>9.5306999999999995</v>
      </c>
      <c r="K267">
        <v>1.2125999999999999</v>
      </c>
    </row>
    <row r="268" spans="1:11" x14ac:dyDescent="0.2">
      <c r="A268">
        <v>563121</v>
      </c>
      <c r="B268" t="s">
        <v>1388</v>
      </c>
      <c r="C268" t="str">
        <f t="shared" si="4"/>
        <v>TPNG</v>
      </c>
      <c r="D268" t="s">
        <v>807</v>
      </c>
      <c r="E268">
        <v>4</v>
      </c>
      <c r="F268" t="s">
        <v>834</v>
      </c>
      <c r="G268">
        <v>1</v>
      </c>
      <c r="H268" t="s">
        <v>806</v>
      </c>
      <c r="I268">
        <v>1</v>
      </c>
      <c r="J268">
        <v>15.5169</v>
      </c>
      <c r="K268">
        <v>1.4963</v>
      </c>
    </row>
    <row r="269" spans="1:11" x14ac:dyDescent="0.2">
      <c r="A269">
        <v>74212</v>
      </c>
      <c r="B269" t="s">
        <v>1397</v>
      </c>
      <c r="C269" t="str">
        <f t="shared" si="4"/>
        <v>UJLI</v>
      </c>
      <c r="D269" t="s">
        <v>804</v>
      </c>
      <c r="E269">
        <v>4</v>
      </c>
      <c r="F269" t="s">
        <v>834</v>
      </c>
      <c r="G269">
        <v>1</v>
      </c>
      <c r="H269" t="s">
        <v>806</v>
      </c>
      <c r="I269">
        <v>1</v>
      </c>
      <c r="J269">
        <v>0.83050000000000002</v>
      </c>
      <c r="K269">
        <v>-1.3171999999999999</v>
      </c>
    </row>
    <row r="270" spans="1:11" x14ac:dyDescent="0.2">
      <c r="A270">
        <v>74212</v>
      </c>
      <c r="B270" t="s">
        <v>1397</v>
      </c>
      <c r="C270" t="str">
        <f t="shared" si="4"/>
        <v>UJLI</v>
      </c>
      <c r="D270" t="s">
        <v>807</v>
      </c>
      <c r="E270">
        <v>4</v>
      </c>
      <c r="F270" t="s">
        <v>834</v>
      </c>
      <c r="G270">
        <v>1</v>
      </c>
      <c r="H270" t="s">
        <v>806</v>
      </c>
      <c r="I270">
        <v>1</v>
      </c>
      <c r="J270">
        <v>0.83979999999999999</v>
      </c>
      <c r="K270">
        <v>-1.2581</v>
      </c>
    </row>
    <row r="271" spans="1:11" x14ac:dyDescent="0.2">
      <c r="A271">
        <v>51061</v>
      </c>
      <c r="B271" t="s">
        <v>803</v>
      </c>
      <c r="C271" t="str">
        <f t="shared" si="4"/>
        <v>ABBA</v>
      </c>
      <c r="D271" t="s">
        <v>804</v>
      </c>
      <c r="E271">
        <v>5</v>
      </c>
      <c r="F271" t="s">
        <v>805</v>
      </c>
      <c r="G271">
        <v>1</v>
      </c>
      <c r="H271" t="s">
        <v>806</v>
      </c>
      <c r="I271">
        <v>1</v>
      </c>
      <c r="J271">
        <v>3.6852999999999998</v>
      </c>
      <c r="K271">
        <v>0.22470000000000001</v>
      </c>
    </row>
    <row r="272" spans="1:11" x14ac:dyDescent="0.2">
      <c r="A272">
        <v>51061</v>
      </c>
      <c r="B272" t="s">
        <v>803</v>
      </c>
      <c r="C272" t="str">
        <f t="shared" si="4"/>
        <v>ABBA</v>
      </c>
      <c r="D272" t="s">
        <v>807</v>
      </c>
      <c r="E272">
        <v>5</v>
      </c>
      <c r="F272" t="s">
        <v>805</v>
      </c>
      <c r="G272">
        <v>1</v>
      </c>
      <c r="H272" t="s">
        <v>806</v>
      </c>
      <c r="I272">
        <v>1</v>
      </c>
      <c r="J272">
        <v>9.9542000000000002</v>
      </c>
      <c r="K272">
        <v>0.61299999999999999</v>
      </c>
    </row>
    <row r="273" spans="1:11" x14ac:dyDescent="0.2">
      <c r="A273">
        <v>51061</v>
      </c>
      <c r="B273" t="s">
        <v>803</v>
      </c>
      <c r="C273" t="str">
        <f t="shared" si="4"/>
        <v>ABBA</v>
      </c>
      <c r="D273" t="s">
        <v>808</v>
      </c>
      <c r="E273">
        <v>5</v>
      </c>
      <c r="F273" t="s">
        <v>805</v>
      </c>
      <c r="G273">
        <v>1</v>
      </c>
      <c r="H273" t="s">
        <v>806</v>
      </c>
      <c r="I273">
        <v>1</v>
      </c>
      <c r="J273">
        <v>27.825900000000001</v>
      </c>
      <c r="K273">
        <v>0.54469999999999996</v>
      </c>
    </row>
    <row r="274" spans="1:11" x14ac:dyDescent="0.2">
      <c r="A274">
        <v>51061</v>
      </c>
      <c r="B274" t="s">
        <v>803</v>
      </c>
      <c r="C274" t="str">
        <f t="shared" si="4"/>
        <v>ABBA</v>
      </c>
      <c r="D274" t="s">
        <v>809</v>
      </c>
      <c r="E274">
        <v>5</v>
      </c>
      <c r="F274" t="s">
        <v>805</v>
      </c>
      <c r="G274">
        <v>1</v>
      </c>
      <c r="H274" t="s">
        <v>806</v>
      </c>
      <c r="I274">
        <v>1</v>
      </c>
      <c r="J274">
        <v>27.548400000000001</v>
      </c>
      <c r="K274">
        <v>0.54159999999999997</v>
      </c>
    </row>
    <row r="275" spans="1:11" x14ac:dyDescent="0.2">
      <c r="A275">
        <v>51019</v>
      </c>
      <c r="B275" t="s">
        <v>813</v>
      </c>
      <c r="C275" t="str">
        <f t="shared" si="4"/>
        <v>ADAM</v>
      </c>
      <c r="D275" t="s">
        <v>804</v>
      </c>
      <c r="E275">
        <v>5</v>
      </c>
      <c r="F275" t="s">
        <v>805</v>
      </c>
      <c r="G275">
        <v>1</v>
      </c>
      <c r="H275" t="s">
        <v>806</v>
      </c>
      <c r="I275">
        <v>1</v>
      </c>
      <c r="J275">
        <v>12.933400000000001</v>
      </c>
      <c r="K275">
        <v>5.3255999999999997</v>
      </c>
    </row>
    <row r="276" spans="1:11" x14ac:dyDescent="0.2">
      <c r="A276">
        <v>51019</v>
      </c>
      <c r="B276" t="s">
        <v>813</v>
      </c>
      <c r="C276" t="str">
        <f t="shared" si="4"/>
        <v>ADAM</v>
      </c>
      <c r="D276" t="s">
        <v>807</v>
      </c>
      <c r="E276">
        <v>5</v>
      </c>
      <c r="F276" t="s">
        <v>805</v>
      </c>
      <c r="G276">
        <v>1</v>
      </c>
      <c r="H276" t="s">
        <v>806</v>
      </c>
      <c r="I276">
        <v>1</v>
      </c>
      <c r="J276">
        <v>12.4084</v>
      </c>
      <c r="K276">
        <v>-5.5129999999999999</v>
      </c>
    </row>
    <row r="277" spans="1:11" x14ac:dyDescent="0.2">
      <c r="A277">
        <v>51028</v>
      </c>
      <c r="B277" t="s">
        <v>818</v>
      </c>
      <c r="C277" t="str">
        <f t="shared" si="4"/>
        <v>AHTM</v>
      </c>
      <c r="D277" t="s">
        <v>804</v>
      </c>
      <c r="E277">
        <v>5</v>
      </c>
      <c r="F277" t="s">
        <v>805</v>
      </c>
      <c r="G277">
        <v>1</v>
      </c>
      <c r="H277" t="s">
        <v>806</v>
      </c>
      <c r="I277">
        <v>1</v>
      </c>
      <c r="J277">
        <v>43.490900000000003</v>
      </c>
      <c r="K277">
        <v>3.121</v>
      </c>
    </row>
    <row r="278" spans="1:11" x14ac:dyDescent="0.2">
      <c r="A278">
        <v>51028</v>
      </c>
      <c r="B278" t="s">
        <v>818</v>
      </c>
      <c r="C278" t="str">
        <f t="shared" si="4"/>
        <v>AHTM</v>
      </c>
      <c r="D278" t="s">
        <v>807</v>
      </c>
      <c r="E278">
        <v>5</v>
      </c>
      <c r="F278" t="s">
        <v>805</v>
      </c>
      <c r="G278">
        <v>1</v>
      </c>
      <c r="H278" t="s">
        <v>806</v>
      </c>
      <c r="I278">
        <v>1</v>
      </c>
      <c r="J278">
        <v>44.326599999999999</v>
      </c>
      <c r="K278">
        <v>3.6978</v>
      </c>
    </row>
    <row r="279" spans="1:11" x14ac:dyDescent="0.2">
      <c r="A279">
        <v>51043</v>
      </c>
      <c r="B279" t="s">
        <v>851</v>
      </c>
      <c r="C279" t="str">
        <f t="shared" si="4"/>
        <v>BARG</v>
      </c>
      <c r="D279" t="s">
        <v>804</v>
      </c>
      <c r="E279">
        <v>5</v>
      </c>
      <c r="F279" t="s">
        <v>805</v>
      </c>
      <c r="G279">
        <v>1</v>
      </c>
      <c r="H279" t="s">
        <v>806</v>
      </c>
      <c r="I279">
        <v>1</v>
      </c>
      <c r="J279">
        <v>12.2593</v>
      </c>
      <c r="K279">
        <v>1.0096000000000001</v>
      </c>
    </row>
    <row r="280" spans="1:11" x14ac:dyDescent="0.2">
      <c r="A280">
        <v>51043</v>
      </c>
      <c r="B280" t="s">
        <v>851</v>
      </c>
      <c r="C280" t="str">
        <f t="shared" si="4"/>
        <v>BARG</v>
      </c>
      <c r="D280" t="s">
        <v>807</v>
      </c>
      <c r="E280">
        <v>5</v>
      </c>
      <c r="F280" t="s">
        <v>805</v>
      </c>
      <c r="G280">
        <v>1</v>
      </c>
      <c r="H280" t="s">
        <v>806</v>
      </c>
      <c r="I280">
        <v>1</v>
      </c>
      <c r="J280">
        <v>5.7460000000000004</v>
      </c>
      <c r="K280">
        <v>0.54879999999999995</v>
      </c>
    </row>
    <row r="281" spans="1:11" x14ac:dyDescent="0.2">
      <c r="A281">
        <v>51043</v>
      </c>
      <c r="B281" t="s">
        <v>851</v>
      </c>
      <c r="C281" t="str">
        <f t="shared" si="4"/>
        <v>BARG</v>
      </c>
      <c r="D281" t="s">
        <v>808</v>
      </c>
      <c r="E281">
        <v>5</v>
      </c>
      <c r="F281" t="s">
        <v>805</v>
      </c>
      <c r="G281">
        <v>1</v>
      </c>
      <c r="H281" t="s">
        <v>806</v>
      </c>
      <c r="I281">
        <v>1</v>
      </c>
      <c r="J281">
        <v>18.202000000000002</v>
      </c>
      <c r="K281">
        <v>1.5905</v>
      </c>
    </row>
    <row r="282" spans="1:11" x14ac:dyDescent="0.2">
      <c r="A282">
        <v>51043</v>
      </c>
      <c r="B282" t="s">
        <v>851</v>
      </c>
      <c r="C282" t="str">
        <f t="shared" si="4"/>
        <v>BARG</v>
      </c>
      <c r="D282" t="s">
        <v>809</v>
      </c>
      <c r="E282">
        <v>5</v>
      </c>
      <c r="F282" t="s">
        <v>805</v>
      </c>
      <c r="G282">
        <v>1</v>
      </c>
      <c r="H282" t="s">
        <v>806</v>
      </c>
      <c r="I282">
        <v>1</v>
      </c>
      <c r="J282">
        <v>17.998000000000001</v>
      </c>
      <c r="K282">
        <v>1.546</v>
      </c>
    </row>
    <row r="283" spans="1:11" x14ac:dyDescent="0.2">
      <c r="A283">
        <v>51035</v>
      </c>
      <c r="B283" t="s">
        <v>853</v>
      </c>
      <c r="C283" t="str">
        <f t="shared" si="4"/>
        <v>BBDG</v>
      </c>
      <c r="D283" t="s">
        <v>804</v>
      </c>
      <c r="E283">
        <v>5</v>
      </c>
      <c r="F283" t="s">
        <v>805</v>
      </c>
      <c r="G283">
        <v>1</v>
      </c>
      <c r="H283" t="s">
        <v>806</v>
      </c>
      <c r="I283">
        <v>1</v>
      </c>
      <c r="J283">
        <v>27.732700000000001</v>
      </c>
      <c r="K283">
        <v>7.3593000000000002</v>
      </c>
    </row>
    <row r="284" spans="1:11" x14ac:dyDescent="0.2">
      <c r="A284">
        <v>51035</v>
      </c>
      <c r="B284" t="s">
        <v>853</v>
      </c>
      <c r="C284" t="str">
        <f t="shared" si="4"/>
        <v>BBDG</v>
      </c>
      <c r="D284" t="s">
        <v>807</v>
      </c>
      <c r="E284">
        <v>5</v>
      </c>
      <c r="F284" t="s">
        <v>805</v>
      </c>
      <c r="G284">
        <v>1</v>
      </c>
      <c r="H284" t="s">
        <v>806</v>
      </c>
      <c r="I284">
        <v>1</v>
      </c>
      <c r="J284">
        <v>27.649899999999999</v>
      </c>
      <c r="K284">
        <v>7.351</v>
      </c>
    </row>
    <row r="285" spans="1:11" x14ac:dyDescent="0.2">
      <c r="A285">
        <v>551035</v>
      </c>
      <c r="B285" t="s">
        <v>854</v>
      </c>
      <c r="C285" t="str">
        <f t="shared" si="4"/>
        <v>BBDG</v>
      </c>
      <c r="D285" t="s">
        <v>848</v>
      </c>
      <c r="E285">
        <v>5</v>
      </c>
      <c r="F285" t="s">
        <v>805</v>
      </c>
      <c r="G285">
        <v>1</v>
      </c>
      <c r="H285" t="s">
        <v>806</v>
      </c>
      <c r="I285">
        <v>1</v>
      </c>
      <c r="J285">
        <v>18.338699999999999</v>
      </c>
      <c r="K285">
        <v>5.4778000000000002</v>
      </c>
    </row>
    <row r="286" spans="1:11" x14ac:dyDescent="0.2">
      <c r="A286">
        <v>51071</v>
      </c>
      <c r="B286" t="s">
        <v>861</v>
      </c>
      <c r="C286" t="str">
        <f t="shared" si="4"/>
        <v>BBST</v>
      </c>
      <c r="D286" t="s">
        <v>804</v>
      </c>
      <c r="E286">
        <v>5</v>
      </c>
      <c r="F286" t="s">
        <v>805</v>
      </c>
      <c r="G286">
        <v>1</v>
      </c>
      <c r="H286" t="s">
        <v>806</v>
      </c>
      <c r="I286">
        <v>1</v>
      </c>
      <c r="J286">
        <v>5.5305999999999997</v>
      </c>
      <c r="K286">
        <v>0.33550000000000002</v>
      </c>
    </row>
    <row r="287" spans="1:11" x14ac:dyDescent="0.2">
      <c r="A287">
        <v>51071</v>
      </c>
      <c r="B287" t="s">
        <v>861</v>
      </c>
      <c r="C287" t="str">
        <f t="shared" si="4"/>
        <v>BBST</v>
      </c>
      <c r="D287" t="s">
        <v>807</v>
      </c>
      <c r="E287">
        <v>5</v>
      </c>
      <c r="F287" t="s">
        <v>805</v>
      </c>
      <c r="G287">
        <v>1</v>
      </c>
      <c r="H287" t="s">
        <v>806</v>
      </c>
      <c r="I287">
        <v>1</v>
      </c>
      <c r="J287">
        <v>3.9287000000000001</v>
      </c>
      <c r="K287">
        <v>0.19670000000000001</v>
      </c>
    </row>
    <row r="288" spans="1:11" x14ac:dyDescent="0.2">
      <c r="A288">
        <v>51071</v>
      </c>
      <c r="B288" t="s">
        <v>861</v>
      </c>
      <c r="C288" t="str">
        <f t="shared" si="4"/>
        <v>BBST</v>
      </c>
      <c r="D288" t="s">
        <v>808</v>
      </c>
      <c r="E288">
        <v>5</v>
      </c>
      <c r="F288" t="s">
        <v>805</v>
      </c>
      <c r="G288">
        <v>1</v>
      </c>
      <c r="H288" t="s">
        <v>806</v>
      </c>
      <c r="I288">
        <v>1</v>
      </c>
      <c r="J288">
        <v>20.209800000000001</v>
      </c>
      <c r="K288">
        <v>-1.5346</v>
      </c>
    </row>
    <row r="289" spans="1:11" x14ac:dyDescent="0.2">
      <c r="A289">
        <v>51071</v>
      </c>
      <c r="B289" t="s">
        <v>861</v>
      </c>
      <c r="C289" t="str">
        <f t="shared" si="4"/>
        <v>BBST</v>
      </c>
      <c r="D289" t="s">
        <v>809</v>
      </c>
      <c r="E289">
        <v>5</v>
      </c>
      <c r="F289" t="s">
        <v>805</v>
      </c>
      <c r="G289">
        <v>1</v>
      </c>
      <c r="H289" t="s">
        <v>806</v>
      </c>
      <c r="I289">
        <v>1</v>
      </c>
      <c r="J289">
        <v>20.123899999999999</v>
      </c>
      <c r="K289">
        <v>-1.5387999999999999</v>
      </c>
    </row>
    <row r="290" spans="1:11" x14ac:dyDescent="0.2">
      <c r="A290">
        <v>51037</v>
      </c>
      <c r="B290" t="s">
        <v>862</v>
      </c>
      <c r="C290" t="str">
        <f t="shared" si="4"/>
        <v>BBTC</v>
      </c>
      <c r="D290" t="s">
        <v>804</v>
      </c>
      <c r="E290">
        <v>5</v>
      </c>
      <c r="F290" t="s">
        <v>805</v>
      </c>
      <c r="G290">
        <v>1</v>
      </c>
      <c r="H290" t="s">
        <v>806</v>
      </c>
      <c r="I290">
        <v>1</v>
      </c>
      <c r="J290">
        <v>38.707999999999998</v>
      </c>
      <c r="K290">
        <v>5.6341000000000001</v>
      </c>
    </row>
    <row r="291" spans="1:11" x14ac:dyDescent="0.2">
      <c r="A291">
        <v>51037</v>
      </c>
      <c r="B291" t="s">
        <v>862</v>
      </c>
      <c r="C291" t="str">
        <f t="shared" si="4"/>
        <v>BBTC</v>
      </c>
      <c r="D291" t="s">
        <v>807</v>
      </c>
      <c r="E291">
        <v>5</v>
      </c>
      <c r="F291" t="s">
        <v>805</v>
      </c>
      <c r="G291">
        <v>1</v>
      </c>
      <c r="H291" t="s">
        <v>806</v>
      </c>
      <c r="I291">
        <v>1</v>
      </c>
      <c r="J291">
        <v>38.075299999999999</v>
      </c>
      <c r="K291">
        <v>5.5731000000000002</v>
      </c>
    </row>
    <row r="292" spans="1:11" x14ac:dyDescent="0.2">
      <c r="A292">
        <v>51087</v>
      </c>
      <c r="B292" t="s">
        <v>863</v>
      </c>
      <c r="C292" t="str">
        <f t="shared" si="4"/>
        <v>BBTG</v>
      </c>
      <c r="D292" t="s">
        <v>804</v>
      </c>
      <c r="E292">
        <v>5</v>
      </c>
      <c r="F292" t="s">
        <v>805</v>
      </c>
      <c r="G292">
        <v>1</v>
      </c>
      <c r="H292" t="s">
        <v>806</v>
      </c>
      <c r="I292">
        <v>1</v>
      </c>
      <c r="J292">
        <v>6.3124000000000002</v>
      </c>
      <c r="K292">
        <v>1.0717000000000001</v>
      </c>
    </row>
    <row r="293" spans="1:11" x14ac:dyDescent="0.2">
      <c r="A293">
        <v>51087</v>
      </c>
      <c r="B293" t="s">
        <v>863</v>
      </c>
      <c r="C293" t="str">
        <f t="shared" si="4"/>
        <v>BBTG</v>
      </c>
      <c r="D293" t="s">
        <v>807</v>
      </c>
      <c r="E293">
        <v>5</v>
      </c>
      <c r="F293" t="s">
        <v>805</v>
      </c>
      <c r="G293">
        <v>1</v>
      </c>
      <c r="H293" t="s">
        <v>806</v>
      </c>
      <c r="I293">
        <v>1</v>
      </c>
      <c r="J293">
        <v>6.4698000000000002</v>
      </c>
      <c r="K293">
        <v>0.84189999999999998</v>
      </c>
    </row>
    <row r="294" spans="1:11" x14ac:dyDescent="0.2">
      <c r="A294">
        <v>51087</v>
      </c>
      <c r="B294" t="s">
        <v>863</v>
      </c>
      <c r="C294" t="str">
        <f t="shared" si="4"/>
        <v>BBTG</v>
      </c>
      <c r="D294" t="s">
        <v>808</v>
      </c>
      <c r="E294">
        <v>5</v>
      </c>
      <c r="F294" t="s">
        <v>805</v>
      </c>
      <c r="G294">
        <v>1</v>
      </c>
      <c r="H294" t="s">
        <v>806</v>
      </c>
      <c r="I294">
        <v>1</v>
      </c>
      <c r="J294">
        <v>20.0307</v>
      </c>
      <c r="K294">
        <v>1.9426000000000001</v>
      </c>
    </row>
    <row r="295" spans="1:11" x14ac:dyDescent="0.2">
      <c r="A295">
        <v>51087</v>
      </c>
      <c r="B295" t="s">
        <v>863</v>
      </c>
      <c r="C295" t="str">
        <f t="shared" si="4"/>
        <v>BBTG</v>
      </c>
      <c r="D295" t="s">
        <v>809</v>
      </c>
      <c r="E295">
        <v>5</v>
      </c>
      <c r="F295" t="s">
        <v>805</v>
      </c>
      <c r="G295">
        <v>1</v>
      </c>
      <c r="H295" t="s">
        <v>806</v>
      </c>
      <c r="I295">
        <v>1</v>
      </c>
      <c r="J295">
        <v>19.868099999999998</v>
      </c>
      <c r="K295">
        <v>1.9384999999999999</v>
      </c>
    </row>
    <row r="296" spans="1:11" x14ac:dyDescent="0.2">
      <c r="A296">
        <v>51078</v>
      </c>
      <c r="B296" t="s">
        <v>867</v>
      </c>
      <c r="C296" t="str">
        <f t="shared" si="4"/>
        <v>BCHG</v>
      </c>
      <c r="D296" t="s">
        <v>804</v>
      </c>
      <c r="E296">
        <v>5</v>
      </c>
      <c r="F296" t="s">
        <v>805</v>
      </c>
      <c r="G296">
        <v>1</v>
      </c>
      <c r="H296" t="s">
        <v>806</v>
      </c>
      <c r="I296">
        <v>1</v>
      </c>
      <c r="J296">
        <v>16.828900000000001</v>
      </c>
      <c r="K296">
        <v>0.21329999999999999</v>
      </c>
    </row>
    <row r="297" spans="1:11" x14ac:dyDescent="0.2">
      <c r="A297">
        <v>51078</v>
      </c>
      <c r="B297" t="s">
        <v>867</v>
      </c>
      <c r="C297" t="str">
        <f t="shared" si="4"/>
        <v>BCHG</v>
      </c>
      <c r="D297" t="s">
        <v>807</v>
      </c>
      <c r="E297">
        <v>5</v>
      </c>
      <c r="F297" t="s">
        <v>805</v>
      </c>
      <c r="G297">
        <v>1</v>
      </c>
      <c r="H297" t="s">
        <v>806</v>
      </c>
      <c r="I297">
        <v>1</v>
      </c>
      <c r="J297">
        <v>11.6928</v>
      </c>
      <c r="K297">
        <v>1.3648</v>
      </c>
    </row>
    <row r="298" spans="1:11" x14ac:dyDescent="0.2">
      <c r="A298">
        <v>51078</v>
      </c>
      <c r="B298" t="s">
        <v>867</v>
      </c>
      <c r="C298" t="str">
        <f t="shared" si="4"/>
        <v>BCHG</v>
      </c>
      <c r="D298" t="s">
        <v>808</v>
      </c>
      <c r="E298">
        <v>5</v>
      </c>
      <c r="F298" t="s">
        <v>805</v>
      </c>
      <c r="G298">
        <v>1</v>
      </c>
      <c r="H298" t="s">
        <v>806</v>
      </c>
      <c r="I298">
        <v>1</v>
      </c>
      <c r="J298">
        <v>26.453900000000001</v>
      </c>
      <c r="K298">
        <v>3.3694999999999999</v>
      </c>
    </row>
    <row r="299" spans="1:11" x14ac:dyDescent="0.2">
      <c r="A299">
        <v>51078</v>
      </c>
      <c r="B299" t="s">
        <v>867</v>
      </c>
      <c r="C299" t="str">
        <f t="shared" si="4"/>
        <v>BCHG</v>
      </c>
      <c r="D299" t="s">
        <v>809</v>
      </c>
      <c r="E299">
        <v>5</v>
      </c>
      <c r="F299" t="s">
        <v>805</v>
      </c>
      <c r="G299">
        <v>1</v>
      </c>
      <c r="H299" t="s">
        <v>806</v>
      </c>
      <c r="I299">
        <v>1</v>
      </c>
      <c r="J299">
        <v>26.1008</v>
      </c>
      <c r="K299">
        <v>3.3083999999999998</v>
      </c>
    </row>
    <row r="300" spans="1:11" x14ac:dyDescent="0.2">
      <c r="A300">
        <v>88194</v>
      </c>
      <c r="B300" t="s">
        <v>868</v>
      </c>
      <c r="C300" t="str">
        <f t="shared" si="4"/>
        <v>BCVS</v>
      </c>
      <c r="D300" t="s">
        <v>804</v>
      </c>
      <c r="E300">
        <v>5</v>
      </c>
      <c r="F300" t="s">
        <v>805</v>
      </c>
      <c r="G300">
        <v>1</v>
      </c>
      <c r="H300" t="s">
        <v>806</v>
      </c>
      <c r="I300">
        <v>1</v>
      </c>
      <c r="J300">
        <v>7.5726000000000004</v>
      </c>
      <c r="K300">
        <v>1.1101000000000001</v>
      </c>
    </row>
    <row r="301" spans="1:11" x14ac:dyDescent="0.2">
      <c r="A301">
        <v>88194</v>
      </c>
      <c r="B301" t="s">
        <v>868</v>
      </c>
      <c r="C301" t="str">
        <f t="shared" si="4"/>
        <v>BCVS</v>
      </c>
      <c r="D301" t="s">
        <v>807</v>
      </c>
      <c r="E301">
        <v>5</v>
      </c>
      <c r="F301" t="s">
        <v>805</v>
      </c>
      <c r="G301">
        <v>1</v>
      </c>
      <c r="H301" t="s">
        <v>806</v>
      </c>
      <c r="I301">
        <v>1</v>
      </c>
      <c r="J301">
        <v>11.0084</v>
      </c>
      <c r="K301">
        <v>1.8918999999999999</v>
      </c>
    </row>
    <row r="302" spans="1:11" x14ac:dyDescent="0.2">
      <c r="A302">
        <v>88194</v>
      </c>
      <c r="B302" t="s">
        <v>868</v>
      </c>
      <c r="C302" t="str">
        <f t="shared" si="4"/>
        <v>BCVS</v>
      </c>
      <c r="D302" t="s">
        <v>808</v>
      </c>
      <c r="E302">
        <v>5</v>
      </c>
      <c r="F302" t="s">
        <v>805</v>
      </c>
      <c r="G302">
        <v>1</v>
      </c>
      <c r="H302" t="s">
        <v>806</v>
      </c>
      <c r="I302">
        <v>1</v>
      </c>
      <c r="J302">
        <v>43.401899999999998</v>
      </c>
      <c r="K302">
        <v>7.8315000000000001</v>
      </c>
    </row>
    <row r="303" spans="1:11" x14ac:dyDescent="0.2">
      <c r="A303">
        <v>88194</v>
      </c>
      <c r="B303" t="s">
        <v>868</v>
      </c>
      <c r="C303" t="str">
        <f t="shared" si="4"/>
        <v>BCVS</v>
      </c>
      <c r="D303" t="s">
        <v>809</v>
      </c>
      <c r="E303">
        <v>5</v>
      </c>
      <c r="F303" t="s">
        <v>805</v>
      </c>
      <c r="G303">
        <v>1</v>
      </c>
      <c r="H303" t="s">
        <v>806</v>
      </c>
      <c r="I303">
        <v>1</v>
      </c>
      <c r="J303">
        <v>43.893700000000003</v>
      </c>
      <c r="K303">
        <v>7.8987999999999996</v>
      </c>
    </row>
    <row r="304" spans="1:11" x14ac:dyDescent="0.2">
      <c r="A304">
        <v>51060</v>
      </c>
      <c r="B304" t="s">
        <v>873</v>
      </c>
      <c r="C304" t="str">
        <f t="shared" si="4"/>
        <v>BHGT</v>
      </c>
      <c r="D304" t="s">
        <v>804</v>
      </c>
      <c r="E304">
        <v>5</v>
      </c>
      <c r="F304" t="s">
        <v>805</v>
      </c>
      <c r="G304">
        <v>1</v>
      </c>
      <c r="H304" t="s">
        <v>806</v>
      </c>
      <c r="I304">
        <v>1</v>
      </c>
      <c r="J304">
        <v>5.6238000000000001</v>
      </c>
      <c r="K304">
        <v>1.167</v>
      </c>
    </row>
    <row r="305" spans="1:11" x14ac:dyDescent="0.2">
      <c r="A305">
        <v>51060</v>
      </c>
      <c r="B305" t="s">
        <v>873</v>
      </c>
      <c r="C305" t="str">
        <f t="shared" si="4"/>
        <v>BHGT</v>
      </c>
      <c r="D305" t="s">
        <v>807</v>
      </c>
      <c r="E305">
        <v>5</v>
      </c>
      <c r="F305" t="s">
        <v>805</v>
      </c>
      <c r="G305">
        <v>1</v>
      </c>
      <c r="H305" t="s">
        <v>806</v>
      </c>
      <c r="I305">
        <v>1</v>
      </c>
      <c r="J305">
        <v>9.6270000000000007</v>
      </c>
      <c r="K305">
        <v>0.40589999999999998</v>
      </c>
    </row>
    <row r="306" spans="1:11" x14ac:dyDescent="0.2">
      <c r="A306">
        <v>88177</v>
      </c>
      <c r="B306" t="s">
        <v>875</v>
      </c>
      <c r="C306" t="str">
        <f t="shared" si="4"/>
        <v>BJLL</v>
      </c>
      <c r="D306" t="s">
        <v>804</v>
      </c>
      <c r="E306">
        <v>5</v>
      </c>
      <c r="F306" t="s">
        <v>805</v>
      </c>
      <c r="G306">
        <v>1</v>
      </c>
      <c r="H306" t="s">
        <v>806</v>
      </c>
      <c r="I306">
        <v>1</v>
      </c>
      <c r="J306">
        <v>39.424500000000002</v>
      </c>
      <c r="K306">
        <v>-0.46910000000000002</v>
      </c>
    </row>
    <row r="307" spans="1:11" x14ac:dyDescent="0.2">
      <c r="A307">
        <v>88177</v>
      </c>
      <c r="B307" t="s">
        <v>875</v>
      </c>
      <c r="C307" t="str">
        <f t="shared" si="4"/>
        <v>BJLL</v>
      </c>
      <c r="D307" t="s">
        <v>807</v>
      </c>
      <c r="E307">
        <v>5</v>
      </c>
      <c r="F307" t="s">
        <v>805</v>
      </c>
      <c r="G307">
        <v>1</v>
      </c>
      <c r="H307" t="s">
        <v>806</v>
      </c>
      <c r="I307">
        <v>1</v>
      </c>
      <c r="J307">
        <v>39.480400000000003</v>
      </c>
      <c r="K307">
        <v>-0.4577</v>
      </c>
    </row>
    <row r="308" spans="1:11" x14ac:dyDescent="0.2">
      <c r="A308">
        <v>88177</v>
      </c>
      <c r="B308" t="s">
        <v>875</v>
      </c>
      <c r="C308" t="str">
        <f t="shared" si="4"/>
        <v>BJLL</v>
      </c>
      <c r="D308" t="s">
        <v>808</v>
      </c>
      <c r="E308">
        <v>5</v>
      </c>
      <c r="F308" t="s">
        <v>805</v>
      </c>
      <c r="G308">
        <v>1</v>
      </c>
      <c r="H308" t="s">
        <v>806</v>
      </c>
      <c r="I308">
        <v>1</v>
      </c>
      <c r="J308">
        <v>8.0167999999999999</v>
      </c>
      <c r="K308">
        <v>-0.15640000000000001</v>
      </c>
    </row>
    <row r="309" spans="1:11" x14ac:dyDescent="0.2">
      <c r="A309">
        <v>88177</v>
      </c>
      <c r="B309" t="s">
        <v>875</v>
      </c>
      <c r="C309" t="str">
        <f t="shared" si="4"/>
        <v>BJLL</v>
      </c>
      <c r="D309" t="s">
        <v>809</v>
      </c>
      <c r="E309">
        <v>5</v>
      </c>
      <c r="F309" t="s">
        <v>805</v>
      </c>
      <c r="G309">
        <v>1</v>
      </c>
      <c r="H309" t="s">
        <v>806</v>
      </c>
      <c r="I309">
        <v>1</v>
      </c>
      <c r="J309">
        <v>9.4023000000000003</v>
      </c>
      <c r="K309">
        <v>0.94020000000000004</v>
      </c>
    </row>
    <row r="310" spans="1:11" x14ac:dyDescent="0.2">
      <c r="A310">
        <v>51083</v>
      </c>
      <c r="B310" t="s">
        <v>876</v>
      </c>
      <c r="C310" t="str">
        <f t="shared" si="4"/>
        <v>BJTG</v>
      </c>
      <c r="D310" t="s">
        <v>804</v>
      </c>
      <c r="E310">
        <v>5</v>
      </c>
      <c r="F310" t="s">
        <v>805</v>
      </c>
      <c r="G310">
        <v>1</v>
      </c>
      <c r="H310" t="s">
        <v>806</v>
      </c>
      <c r="I310">
        <v>1</v>
      </c>
      <c r="J310">
        <v>8.1742000000000008</v>
      </c>
      <c r="K310">
        <v>1.3068</v>
      </c>
    </row>
    <row r="311" spans="1:11" x14ac:dyDescent="0.2">
      <c r="A311">
        <v>51083</v>
      </c>
      <c r="B311" t="s">
        <v>876</v>
      </c>
      <c r="C311" t="str">
        <f t="shared" si="4"/>
        <v>BJTG</v>
      </c>
      <c r="D311" t="s">
        <v>807</v>
      </c>
      <c r="E311">
        <v>5</v>
      </c>
      <c r="F311" t="s">
        <v>805</v>
      </c>
      <c r="G311">
        <v>1</v>
      </c>
      <c r="H311" t="s">
        <v>806</v>
      </c>
      <c r="I311">
        <v>1</v>
      </c>
      <c r="J311">
        <v>5.6818</v>
      </c>
      <c r="K311">
        <v>0.60470000000000002</v>
      </c>
    </row>
    <row r="312" spans="1:11" x14ac:dyDescent="0.2">
      <c r="A312">
        <v>51083</v>
      </c>
      <c r="B312" t="s">
        <v>876</v>
      </c>
      <c r="C312" t="str">
        <f t="shared" si="4"/>
        <v>BJTG</v>
      </c>
      <c r="D312" t="s">
        <v>808</v>
      </c>
      <c r="E312">
        <v>5</v>
      </c>
      <c r="F312" t="s">
        <v>805</v>
      </c>
      <c r="G312">
        <v>1</v>
      </c>
      <c r="H312" t="s">
        <v>806</v>
      </c>
      <c r="I312">
        <v>1</v>
      </c>
      <c r="J312">
        <v>35.82</v>
      </c>
      <c r="K312">
        <v>1.7241</v>
      </c>
    </row>
    <row r="313" spans="1:11" x14ac:dyDescent="0.2">
      <c r="A313">
        <v>51083</v>
      </c>
      <c r="B313" t="s">
        <v>876</v>
      </c>
      <c r="C313" t="str">
        <f t="shared" si="4"/>
        <v>BJTG</v>
      </c>
      <c r="D313" t="s">
        <v>809</v>
      </c>
      <c r="E313">
        <v>5</v>
      </c>
      <c r="F313" t="s">
        <v>805</v>
      </c>
      <c r="G313">
        <v>1</v>
      </c>
      <c r="H313" t="s">
        <v>806</v>
      </c>
      <c r="I313">
        <v>1</v>
      </c>
      <c r="J313">
        <v>35.181100000000001</v>
      </c>
      <c r="K313">
        <v>1.2996000000000001</v>
      </c>
    </row>
    <row r="314" spans="1:11" x14ac:dyDescent="0.2">
      <c r="A314">
        <v>51045</v>
      </c>
      <c r="B314" t="s">
        <v>879</v>
      </c>
      <c r="C314" t="str">
        <f t="shared" si="4"/>
        <v>BKPR</v>
      </c>
      <c r="D314" t="s">
        <v>804</v>
      </c>
      <c r="E314">
        <v>5</v>
      </c>
      <c r="F314" t="s">
        <v>805</v>
      </c>
      <c r="G314">
        <v>1</v>
      </c>
      <c r="H314" t="s">
        <v>806</v>
      </c>
      <c r="I314">
        <v>1</v>
      </c>
      <c r="J314">
        <v>14.6699</v>
      </c>
      <c r="K314">
        <v>2.7223000000000002</v>
      </c>
    </row>
    <row r="315" spans="1:11" x14ac:dyDescent="0.2">
      <c r="A315">
        <v>51045</v>
      </c>
      <c r="B315" t="s">
        <v>879</v>
      </c>
      <c r="C315" t="str">
        <f t="shared" si="4"/>
        <v>BKPR</v>
      </c>
      <c r="D315" t="s">
        <v>807</v>
      </c>
      <c r="E315">
        <v>5</v>
      </c>
      <c r="F315" t="s">
        <v>805</v>
      </c>
      <c r="G315">
        <v>1</v>
      </c>
      <c r="H315" t="s">
        <v>806</v>
      </c>
      <c r="I315">
        <v>1</v>
      </c>
      <c r="J315">
        <v>16.306999999999999</v>
      </c>
      <c r="K315">
        <v>2.6602000000000001</v>
      </c>
    </row>
    <row r="316" spans="1:11" x14ac:dyDescent="0.2">
      <c r="A316">
        <v>51045</v>
      </c>
      <c r="B316" t="s">
        <v>879</v>
      </c>
      <c r="C316" t="str">
        <f t="shared" si="4"/>
        <v>BKPR</v>
      </c>
      <c r="D316" t="s">
        <v>808</v>
      </c>
      <c r="E316">
        <v>5</v>
      </c>
      <c r="F316" t="s">
        <v>805</v>
      </c>
      <c r="G316">
        <v>1</v>
      </c>
      <c r="H316" t="s">
        <v>806</v>
      </c>
      <c r="I316">
        <v>1</v>
      </c>
      <c r="J316">
        <v>38.734900000000003</v>
      </c>
      <c r="K316">
        <v>2.1093000000000002</v>
      </c>
    </row>
    <row r="317" spans="1:11" x14ac:dyDescent="0.2">
      <c r="A317">
        <v>51045</v>
      </c>
      <c r="B317" t="s">
        <v>879</v>
      </c>
      <c r="C317" t="str">
        <f t="shared" si="4"/>
        <v>BKPR</v>
      </c>
      <c r="D317" t="s">
        <v>809</v>
      </c>
      <c r="E317">
        <v>5</v>
      </c>
      <c r="F317" t="s">
        <v>805</v>
      </c>
      <c r="G317">
        <v>1</v>
      </c>
      <c r="H317" t="s">
        <v>806</v>
      </c>
      <c r="I317">
        <v>1</v>
      </c>
      <c r="J317">
        <v>38.743200000000002</v>
      </c>
      <c r="K317">
        <v>2.1114000000000002</v>
      </c>
    </row>
    <row r="318" spans="1:11" x14ac:dyDescent="0.2">
      <c r="A318">
        <v>51062</v>
      </c>
      <c r="B318" t="s">
        <v>885</v>
      </c>
      <c r="C318" t="str">
        <f t="shared" si="4"/>
        <v>BLKG</v>
      </c>
      <c r="D318" t="s">
        <v>804</v>
      </c>
      <c r="E318">
        <v>5</v>
      </c>
      <c r="F318" t="s">
        <v>805</v>
      </c>
      <c r="G318">
        <v>1</v>
      </c>
      <c r="H318" t="s">
        <v>806</v>
      </c>
      <c r="I318">
        <v>1</v>
      </c>
      <c r="J318">
        <v>8.6506000000000007</v>
      </c>
      <c r="K318">
        <v>1.7490000000000001</v>
      </c>
    </row>
    <row r="319" spans="1:11" x14ac:dyDescent="0.2">
      <c r="A319">
        <v>51062</v>
      </c>
      <c r="B319" t="s">
        <v>885</v>
      </c>
      <c r="C319" t="str">
        <f t="shared" si="4"/>
        <v>BLKG</v>
      </c>
      <c r="D319" t="s">
        <v>807</v>
      </c>
      <c r="E319">
        <v>5</v>
      </c>
      <c r="F319" t="s">
        <v>805</v>
      </c>
      <c r="G319">
        <v>1</v>
      </c>
      <c r="H319" t="s">
        <v>806</v>
      </c>
      <c r="I319">
        <v>1</v>
      </c>
      <c r="J319">
        <v>5.0605000000000002</v>
      </c>
      <c r="K319">
        <v>0.53220000000000001</v>
      </c>
    </row>
    <row r="320" spans="1:11" x14ac:dyDescent="0.2">
      <c r="A320">
        <v>51062</v>
      </c>
      <c r="B320" t="s">
        <v>885</v>
      </c>
      <c r="C320" t="str">
        <f t="shared" si="4"/>
        <v>BLKG</v>
      </c>
      <c r="D320" t="s">
        <v>808</v>
      </c>
      <c r="E320">
        <v>5</v>
      </c>
      <c r="F320" t="s">
        <v>805</v>
      </c>
      <c r="G320">
        <v>1</v>
      </c>
      <c r="H320" t="s">
        <v>806</v>
      </c>
      <c r="I320">
        <v>1</v>
      </c>
      <c r="J320">
        <v>42.693600000000004</v>
      </c>
      <c r="K320">
        <v>5.9489000000000001</v>
      </c>
    </row>
    <row r="321" spans="1:11" x14ac:dyDescent="0.2">
      <c r="A321">
        <v>51062</v>
      </c>
      <c r="B321" t="s">
        <v>885</v>
      </c>
      <c r="C321" t="str">
        <f t="shared" si="4"/>
        <v>BLKG</v>
      </c>
      <c r="D321" t="s">
        <v>809</v>
      </c>
      <c r="E321">
        <v>5</v>
      </c>
      <c r="F321" t="s">
        <v>805</v>
      </c>
      <c r="G321">
        <v>1</v>
      </c>
      <c r="H321" t="s">
        <v>806</v>
      </c>
      <c r="I321">
        <v>1</v>
      </c>
      <c r="J321">
        <v>41.913899999999998</v>
      </c>
      <c r="K321">
        <v>6.9762000000000004</v>
      </c>
    </row>
    <row r="322" spans="1:11" x14ac:dyDescent="0.2">
      <c r="A322">
        <v>51004</v>
      </c>
      <c r="B322" t="s">
        <v>901</v>
      </c>
      <c r="C322" t="str">
        <f t="shared" si="4"/>
        <v>BRGS</v>
      </c>
      <c r="D322" t="s">
        <v>804</v>
      </c>
      <c r="E322">
        <v>5</v>
      </c>
      <c r="F322" t="s">
        <v>805</v>
      </c>
      <c r="G322">
        <v>1</v>
      </c>
      <c r="H322" t="s">
        <v>806</v>
      </c>
      <c r="I322">
        <v>1</v>
      </c>
      <c r="J322">
        <v>8.0602999999999998</v>
      </c>
      <c r="K322">
        <v>1.5967</v>
      </c>
    </row>
    <row r="323" spans="1:11" x14ac:dyDescent="0.2">
      <c r="A323">
        <v>51004</v>
      </c>
      <c r="B323" t="s">
        <v>901</v>
      </c>
      <c r="C323" t="str">
        <f t="shared" ref="C323:C386" si="5">LEFT(B323,4)</f>
        <v>BRGS</v>
      </c>
      <c r="D323" t="s">
        <v>807</v>
      </c>
      <c r="E323">
        <v>5</v>
      </c>
      <c r="F323" t="s">
        <v>805</v>
      </c>
      <c r="G323">
        <v>1</v>
      </c>
      <c r="H323" t="s">
        <v>806</v>
      </c>
      <c r="I323">
        <v>1</v>
      </c>
      <c r="J323">
        <v>10.8178</v>
      </c>
      <c r="K323">
        <v>1.1679999999999999</v>
      </c>
    </row>
    <row r="324" spans="1:11" x14ac:dyDescent="0.2">
      <c r="A324">
        <v>51004</v>
      </c>
      <c r="B324" t="s">
        <v>901</v>
      </c>
      <c r="C324" t="str">
        <f t="shared" si="5"/>
        <v>BRGS</v>
      </c>
      <c r="D324" t="s">
        <v>808</v>
      </c>
      <c r="E324">
        <v>5</v>
      </c>
      <c r="F324" t="s">
        <v>805</v>
      </c>
      <c r="G324">
        <v>1</v>
      </c>
      <c r="H324" t="s">
        <v>806</v>
      </c>
      <c r="I324">
        <v>1</v>
      </c>
      <c r="J324">
        <v>0</v>
      </c>
      <c r="K324">
        <v>0</v>
      </c>
    </row>
    <row r="325" spans="1:11" x14ac:dyDescent="0.2">
      <c r="A325">
        <v>51004</v>
      </c>
      <c r="B325" t="s">
        <v>901</v>
      </c>
      <c r="C325" t="str">
        <f t="shared" si="5"/>
        <v>BRGS</v>
      </c>
      <c r="D325" t="s">
        <v>809</v>
      </c>
      <c r="E325">
        <v>5</v>
      </c>
      <c r="F325" t="s">
        <v>805</v>
      </c>
      <c r="G325">
        <v>1</v>
      </c>
      <c r="H325" t="s">
        <v>806</v>
      </c>
      <c r="I325">
        <v>1</v>
      </c>
      <c r="J325">
        <v>0</v>
      </c>
      <c r="K325">
        <v>0</v>
      </c>
    </row>
    <row r="326" spans="1:11" x14ac:dyDescent="0.2">
      <c r="A326">
        <v>51053</v>
      </c>
      <c r="B326" t="s">
        <v>903</v>
      </c>
      <c r="C326" t="str">
        <f t="shared" si="5"/>
        <v>BRNG</v>
      </c>
      <c r="D326" t="s">
        <v>804</v>
      </c>
      <c r="E326">
        <v>5</v>
      </c>
      <c r="F326" t="s">
        <v>805</v>
      </c>
      <c r="G326">
        <v>1</v>
      </c>
      <c r="H326" t="s">
        <v>806</v>
      </c>
      <c r="I326">
        <v>1</v>
      </c>
      <c r="J326">
        <v>0</v>
      </c>
      <c r="K326">
        <v>0</v>
      </c>
    </row>
    <row r="327" spans="1:11" x14ac:dyDescent="0.2">
      <c r="A327">
        <v>51053</v>
      </c>
      <c r="B327" t="s">
        <v>903</v>
      </c>
      <c r="C327" t="str">
        <f t="shared" si="5"/>
        <v>BRNG</v>
      </c>
      <c r="D327" t="s">
        <v>807</v>
      </c>
      <c r="E327">
        <v>5</v>
      </c>
      <c r="F327" t="s">
        <v>805</v>
      </c>
      <c r="G327">
        <v>1</v>
      </c>
      <c r="H327" t="s">
        <v>806</v>
      </c>
      <c r="I327">
        <v>1</v>
      </c>
      <c r="J327">
        <v>19.687899999999999</v>
      </c>
      <c r="K327">
        <v>3.3188</v>
      </c>
    </row>
    <row r="328" spans="1:11" x14ac:dyDescent="0.2">
      <c r="A328">
        <v>51053</v>
      </c>
      <c r="B328" t="s">
        <v>903</v>
      </c>
      <c r="C328" t="str">
        <f t="shared" si="5"/>
        <v>BRNG</v>
      </c>
      <c r="D328" t="s">
        <v>808</v>
      </c>
      <c r="E328">
        <v>5</v>
      </c>
      <c r="F328" t="s">
        <v>805</v>
      </c>
      <c r="G328">
        <v>1</v>
      </c>
      <c r="H328" t="s">
        <v>806</v>
      </c>
      <c r="I328">
        <v>1</v>
      </c>
      <c r="J328">
        <v>0</v>
      </c>
      <c r="K328">
        <v>0</v>
      </c>
    </row>
    <row r="329" spans="1:11" x14ac:dyDescent="0.2">
      <c r="A329">
        <v>51053</v>
      </c>
      <c r="B329" t="s">
        <v>903</v>
      </c>
      <c r="C329" t="str">
        <f t="shared" si="5"/>
        <v>BRNG</v>
      </c>
      <c r="D329" t="s">
        <v>809</v>
      </c>
      <c r="E329">
        <v>5</v>
      </c>
      <c r="F329" t="s">
        <v>805</v>
      </c>
      <c r="G329">
        <v>1</v>
      </c>
      <c r="H329" t="s">
        <v>806</v>
      </c>
      <c r="I329">
        <v>1</v>
      </c>
      <c r="J329">
        <v>0</v>
      </c>
      <c r="K329">
        <v>0</v>
      </c>
    </row>
    <row r="330" spans="1:11" x14ac:dyDescent="0.2">
      <c r="A330">
        <v>51056</v>
      </c>
      <c r="B330" t="s">
        <v>907</v>
      </c>
      <c r="C330" t="str">
        <f t="shared" si="5"/>
        <v>BSTA</v>
      </c>
      <c r="D330" t="s">
        <v>804</v>
      </c>
      <c r="E330">
        <v>5</v>
      </c>
      <c r="F330" t="s">
        <v>805</v>
      </c>
      <c r="G330">
        <v>1</v>
      </c>
      <c r="H330" t="s">
        <v>806</v>
      </c>
      <c r="I330">
        <v>1</v>
      </c>
      <c r="J330">
        <v>6.1623000000000001</v>
      </c>
      <c r="K330">
        <v>0.62339999999999995</v>
      </c>
    </row>
    <row r="331" spans="1:11" x14ac:dyDescent="0.2">
      <c r="A331">
        <v>51056</v>
      </c>
      <c r="B331" t="s">
        <v>907</v>
      </c>
      <c r="C331" t="str">
        <f t="shared" si="5"/>
        <v>BSTA</v>
      </c>
      <c r="D331" t="s">
        <v>807</v>
      </c>
      <c r="E331">
        <v>5</v>
      </c>
      <c r="F331" t="s">
        <v>805</v>
      </c>
      <c r="G331">
        <v>1</v>
      </c>
      <c r="H331" t="s">
        <v>806</v>
      </c>
      <c r="I331">
        <v>1</v>
      </c>
      <c r="J331">
        <v>11.104699999999999</v>
      </c>
      <c r="K331">
        <v>1.1587000000000001</v>
      </c>
    </row>
    <row r="332" spans="1:11" x14ac:dyDescent="0.2">
      <c r="A332">
        <v>51056</v>
      </c>
      <c r="B332" t="s">
        <v>907</v>
      </c>
      <c r="C332" t="str">
        <f t="shared" si="5"/>
        <v>BSTA</v>
      </c>
      <c r="D332" t="s">
        <v>808</v>
      </c>
      <c r="E332">
        <v>5</v>
      </c>
      <c r="F332" t="s">
        <v>805</v>
      </c>
      <c r="G332">
        <v>1</v>
      </c>
      <c r="H332" t="s">
        <v>806</v>
      </c>
      <c r="I332">
        <v>1</v>
      </c>
      <c r="J332">
        <v>15.17</v>
      </c>
      <c r="K332">
        <v>2.1465999999999998</v>
      </c>
    </row>
    <row r="333" spans="1:11" x14ac:dyDescent="0.2">
      <c r="A333">
        <v>51056</v>
      </c>
      <c r="B333" t="s">
        <v>907</v>
      </c>
      <c r="C333" t="str">
        <f t="shared" si="5"/>
        <v>BSTA</v>
      </c>
      <c r="D333" t="s">
        <v>809</v>
      </c>
      <c r="E333">
        <v>5</v>
      </c>
      <c r="F333" t="s">
        <v>805</v>
      </c>
      <c r="G333">
        <v>1</v>
      </c>
      <c r="H333" t="s">
        <v>806</v>
      </c>
      <c r="I333">
        <v>1</v>
      </c>
      <c r="J333">
        <v>15.227</v>
      </c>
      <c r="K333">
        <v>2.1673</v>
      </c>
    </row>
    <row r="334" spans="1:11" x14ac:dyDescent="0.2">
      <c r="A334">
        <v>51001</v>
      </c>
      <c r="B334" t="s">
        <v>909</v>
      </c>
      <c r="C334" t="str">
        <f t="shared" si="5"/>
        <v>BTAI</v>
      </c>
      <c r="D334" t="s">
        <v>804</v>
      </c>
      <c r="E334">
        <v>5</v>
      </c>
      <c r="F334" t="s">
        <v>805</v>
      </c>
      <c r="G334">
        <v>1</v>
      </c>
      <c r="H334" t="s">
        <v>806</v>
      </c>
      <c r="I334">
        <v>1</v>
      </c>
      <c r="J334">
        <v>11.876099999999999</v>
      </c>
      <c r="K334">
        <v>-7.7952000000000004</v>
      </c>
    </row>
    <row r="335" spans="1:11" x14ac:dyDescent="0.2">
      <c r="A335">
        <v>51001</v>
      </c>
      <c r="B335" t="s">
        <v>909</v>
      </c>
      <c r="C335" t="str">
        <f t="shared" si="5"/>
        <v>BTAI</v>
      </c>
      <c r="D335" t="s">
        <v>807</v>
      </c>
      <c r="E335">
        <v>5</v>
      </c>
      <c r="F335" t="s">
        <v>805</v>
      </c>
      <c r="G335">
        <v>1</v>
      </c>
      <c r="H335" t="s">
        <v>806</v>
      </c>
      <c r="I335">
        <v>1</v>
      </c>
      <c r="J335">
        <v>0</v>
      </c>
      <c r="K335">
        <v>0</v>
      </c>
    </row>
    <row r="336" spans="1:11" x14ac:dyDescent="0.2">
      <c r="A336">
        <v>51048</v>
      </c>
      <c r="B336" t="s">
        <v>911</v>
      </c>
      <c r="C336" t="str">
        <f t="shared" si="5"/>
        <v>BTGA</v>
      </c>
      <c r="D336" t="s">
        <v>804</v>
      </c>
      <c r="E336">
        <v>5</v>
      </c>
      <c r="F336" t="s">
        <v>805</v>
      </c>
      <c r="G336">
        <v>1</v>
      </c>
      <c r="H336" t="s">
        <v>806</v>
      </c>
      <c r="I336">
        <v>1</v>
      </c>
      <c r="J336">
        <v>18.814</v>
      </c>
      <c r="K336">
        <v>2.8393000000000002</v>
      </c>
    </row>
    <row r="337" spans="1:11" x14ac:dyDescent="0.2">
      <c r="A337">
        <v>51048</v>
      </c>
      <c r="B337" t="s">
        <v>911</v>
      </c>
      <c r="C337" t="str">
        <f t="shared" si="5"/>
        <v>BTGA</v>
      </c>
      <c r="D337" t="s">
        <v>807</v>
      </c>
      <c r="E337">
        <v>5</v>
      </c>
      <c r="F337" t="s">
        <v>805</v>
      </c>
      <c r="G337">
        <v>1</v>
      </c>
      <c r="H337" t="s">
        <v>806</v>
      </c>
      <c r="I337">
        <v>1</v>
      </c>
      <c r="J337">
        <v>19.086300000000001</v>
      </c>
      <c r="K337">
        <v>2.0099</v>
      </c>
    </row>
    <row r="338" spans="1:11" x14ac:dyDescent="0.2">
      <c r="A338">
        <v>51048</v>
      </c>
      <c r="B338" t="s">
        <v>911</v>
      </c>
      <c r="C338" t="str">
        <f t="shared" si="5"/>
        <v>BTGA</v>
      </c>
      <c r="D338" t="s">
        <v>808</v>
      </c>
      <c r="E338">
        <v>5</v>
      </c>
      <c r="F338" t="s">
        <v>805</v>
      </c>
      <c r="G338">
        <v>1</v>
      </c>
      <c r="H338" t="s">
        <v>806</v>
      </c>
      <c r="I338">
        <v>1</v>
      </c>
      <c r="J338">
        <v>0</v>
      </c>
      <c r="K338">
        <v>0</v>
      </c>
    </row>
    <row r="339" spans="1:11" x14ac:dyDescent="0.2">
      <c r="A339">
        <v>151088</v>
      </c>
      <c r="B339" t="s">
        <v>913</v>
      </c>
      <c r="C339" t="str">
        <f t="shared" si="5"/>
        <v>BTIC</v>
      </c>
      <c r="D339" t="s">
        <v>848</v>
      </c>
      <c r="E339">
        <v>5</v>
      </c>
      <c r="F339" t="s">
        <v>805</v>
      </c>
      <c r="G339">
        <v>1</v>
      </c>
      <c r="H339" t="s">
        <v>806</v>
      </c>
      <c r="I339">
        <v>1</v>
      </c>
      <c r="J339">
        <v>0</v>
      </c>
      <c r="K339">
        <v>0</v>
      </c>
    </row>
    <row r="340" spans="1:11" x14ac:dyDescent="0.2">
      <c r="A340">
        <v>51088</v>
      </c>
      <c r="B340" t="s">
        <v>914</v>
      </c>
      <c r="C340" t="str">
        <f t="shared" si="5"/>
        <v>BTIC</v>
      </c>
      <c r="D340" t="s">
        <v>848</v>
      </c>
      <c r="E340">
        <v>5</v>
      </c>
      <c r="F340" t="s">
        <v>805</v>
      </c>
      <c r="G340">
        <v>1</v>
      </c>
      <c r="H340" t="s">
        <v>806</v>
      </c>
      <c r="I340">
        <v>1</v>
      </c>
      <c r="J340">
        <v>0</v>
      </c>
      <c r="K340">
        <v>0</v>
      </c>
    </row>
    <row r="341" spans="1:11" x14ac:dyDescent="0.2">
      <c r="A341">
        <v>51008</v>
      </c>
      <c r="B341" t="s">
        <v>915</v>
      </c>
      <c r="C341" t="str">
        <f t="shared" si="5"/>
        <v>BTIN</v>
      </c>
      <c r="D341" t="s">
        <v>804</v>
      </c>
      <c r="E341">
        <v>5</v>
      </c>
      <c r="F341" t="s">
        <v>805</v>
      </c>
      <c r="G341">
        <v>1</v>
      </c>
      <c r="H341" t="s">
        <v>806</v>
      </c>
      <c r="I341">
        <v>1</v>
      </c>
      <c r="J341">
        <v>52.414900000000003</v>
      </c>
      <c r="K341">
        <v>7.8148999999999997</v>
      </c>
    </row>
    <row r="342" spans="1:11" x14ac:dyDescent="0.2">
      <c r="A342">
        <v>51008</v>
      </c>
      <c r="B342" t="s">
        <v>915</v>
      </c>
      <c r="C342" t="str">
        <f t="shared" si="5"/>
        <v>BTIN</v>
      </c>
      <c r="D342" t="s">
        <v>807</v>
      </c>
      <c r="E342">
        <v>5</v>
      </c>
      <c r="F342" t="s">
        <v>805</v>
      </c>
      <c r="G342">
        <v>1</v>
      </c>
      <c r="H342" t="s">
        <v>806</v>
      </c>
      <c r="I342">
        <v>1</v>
      </c>
      <c r="J342">
        <v>54.306699999999999</v>
      </c>
      <c r="K342">
        <v>7.8883999999999999</v>
      </c>
    </row>
    <row r="343" spans="1:11" x14ac:dyDescent="0.2">
      <c r="A343">
        <v>51112</v>
      </c>
      <c r="B343" t="s">
        <v>924</v>
      </c>
      <c r="C343" t="str">
        <f t="shared" si="5"/>
        <v>CBJN</v>
      </c>
      <c r="D343" t="s">
        <v>804</v>
      </c>
      <c r="E343">
        <v>5</v>
      </c>
      <c r="F343" t="s">
        <v>805</v>
      </c>
      <c r="G343">
        <v>1</v>
      </c>
      <c r="H343" t="s">
        <v>806</v>
      </c>
      <c r="I343">
        <v>1</v>
      </c>
      <c r="J343">
        <v>5.4633000000000003</v>
      </c>
      <c r="K343">
        <v>0.2112</v>
      </c>
    </row>
    <row r="344" spans="1:11" x14ac:dyDescent="0.2">
      <c r="A344">
        <v>51112</v>
      </c>
      <c r="B344" t="s">
        <v>924</v>
      </c>
      <c r="C344" t="str">
        <f t="shared" si="5"/>
        <v>CBJN</v>
      </c>
      <c r="D344" t="s">
        <v>807</v>
      </c>
      <c r="E344">
        <v>5</v>
      </c>
      <c r="F344" t="s">
        <v>805</v>
      </c>
      <c r="G344">
        <v>1</v>
      </c>
      <c r="H344" t="s">
        <v>806</v>
      </c>
      <c r="I344">
        <v>1</v>
      </c>
      <c r="J344">
        <v>6.2637</v>
      </c>
      <c r="K344">
        <v>0.42559999999999998</v>
      </c>
    </row>
    <row r="345" spans="1:11" x14ac:dyDescent="0.2">
      <c r="A345">
        <v>51112</v>
      </c>
      <c r="B345" t="s">
        <v>924</v>
      </c>
      <c r="C345" t="str">
        <f t="shared" si="5"/>
        <v>CBJN</v>
      </c>
      <c r="D345" t="s">
        <v>808</v>
      </c>
      <c r="E345">
        <v>5</v>
      </c>
      <c r="F345" t="s">
        <v>805</v>
      </c>
      <c r="G345">
        <v>1</v>
      </c>
      <c r="H345" t="s">
        <v>806</v>
      </c>
      <c r="I345">
        <v>1</v>
      </c>
      <c r="J345">
        <v>29.5593</v>
      </c>
      <c r="K345">
        <v>-1.0250999999999999</v>
      </c>
    </row>
    <row r="346" spans="1:11" x14ac:dyDescent="0.2">
      <c r="A346">
        <v>51112</v>
      </c>
      <c r="B346" t="s">
        <v>924</v>
      </c>
      <c r="C346" t="str">
        <f t="shared" si="5"/>
        <v>CBJN</v>
      </c>
      <c r="D346" t="s">
        <v>809</v>
      </c>
      <c r="E346">
        <v>5</v>
      </c>
      <c r="F346" t="s">
        <v>805</v>
      </c>
      <c r="G346">
        <v>1</v>
      </c>
      <c r="H346" t="s">
        <v>806</v>
      </c>
      <c r="I346">
        <v>1</v>
      </c>
      <c r="J346">
        <v>29.7043</v>
      </c>
      <c r="K346">
        <v>-1.0365</v>
      </c>
    </row>
    <row r="347" spans="1:11" x14ac:dyDescent="0.2">
      <c r="A347">
        <v>51006</v>
      </c>
      <c r="B347" t="s">
        <v>925</v>
      </c>
      <c r="C347" t="str">
        <f t="shared" si="5"/>
        <v>CBPS</v>
      </c>
      <c r="D347" t="s">
        <v>804</v>
      </c>
      <c r="E347">
        <v>5</v>
      </c>
      <c r="F347" t="s">
        <v>805</v>
      </c>
      <c r="G347">
        <v>1</v>
      </c>
      <c r="H347" t="s">
        <v>806</v>
      </c>
      <c r="I347">
        <v>1</v>
      </c>
      <c r="J347">
        <v>15.869</v>
      </c>
      <c r="K347">
        <v>2.5731999999999999</v>
      </c>
    </row>
    <row r="348" spans="1:11" x14ac:dyDescent="0.2">
      <c r="A348">
        <v>51006</v>
      </c>
      <c r="B348" t="s">
        <v>925</v>
      </c>
      <c r="C348" t="str">
        <f t="shared" si="5"/>
        <v>CBPS</v>
      </c>
      <c r="D348" t="s">
        <v>807</v>
      </c>
      <c r="E348">
        <v>5</v>
      </c>
      <c r="F348" t="s">
        <v>805</v>
      </c>
      <c r="G348">
        <v>1</v>
      </c>
      <c r="H348" t="s">
        <v>806</v>
      </c>
      <c r="I348">
        <v>1</v>
      </c>
      <c r="J348">
        <v>12.098800000000001</v>
      </c>
      <c r="K348">
        <v>2.3702999999999999</v>
      </c>
    </row>
    <row r="349" spans="1:11" x14ac:dyDescent="0.2">
      <c r="A349">
        <v>51006</v>
      </c>
      <c r="B349" t="s">
        <v>925</v>
      </c>
      <c r="C349" t="str">
        <f t="shared" si="5"/>
        <v>CBPS</v>
      </c>
      <c r="D349" t="s">
        <v>808</v>
      </c>
      <c r="E349">
        <v>5</v>
      </c>
      <c r="F349" t="s">
        <v>805</v>
      </c>
      <c r="G349">
        <v>1</v>
      </c>
      <c r="H349" t="s">
        <v>806</v>
      </c>
      <c r="I349">
        <v>1</v>
      </c>
      <c r="J349">
        <v>44.967599999999997</v>
      </c>
      <c r="K349">
        <v>4.8647999999999998</v>
      </c>
    </row>
    <row r="350" spans="1:11" x14ac:dyDescent="0.2">
      <c r="A350">
        <v>51006</v>
      </c>
      <c r="B350" t="s">
        <v>925</v>
      </c>
      <c r="C350" t="str">
        <f t="shared" si="5"/>
        <v>CBPS</v>
      </c>
      <c r="D350" t="s">
        <v>809</v>
      </c>
      <c r="E350">
        <v>5</v>
      </c>
      <c r="F350" t="s">
        <v>805</v>
      </c>
      <c r="G350">
        <v>1</v>
      </c>
      <c r="H350" t="s">
        <v>806</v>
      </c>
      <c r="I350">
        <v>1</v>
      </c>
      <c r="J350">
        <v>44.174399999999999</v>
      </c>
      <c r="K350">
        <v>3.4451000000000001</v>
      </c>
    </row>
    <row r="351" spans="1:11" x14ac:dyDescent="0.2">
      <c r="A351">
        <v>51038</v>
      </c>
      <c r="B351" t="s">
        <v>932</v>
      </c>
      <c r="C351" t="str">
        <f t="shared" si="5"/>
        <v>CJYA</v>
      </c>
      <c r="D351" t="s">
        <v>804</v>
      </c>
      <c r="E351">
        <v>5</v>
      </c>
      <c r="F351" t="s">
        <v>805</v>
      </c>
      <c r="G351">
        <v>1</v>
      </c>
      <c r="H351" t="s">
        <v>806</v>
      </c>
      <c r="I351">
        <v>1</v>
      </c>
      <c r="J351">
        <v>31.834299999999999</v>
      </c>
      <c r="K351">
        <v>4.4401999999999999</v>
      </c>
    </row>
    <row r="352" spans="1:11" x14ac:dyDescent="0.2">
      <c r="A352">
        <v>51038</v>
      </c>
      <c r="B352" t="s">
        <v>932</v>
      </c>
      <c r="C352" t="str">
        <f t="shared" si="5"/>
        <v>CJYA</v>
      </c>
      <c r="D352" t="s">
        <v>807</v>
      </c>
      <c r="E352">
        <v>5</v>
      </c>
      <c r="F352" t="s">
        <v>805</v>
      </c>
      <c r="G352">
        <v>1</v>
      </c>
      <c r="H352" t="s">
        <v>806</v>
      </c>
      <c r="I352">
        <v>1</v>
      </c>
      <c r="J352">
        <v>33.505600000000001</v>
      </c>
      <c r="K352">
        <v>6.4667000000000003</v>
      </c>
    </row>
    <row r="353" spans="1:11" x14ac:dyDescent="0.2">
      <c r="A353">
        <v>51038</v>
      </c>
      <c r="B353" t="s">
        <v>932</v>
      </c>
      <c r="C353" t="str">
        <f t="shared" si="5"/>
        <v>CJYA</v>
      </c>
      <c r="D353" t="s">
        <v>808</v>
      </c>
      <c r="E353">
        <v>5</v>
      </c>
      <c r="F353" t="s">
        <v>805</v>
      </c>
      <c r="G353">
        <v>1</v>
      </c>
      <c r="H353" t="s">
        <v>806</v>
      </c>
      <c r="I353">
        <v>1</v>
      </c>
      <c r="J353">
        <v>66.927400000000006</v>
      </c>
      <c r="K353">
        <v>7.7186000000000003</v>
      </c>
    </row>
    <row r="354" spans="1:11" x14ac:dyDescent="0.2">
      <c r="A354">
        <v>52008</v>
      </c>
      <c r="B354" t="s">
        <v>949</v>
      </c>
      <c r="C354" t="str">
        <f t="shared" si="5"/>
        <v>EGDC</v>
      </c>
      <c r="D354" t="s">
        <v>804</v>
      </c>
      <c r="E354">
        <v>5</v>
      </c>
      <c r="F354" t="s">
        <v>805</v>
      </c>
      <c r="G354">
        <v>1</v>
      </c>
      <c r="H354" t="s">
        <v>806</v>
      </c>
      <c r="I354">
        <v>1</v>
      </c>
      <c r="J354">
        <v>2.129</v>
      </c>
      <c r="K354">
        <v>0.75060000000000004</v>
      </c>
    </row>
    <row r="355" spans="1:11" x14ac:dyDescent="0.2">
      <c r="A355">
        <v>51067</v>
      </c>
      <c r="B355" t="s">
        <v>950</v>
      </c>
      <c r="C355" t="str">
        <f t="shared" si="5"/>
        <v>ELMW</v>
      </c>
      <c r="D355" t="s">
        <v>804</v>
      </c>
      <c r="E355">
        <v>5</v>
      </c>
      <c r="F355" t="s">
        <v>805</v>
      </c>
      <c r="G355">
        <v>1</v>
      </c>
      <c r="H355" t="s">
        <v>806</v>
      </c>
      <c r="I355">
        <v>1</v>
      </c>
      <c r="J355">
        <v>0</v>
      </c>
      <c r="K355">
        <v>0</v>
      </c>
    </row>
    <row r="356" spans="1:11" x14ac:dyDescent="0.2">
      <c r="A356">
        <v>51067</v>
      </c>
      <c r="B356" t="s">
        <v>950</v>
      </c>
      <c r="C356" t="str">
        <f t="shared" si="5"/>
        <v>ELMW</v>
      </c>
      <c r="D356" t="s">
        <v>807</v>
      </c>
      <c r="E356">
        <v>5</v>
      </c>
      <c r="F356" t="s">
        <v>805</v>
      </c>
      <c r="G356">
        <v>1</v>
      </c>
      <c r="H356" t="s">
        <v>806</v>
      </c>
      <c r="I356">
        <v>1</v>
      </c>
      <c r="J356">
        <v>0</v>
      </c>
      <c r="K356">
        <v>0</v>
      </c>
    </row>
    <row r="357" spans="1:11" x14ac:dyDescent="0.2">
      <c r="A357">
        <v>96169</v>
      </c>
      <c r="B357" t="s">
        <v>958</v>
      </c>
      <c r="C357" t="str">
        <f t="shared" si="5"/>
        <v>ESTK</v>
      </c>
      <c r="D357" t="s">
        <v>804</v>
      </c>
      <c r="E357">
        <v>5</v>
      </c>
      <c r="F357" t="s">
        <v>805</v>
      </c>
      <c r="G357">
        <v>1</v>
      </c>
      <c r="H357" t="s">
        <v>806</v>
      </c>
      <c r="I357">
        <v>1</v>
      </c>
      <c r="J357">
        <v>22.637</v>
      </c>
      <c r="K357">
        <v>6.0100000000000001E-2</v>
      </c>
    </row>
    <row r="358" spans="1:11" x14ac:dyDescent="0.2">
      <c r="A358">
        <v>96169</v>
      </c>
      <c r="B358" t="s">
        <v>958</v>
      </c>
      <c r="C358" t="str">
        <f t="shared" si="5"/>
        <v>ESTK</v>
      </c>
      <c r="D358" t="s">
        <v>807</v>
      </c>
      <c r="E358">
        <v>5</v>
      </c>
      <c r="F358" t="s">
        <v>805</v>
      </c>
      <c r="G358">
        <v>1</v>
      </c>
      <c r="H358" t="s">
        <v>806</v>
      </c>
      <c r="I358">
        <v>1</v>
      </c>
      <c r="J358">
        <v>22.844100000000001</v>
      </c>
      <c r="K358">
        <v>3.1099999999999999E-2</v>
      </c>
    </row>
    <row r="359" spans="1:11" x14ac:dyDescent="0.2">
      <c r="A359">
        <v>51072</v>
      </c>
      <c r="B359" t="s">
        <v>987</v>
      </c>
      <c r="C359" t="str">
        <f t="shared" si="5"/>
        <v>HCOM</v>
      </c>
      <c r="D359" t="s">
        <v>804</v>
      </c>
      <c r="E359">
        <v>5</v>
      </c>
      <c r="F359" t="s">
        <v>805</v>
      </c>
      <c r="G359">
        <v>1</v>
      </c>
      <c r="H359" t="s">
        <v>806</v>
      </c>
      <c r="I359">
        <v>1</v>
      </c>
      <c r="J359">
        <v>38.788800000000002</v>
      </c>
      <c r="K359">
        <v>3.7639999999999998</v>
      </c>
    </row>
    <row r="360" spans="1:11" x14ac:dyDescent="0.2">
      <c r="A360">
        <v>51072</v>
      </c>
      <c r="B360" t="s">
        <v>987</v>
      </c>
      <c r="C360" t="str">
        <f t="shared" si="5"/>
        <v>HCOM</v>
      </c>
      <c r="D360" t="s">
        <v>807</v>
      </c>
      <c r="E360">
        <v>5</v>
      </c>
      <c r="F360" t="s">
        <v>805</v>
      </c>
      <c r="G360">
        <v>1</v>
      </c>
      <c r="H360" t="s">
        <v>806</v>
      </c>
      <c r="I360">
        <v>1</v>
      </c>
      <c r="J360">
        <v>34.007800000000003</v>
      </c>
      <c r="K360">
        <v>5.9603000000000002</v>
      </c>
    </row>
    <row r="361" spans="1:11" x14ac:dyDescent="0.2">
      <c r="A361">
        <v>51072</v>
      </c>
      <c r="B361" t="s">
        <v>987</v>
      </c>
      <c r="C361" t="str">
        <f t="shared" si="5"/>
        <v>HCOM</v>
      </c>
      <c r="D361" t="s">
        <v>808</v>
      </c>
      <c r="E361">
        <v>5</v>
      </c>
      <c r="F361" t="s">
        <v>805</v>
      </c>
      <c r="G361">
        <v>1</v>
      </c>
      <c r="H361" t="s">
        <v>806</v>
      </c>
      <c r="I361">
        <v>1</v>
      </c>
      <c r="J361">
        <v>6.7442000000000002</v>
      </c>
      <c r="K361">
        <v>1.1017999999999999</v>
      </c>
    </row>
    <row r="362" spans="1:11" x14ac:dyDescent="0.2">
      <c r="A362">
        <v>51072</v>
      </c>
      <c r="B362" t="s">
        <v>987</v>
      </c>
      <c r="C362" t="str">
        <f t="shared" si="5"/>
        <v>HCOM</v>
      </c>
      <c r="D362" t="s">
        <v>809</v>
      </c>
      <c r="E362">
        <v>5</v>
      </c>
      <c r="F362" t="s">
        <v>805</v>
      </c>
      <c r="G362">
        <v>1</v>
      </c>
      <c r="H362" t="s">
        <v>806</v>
      </c>
      <c r="I362">
        <v>1</v>
      </c>
      <c r="J362">
        <v>9.6643000000000008</v>
      </c>
      <c r="K362">
        <v>1.3389</v>
      </c>
    </row>
    <row r="363" spans="1:11" x14ac:dyDescent="0.2">
      <c r="A363">
        <v>51047</v>
      </c>
      <c r="B363" t="s">
        <v>1002</v>
      </c>
      <c r="C363" t="str">
        <f t="shared" si="5"/>
        <v>IGBK</v>
      </c>
      <c r="D363" t="s">
        <v>804</v>
      </c>
      <c r="E363">
        <v>5</v>
      </c>
      <c r="F363" t="s">
        <v>805</v>
      </c>
      <c r="G363">
        <v>1</v>
      </c>
      <c r="H363" t="s">
        <v>806</v>
      </c>
      <c r="I363">
        <v>1</v>
      </c>
      <c r="J363">
        <v>10.773300000000001</v>
      </c>
      <c r="K363">
        <v>2.0493000000000001</v>
      </c>
    </row>
    <row r="364" spans="1:11" x14ac:dyDescent="0.2">
      <c r="A364">
        <v>51047</v>
      </c>
      <c r="B364" t="s">
        <v>1002</v>
      </c>
      <c r="C364" t="str">
        <f t="shared" si="5"/>
        <v>IGBK</v>
      </c>
      <c r="D364" t="s">
        <v>807</v>
      </c>
      <c r="E364">
        <v>5</v>
      </c>
      <c r="F364" t="s">
        <v>805</v>
      </c>
      <c r="G364">
        <v>1</v>
      </c>
      <c r="H364" t="s">
        <v>806</v>
      </c>
      <c r="I364">
        <v>1</v>
      </c>
      <c r="J364">
        <v>11.6069</v>
      </c>
      <c r="K364">
        <v>2.7305999999999999</v>
      </c>
    </row>
    <row r="365" spans="1:11" x14ac:dyDescent="0.2">
      <c r="A365">
        <v>51047</v>
      </c>
      <c r="B365" t="s">
        <v>1002</v>
      </c>
      <c r="C365" t="str">
        <f t="shared" si="5"/>
        <v>IGBK</v>
      </c>
      <c r="D365" t="s">
        <v>808</v>
      </c>
      <c r="E365">
        <v>5</v>
      </c>
      <c r="F365" t="s">
        <v>805</v>
      </c>
      <c r="G365">
        <v>1</v>
      </c>
      <c r="H365" t="s">
        <v>806</v>
      </c>
      <c r="I365">
        <v>1</v>
      </c>
      <c r="J365">
        <v>20.9937</v>
      </c>
      <c r="K365">
        <v>2.5876999999999999</v>
      </c>
    </row>
    <row r="366" spans="1:11" x14ac:dyDescent="0.2">
      <c r="A366">
        <v>51047</v>
      </c>
      <c r="B366" t="s">
        <v>1002</v>
      </c>
      <c r="C366" t="str">
        <f t="shared" si="5"/>
        <v>IGBK</v>
      </c>
      <c r="D366" t="s">
        <v>809</v>
      </c>
      <c r="E366">
        <v>5</v>
      </c>
      <c r="F366" t="s">
        <v>805</v>
      </c>
      <c r="G366">
        <v>1</v>
      </c>
      <c r="H366" t="s">
        <v>806</v>
      </c>
      <c r="I366">
        <v>1</v>
      </c>
      <c r="J366">
        <v>19.282</v>
      </c>
      <c r="K366">
        <v>0.56540000000000001</v>
      </c>
    </row>
    <row r="367" spans="1:11" x14ac:dyDescent="0.2">
      <c r="A367">
        <v>51031</v>
      </c>
      <c r="B367" t="s">
        <v>1032</v>
      </c>
      <c r="C367" t="str">
        <f t="shared" si="5"/>
        <v>KCPK</v>
      </c>
      <c r="D367" t="s">
        <v>804</v>
      </c>
      <c r="E367">
        <v>5</v>
      </c>
      <c r="F367" t="s">
        <v>805</v>
      </c>
      <c r="G367">
        <v>1</v>
      </c>
      <c r="H367" t="s">
        <v>806</v>
      </c>
      <c r="I367">
        <v>1</v>
      </c>
      <c r="J367">
        <v>31.129200000000001</v>
      </c>
      <c r="K367">
        <v>2.0678999999999998</v>
      </c>
    </row>
    <row r="368" spans="1:11" x14ac:dyDescent="0.2">
      <c r="A368">
        <v>51031</v>
      </c>
      <c r="B368" t="s">
        <v>1032</v>
      </c>
      <c r="C368" t="str">
        <f t="shared" si="5"/>
        <v>KCPK</v>
      </c>
      <c r="D368" t="s">
        <v>807</v>
      </c>
      <c r="E368">
        <v>5</v>
      </c>
      <c r="F368" t="s">
        <v>805</v>
      </c>
      <c r="G368">
        <v>1</v>
      </c>
      <c r="H368" t="s">
        <v>806</v>
      </c>
      <c r="I368">
        <v>1</v>
      </c>
      <c r="J368">
        <v>31.0246</v>
      </c>
      <c r="K368">
        <v>2.1217000000000001</v>
      </c>
    </row>
    <row r="369" spans="1:11" x14ac:dyDescent="0.2">
      <c r="A369">
        <v>51011</v>
      </c>
      <c r="B369" t="s">
        <v>1034</v>
      </c>
      <c r="C369" t="str">
        <f t="shared" si="5"/>
        <v>KDSA</v>
      </c>
      <c r="D369" t="s">
        <v>804</v>
      </c>
      <c r="E369">
        <v>5</v>
      </c>
      <c r="F369" t="s">
        <v>805</v>
      </c>
      <c r="G369">
        <v>1</v>
      </c>
      <c r="H369" t="s">
        <v>806</v>
      </c>
      <c r="I369">
        <v>1</v>
      </c>
      <c r="J369">
        <v>8.5200999999999993</v>
      </c>
      <c r="K369">
        <v>1.4839</v>
      </c>
    </row>
    <row r="370" spans="1:11" x14ac:dyDescent="0.2">
      <c r="A370">
        <v>51011</v>
      </c>
      <c r="B370" t="s">
        <v>1034</v>
      </c>
      <c r="C370" t="str">
        <f t="shared" si="5"/>
        <v>KDSA</v>
      </c>
      <c r="D370" t="s">
        <v>807</v>
      </c>
      <c r="E370">
        <v>5</v>
      </c>
      <c r="F370" t="s">
        <v>805</v>
      </c>
      <c r="G370">
        <v>1</v>
      </c>
      <c r="H370" t="s">
        <v>806</v>
      </c>
      <c r="I370">
        <v>1</v>
      </c>
      <c r="J370">
        <v>10.7361</v>
      </c>
      <c r="K370">
        <v>1.8225</v>
      </c>
    </row>
    <row r="371" spans="1:11" x14ac:dyDescent="0.2">
      <c r="A371">
        <v>51011</v>
      </c>
      <c r="B371" t="s">
        <v>1034</v>
      </c>
      <c r="C371" t="str">
        <f t="shared" si="5"/>
        <v>KDSA</v>
      </c>
      <c r="D371" t="s">
        <v>808</v>
      </c>
      <c r="E371">
        <v>5</v>
      </c>
      <c r="F371" t="s">
        <v>805</v>
      </c>
      <c r="G371">
        <v>1</v>
      </c>
      <c r="H371" t="s">
        <v>806</v>
      </c>
      <c r="I371">
        <v>1</v>
      </c>
      <c r="J371">
        <v>51.034599999999998</v>
      </c>
      <c r="K371">
        <v>7.0559000000000003</v>
      </c>
    </row>
    <row r="372" spans="1:11" x14ac:dyDescent="0.2">
      <c r="A372">
        <v>51011</v>
      </c>
      <c r="B372" t="s">
        <v>1034</v>
      </c>
      <c r="C372" t="str">
        <f t="shared" si="5"/>
        <v>KDSA</v>
      </c>
      <c r="D372" t="s">
        <v>809</v>
      </c>
      <c r="E372">
        <v>5</v>
      </c>
      <c r="F372" t="s">
        <v>805</v>
      </c>
      <c r="G372">
        <v>1</v>
      </c>
      <c r="H372" t="s">
        <v>806</v>
      </c>
      <c r="I372">
        <v>1</v>
      </c>
      <c r="J372">
        <v>39.991999999999997</v>
      </c>
      <c r="K372">
        <v>0.54359999999999997</v>
      </c>
    </row>
    <row r="373" spans="1:11" x14ac:dyDescent="0.2">
      <c r="A373">
        <v>51011</v>
      </c>
      <c r="B373" t="s">
        <v>1034</v>
      </c>
      <c r="C373" t="str">
        <f t="shared" si="5"/>
        <v>KDSA</v>
      </c>
      <c r="D373" t="s">
        <v>810</v>
      </c>
      <c r="E373">
        <v>5</v>
      </c>
      <c r="F373" t="s">
        <v>805</v>
      </c>
      <c r="G373">
        <v>1</v>
      </c>
      <c r="H373" t="s">
        <v>806</v>
      </c>
      <c r="I373">
        <v>1</v>
      </c>
      <c r="J373">
        <v>40.815199999999997</v>
      </c>
      <c r="K373">
        <v>13.0121</v>
      </c>
    </row>
    <row r="374" spans="1:11" x14ac:dyDescent="0.2">
      <c r="A374">
        <v>51055</v>
      </c>
      <c r="B374" t="s">
        <v>1046</v>
      </c>
      <c r="C374" t="str">
        <f t="shared" si="5"/>
        <v>KJNG</v>
      </c>
      <c r="D374" t="s">
        <v>804</v>
      </c>
      <c r="E374">
        <v>5</v>
      </c>
      <c r="F374" t="s">
        <v>805</v>
      </c>
      <c r="G374">
        <v>1</v>
      </c>
      <c r="H374" t="s">
        <v>806</v>
      </c>
      <c r="I374">
        <v>1</v>
      </c>
      <c r="J374">
        <v>12.655900000000001</v>
      </c>
      <c r="K374">
        <v>2.6156999999999999</v>
      </c>
    </row>
    <row r="375" spans="1:11" x14ac:dyDescent="0.2">
      <c r="A375">
        <v>51055</v>
      </c>
      <c r="B375" t="s">
        <v>1046</v>
      </c>
      <c r="C375" t="str">
        <f t="shared" si="5"/>
        <v>KJNG</v>
      </c>
      <c r="D375" t="s">
        <v>807</v>
      </c>
      <c r="E375">
        <v>5</v>
      </c>
      <c r="F375" t="s">
        <v>805</v>
      </c>
      <c r="G375">
        <v>1</v>
      </c>
      <c r="H375" t="s">
        <v>806</v>
      </c>
      <c r="I375">
        <v>1</v>
      </c>
      <c r="J375">
        <v>15.4838</v>
      </c>
      <c r="K375">
        <v>2.9605000000000001</v>
      </c>
    </row>
    <row r="376" spans="1:11" x14ac:dyDescent="0.2">
      <c r="A376">
        <v>51055</v>
      </c>
      <c r="B376" t="s">
        <v>1046</v>
      </c>
      <c r="C376" t="str">
        <f t="shared" si="5"/>
        <v>KJNG</v>
      </c>
      <c r="D376" t="s">
        <v>808</v>
      </c>
      <c r="E376">
        <v>5</v>
      </c>
      <c r="F376" t="s">
        <v>805</v>
      </c>
      <c r="G376">
        <v>1</v>
      </c>
      <c r="H376" t="s">
        <v>806</v>
      </c>
      <c r="I376">
        <v>1</v>
      </c>
      <c r="J376">
        <v>39.661700000000003</v>
      </c>
      <c r="K376">
        <v>4.5624000000000002</v>
      </c>
    </row>
    <row r="377" spans="1:11" x14ac:dyDescent="0.2">
      <c r="A377">
        <v>51055</v>
      </c>
      <c r="B377" t="s">
        <v>1046</v>
      </c>
      <c r="C377" t="str">
        <f t="shared" si="5"/>
        <v>KJNG</v>
      </c>
      <c r="D377" t="s">
        <v>809</v>
      </c>
      <c r="E377">
        <v>5</v>
      </c>
      <c r="F377" t="s">
        <v>805</v>
      </c>
      <c r="G377">
        <v>1</v>
      </c>
      <c r="H377" t="s">
        <v>806</v>
      </c>
      <c r="I377">
        <v>1</v>
      </c>
      <c r="J377">
        <v>39.786999999999999</v>
      </c>
      <c r="K377">
        <v>4.6048999999999998</v>
      </c>
    </row>
    <row r="378" spans="1:11" x14ac:dyDescent="0.2">
      <c r="A378">
        <v>51036</v>
      </c>
      <c r="B378" t="s">
        <v>1048</v>
      </c>
      <c r="C378" t="str">
        <f t="shared" si="5"/>
        <v>KKMG</v>
      </c>
      <c r="D378" t="s">
        <v>804</v>
      </c>
      <c r="E378">
        <v>5</v>
      </c>
      <c r="F378" t="s">
        <v>805</v>
      </c>
      <c r="G378">
        <v>1</v>
      </c>
      <c r="H378" t="s">
        <v>806</v>
      </c>
      <c r="I378">
        <v>1</v>
      </c>
      <c r="J378">
        <v>6.8621999999999996</v>
      </c>
      <c r="K378">
        <v>0.88639999999999997</v>
      </c>
    </row>
    <row r="379" spans="1:11" x14ac:dyDescent="0.2">
      <c r="A379">
        <v>51036</v>
      </c>
      <c r="B379" t="s">
        <v>1048</v>
      </c>
      <c r="C379" t="str">
        <f t="shared" si="5"/>
        <v>KKMG</v>
      </c>
      <c r="D379" t="s">
        <v>807</v>
      </c>
      <c r="E379">
        <v>5</v>
      </c>
      <c r="F379" t="s">
        <v>805</v>
      </c>
      <c r="G379">
        <v>1</v>
      </c>
      <c r="H379" t="s">
        <v>806</v>
      </c>
      <c r="I379">
        <v>1</v>
      </c>
      <c r="J379">
        <v>7.7538</v>
      </c>
      <c r="K379">
        <v>1.2654000000000001</v>
      </c>
    </row>
    <row r="380" spans="1:11" x14ac:dyDescent="0.2">
      <c r="A380">
        <v>51036</v>
      </c>
      <c r="B380" t="s">
        <v>1048</v>
      </c>
      <c r="C380" t="str">
        <f t="shared" si="5"/>
        <v>KKMG</v>
      </c>
      <c r="D380" t="s">
        <v>808</v>
      </c>
      <c r="E380">
        <v>5</v>
      </c>
      <c r="F380" t="s">
        <v>805</v>
      </c>
      <c r="G380">
        <v>1</v>
      </c>
      <c r="H380" t="s">
        <v>806</v>
      </c>
      <c r="I380">
        <v>1</v>
      </c>
      <c r="J380">
        <v>44.429099999999998</v>
      </c>
      <c r="K380">
        <v>4.0518999999999998</v>
      </c>
    </row>
    <row r="381" spans="1:11" x14ac:dyDescent="0.2">
      <c r="A381">
        <v>51036</v>
      </c>
      <c r="B381" t="s">
        <v>1048</v>
      </c>
      <c r="C381" t="str">
        <f t="shared" si="5"/>
        <v>KKMG</v>
      </c>
      <c r="D381" t="s">
        <v>809</v>
      </c>
      <c r="E381">
        <v>5</v>
      </c>
      <c r="F381" t="s">
        <v>805</v>
      </c>
      <c r="G381">
        <v>1</v>
      </c>
      <c r="H381" t="s">
        <v>806</v>
      </c>
      <c r="I381">
        <v>1</v>
      </c>
      <c r="J381">
        <v>45.143599999999999</v>
      </c>
      <c r="K381">
        <v>4.1036999999999999</v>
      </c>
    </row>
    <row r="382" spans="1:11" x14ac:dyDescent="0.2">
      <c r="A382">
        <v>51018</v>
      </c>
      <c r="B382" t="s">
        <v>1063</v>
      </c>
      <c r="C382" t="str">
        <f t="shared" si="5"/>
        <v>KLIA</v>
      </c>
      <c r="D382" t="s">
        <v>804</v>
      </c>
      <c r="E382">
        <v>5</v>
      </c>
      <c r="F382" t="s">
        <v>805</v>
      </c>
      <c r="G382">
        <v>1</v>
      </c>
      <c r="H382" t="s">
        <v>806</v>
      </c>
      <c r="I382">
        <v>1</v>
      </c>
      <c r="J382">
        <v>6.2534000000000001</v>
      </c>
      <c r="K382">
        <v>-4.4499999999999998E-2</v>
      </c>
    </row>
    <row r="383" spans="1:11" x14ac:dyDescent="0.2">
      <c r="A383">
        <v>51018</v>
      </c>
      <c r="B383" t="s">
        <v>1063</v>
      </c>
      <c r="C383" t="str">
        <f t="shared" si="5"/>
        <v>KLIA</v>
      </c>
      <c r="D383" t="s">
        <v>807</v>
      </c>
      <c r="E383">
        <v>5</v>
      </c>
      <c r="F383" t="s">
        <v>805</v>
      </c>
      <c r="G383">
        <v>1</v>
      </c>
      <c r="H383" t="s">
        <v>806</v>
      </c>
      <c r="I383">
        <v>1</v>
      </c>
      <c r="J383">
        <v>4.9652000000000003</v>
      </c>
      <c r="K383">
        <v>-0.59019999999999995</v>
      </c>
    </row>
    <row r="384" spans="1:11" x14ac:dyDescent="0.2">
      <c r="A384">
        <v>51018</v>
      </c>
      <c r="B384" t="s">
        <v>1063</v>
      </c>
      <c r="C384" t="str">
        <f t="shared" si="5"/>
        <v>KLIA</v>
      </c>
      <c r="D384" t="s">
        <v>808</v>
      </c>
      <c r="E384">
        <v>5</v>
      </c>
      <c r="F384" t="s">
        <v>805</v>
      </c>
      <c r="G384">
        <v>1</v>
      </c>
      <c r="H384" t="s">
        <v>806</v>
      </c>
      <c r="I384">
        <v>1</v>
      </c>
      <c r="J384">
        <v>62.827800000000003</v>
      </c>
      <c r="K384">
        <v>2.0802999999999998</v>
      </c>
    </row>
    <row r="385" spans="1:11" x14ac:dyDescent="0.2">
      <c r="A385">
        <v>51018</v>
      </c>
      <c r="B385" t="s">
        <v>1063</v>
      </c>
      <c r="C385" t="str">
        <f t="shared" si="5"/>
        <v>KLIA</v>
      </c>
      <c r="D385" t="s">
        <v>809</v>
      </c>
      <c r="E385">
        <v>5</v>
      </c>
      <c r="F385" t="s">
        <v>805</v>
      </c>
      <c r="G385">
        <v>1</v>
      </c>
      <c r="H385" t="s">
        <v>806</v>
      </c>
      <c r="I385">
        <v>1</v>
      </c>
      <c r="J385">
        <v>0</v>
      </c>
      <c r="K385">
        <v>0</v>
      </c>
    </row>
    <row r="386" spans="1:11" x14ac:dyDescent="0.2">
      <c r="A386">
        <v>52020</v>
      </c>
      <c r="B386" t="s">
        <v>1069</v>
      </c>
      <c r="C386" t="str">
        <f t="shared" si="5"/>
        <v>KLPP</v>
      </c>
      <c r="D386" t="s">
        <v>804</v>
      </c>
      <c r="E386">
        <v>5</v>
      </c>
      <c r="F386" t="s">
        <v>805</v>
      </c>
      <c r="G386">
        <v>1</v>
      </c>
      <c r="H386" t="s">
        <v>806</v>
      </c>
      <c r="I386">
        <v>1</v>
      </c>
      <c r="J386">
        <v>0</v>
      </c>
      <c r="K386">
        <v>0</v>
      </c>
    </row>
    <row r="387" spans="1:11" x14ac:dyDescent="0.2">
      <c r="A387">
        <v>52020</v>
      </c>
      <c r="B387" t="s">
        <v>1069</v>
      </c>
      <c r="C387" t="str">
        <f t="shared" ref="C387:C450" si="6">LEFT(B387,4)</f>
        <v>KLPP</v>
      </c>
      <c r="D387" t="s">
        <v>807</v>
      </c>
      <c r="E387">
        <v>5</v>
      </c>
      <c r="F387" t="s">
        <v>805</v>
      </c>
      <c r="G387">
        <v>1</v>
      </c>
      <c r="H387" t="s">
        <v>806</v>
      </c>
      <c r="I387">
        <v>1</v>
      </c>
      <c r="J387">
        <v>0</v>
      </c>
      <c r="K387">
        <v>0</v>
      </c>
    </row>
    <row r="388" spans="1:11" x14ac:dyDescent="0.2">
      <c r="A388">
        <v>52020</v>
      </c>
      <c r="B388" t="s">
        <v>1069</v>
      </c>
      <c r="C388" t="str">
        <f t="shared" si="6"/>
        <v>KLPP</v>
      </c>
      <c r="D388" t="s">
        <v>808</v>
      </c>
      <c r="E388">
        <v>5</v>
      </c>
      <c r="F388" t="s">
        <v>805</v>
      </c>
      <c r="G388">
        <v>1</v>
      </c>
      <c r="H388" t="s">
        <v>806</v>
      </c>
      <c r="I388">
        <v>1</v>
      </c>
      <c r="J388">
        <v>0</v>
      </c>
      <c r="K388">
        <v>0</v>
      </c>
    </row>
    <row r="389" spans="1:11" x14ac:dyDescent="0.2">
      <c r="A389">
        <v>51026</v>
      </c>
      <c r="B389" t="s">
        <v>1079</v>
      </c>
      <c r="C389" t="str">
        <f t="shared" si="6"/>
        <v>KPNG</v>
      </c>
      <c r="D389" t="s">
        <v>804</v>
      </c>
      <c r="E389">
        <v>5</v>
      </c>
      <c r="F389" t="s">
        <v>805</v>
      </c>
      <c r="G389">
        <v>1</v>
      </c>
      <c r="H389" t="s">
        <v>806</v>
      </c>
      <c r="I389">
        <v>1</v>
      </c>
      <c r="J389">
        <v>6.5754000000000001</v>
      </c>
      <c r="K389">
        <v>1.0892999999999999</v>
      </c>
    </row>
    <row r="390" spans="1:11" x14ac:dyDescent="0.2">
      <c r="A390">
        <v>51026</v>
      </c>
      <c r="B390" t="s">
        <v>1079</v>
      </c>
      <c r="C390" t="str">
        <f t="shared" si="6"/>
        <v>KPNG</v>
      </c>
      <c r="D390" t="s">
        <v>807</v>
      </c>
      <c r="E390">
        <v>5</v>
      </c>
      <c r="F390" t="s">
        <v>805</v>
      </c>
      <c r="G390">
        <v>1</v>
      </c>
      <c r="H390" t="s">
        <v>806</v>
      </c>
      <c r="I390">
        <v>1</v>
      </c>
      <c r="J390">
        <v>6.5805999999999996</v>
      </c>
      <c r="K390">
        <v>1.0987</v>
      </c>
    </row>
    <row r="391" spans="1:11" x14ac:dyDescent="0.2">
      <c r="A391">
        <v>51014</v>
      </c>
      <c r="B391" t="s">
        <v>1088</v>
      </c>
      <c r="C391" t="str">
        <f t="shared" si="6"/>
        <v>KSBG</v>
      </c>
      <c r="D391" t="s">
        <v>804</v>
      </c>
      <c r="E391">
        <v>5</v>
      </c>
      <c r="F391" t="s">
        <v>805</v>
      </c>
      <c r="G391">
        <v>1</v>
      </c>
      <c r="H391" t="s">
        <v>806</v>
      </c>
      <c r="I391">
        <v>1</v>
      </c>
      <c r="J391">
        <v>12.555400000000001</v>
      </c>
      <c r="K391">
        <v>0.93400000000000005</v>
      </c>
    </row>
    <row r="392" spans="1:11" x14ac:dyDescent="0.2">
      <c r="A392">
        <v>51014</v>
      </c>
      <c r="B392" t="s">
        <v>1088</v>
      </c>
      <c r="C392" t="str">
        <f t="shared" si="6"/>
        <v>KSBG</v>
      </c>
      <c r="D392" t="s">
        <v>807</v>
      </c>
      <c r="E392">
        <v>5</v>
      </c>
      <c r="F392" t="s">
        <v>805</v>
      </c>
      <c r="G392">
        <v>1</v>
      </c>
      <c r="H392" t="s">
        <v>806</v>
      </c>
      <c r="I392">
        <v>1</v>
      </c>
      <c r="J392">
        <v>6.2367999999999997</v>
      </c>
      <c r="K392">
        <v>0.79320000000000002</v>
      </c>
    </row>
    <row r="393" spans="1:11" x14ac:dyDescent="0.2">
      <c r="A393">
        <v>51014</v>
      </c>
      <c r="B393" t="s">
        <v>1088</v>
      </c>
      <c r="C393" t="str">
        <f t="shared" si="6"/>
        <v>KSBG</v>
      </c>
      <c r="D393" t="s">
        <v>808</v>
      </c>
      <c r="E393">
        <v>5</v>
      </c>
      <c r="F393" t="s">
        <v>805</v>
      </c>
      <c r="G393">
        <v>1</v>
      </c>
      <c r="H393" t="s">
        <v>806</v>
      </c>
      <c r="I393">
        <v>1</v>
      </c>
      <c r="J393">
        <v>25.977599999999999</v>
      </c>
      <c r="K393">
        <v>0.98480000000000001</v>
      </c>
    </row>
    <row r="394" spans="1:11" x14ac:dyDescent="0.2">
      <c r="A394">
        <v>51014</v>
      </c>
      <c r="B394" t="s">
        <v>1088</v>
      </c>
      <c r="C394" t="str">
        <f t="shared" si="6"/>
        <v>KSBG</v>
      </c>
      <c r="D394" t="s">
        <v>809</v>
      </c>
      <c r="E394">
        <v>5</v>
      </c>
      <c r="F394" t="s">
        <v>805</v>
      </c>
      <c r="G394">
        <v>1</v>
      </c>
      <c r="H394" t="s">
        <v>806</v>
      </c>
      <c r="I394">
        <v>1</v>
      </c>
      <c r="J394">
        <v>25.889500000000002</v>
      </c>
      <c r="K394">
        <v>-0.31480000000000002</v>
      </c>
    </row>
    <row r="395" spans="1:11" x14ac:dyDescent="0.2">
      <c r="A395">
        <v>51016</v>
      </c>
      <c r="B395" t="s">
        <v>1089</v>
      </c>
      <c r="C395" t="str">
        <f t="shared" si="6"/>
        <v>KSGR</v>
      </c>
      <c r="D395" t="s">
        <v>804</v>
      </c>
      <c r="E395">
        <v>5</v>
      </c>
      <c r="F395" t="s">
        <v>805</v>
      </c>
      <c r="G395">
        <v>1</v>
      </c>
      <c r="H395" t="s">
        <v>806</v>
      </c>
      <c r="I395">
        <v>1</v>
      </c>
      <c r="J395">
        <v>30.965599999999998</v>
      </c>
      <c r="K395">
        <v>4.2744999999999997</v>
      </c>
    </row>
    <row r="396" spans="1:11" x14ac:dyDescent="0.2">
      <c r="A396">
        <v>51016</v>
      </c>
      <c r="B396" t="s">
        <v>1089</v>
      </c>
      <c r="C396" t="str">
        <f t="shared" si="6"/>
        <v>KSGR</v>
      </c>
      <c r="D396" t="s">
        <v>807</v>
      </c>
      <c r="E396">
        <v>5</v>
      </c>
      <c r="F396" t="s">
        <v>805</v>
      </c>
      <c r="G396">
        <v>1</v>
      </c>
      <c r="H396" t="s">
        <v>806</v>
      </c>
      <c r="I396">
        <v>1</v>
      </c>
      <c r="J396">
        <v>31.233799999999999</v>
      </c>
      <c r="K396">
        <v>4.3148999999999997</v>
      </c>
    </row>
    <row r="397" spans="1:11" x14ac:dyDescent="0.2">
      <c r="A397">
        <v>51069</v>
      </c>
      <c r="B397" t="s">
        <v>1119</v>
      </c>
      <c r="C397" t="str">
        <f t="shared" si="6"/>
        <v>LGMR</v>
      </c>
      <c r="D397" t="s">
        <v>823</v>
      </c>
      <c r="E397">
        <v>5</v>
      </c>
      <c r="F397" t="s">
        <v>805</v>
      </c>
      <c r="G397">
        <v>1</v>
      </c>
      <c r="H397" t="s">
        <v>806</v>
      </c>
      <c r="I397">
        <v>1</v>
      </c>
      <c r="J397">
        <v>1.7945</v>
      </c>
      <c r="K397">
        <v>1.6061000000000001</v>
      </c>
    </row>
    <row r="398" spans="1:11" x14ac:dyDescent="0.2">
      <c r="A398">
        <v>51069</v>
      </c>
      <c r="B398" t="s">
        <v>1119</v>
      </c>
      <c r="C398" t="str">
        <f t="shared" si="6"/>
        <v>LGMR</v>
      </c>
      <c r="D398" t="s">
        <v>826</v>
      </c>
      <c r="E398">
        <v>5</v>
      </c>
      <c r="F398" t="s">
        <v>805</v>
      </c>
      <c r="G398">
        <v>1</v>
      </c>
      <c r="H398" t="s">
        <v>806</v>
      </c>
      <c r="I398">
        <v>1</v>
      </c>
      <c r="J398">
        <v>1.5419</v>
      </c>
      <c r="K398">
        <v>1.7323999999999999</v>
      </c>
    </row>
    <row r="399" spans="1:11" x14ac:dyDescent="0.2">
      <c r="A399">
        <v>51085</v>
      </c>
      <c r="B399" t="s">
        <v>1121</v>
      </c>
      <c r="C399" t="str">
        <f t="shared" si="6"/>
        <v>LKDG</v>
      </c>
      <c r="D399" t="s">
        <v>804</v>
      </c>
      <c r="E399">
        <v>5</v>
      </c>
      <c r="F399" t="s">
        <v>805</v>
      </c>
      <c r="G399">
        <v>1</v>
      </c>
      <c r="H399" t="s">
        <v>806</v>
      </c>
      <c r="I399">
        <v>1</v>
      </c>
      <c r="J399">
        <v>11.2134</v>
      </c>
      <c r="K399">
        <v>2.2698</v>
      </c>
    </row>
    <row r="400" spans="1:11" x14ac:dyDescent="0.2">
      <c r="A400">
        <v>51085</v>
      </c>
      <c r="B400" t="s">
        <v>1121</v>
      </c>
      <c r="C400" t="str">
        <f t="shared" si="6"/>
        <v>LKDG</v>
      </c>
      <c r="D400" t="s">
        <v>807</v>
      </c>
      <c r="E400">
        <v>5</v>
      </c>
      <c r="F400" t="s">
        <v>805</v>
      </c>
      <c r="G400">
        <v>1</v>
      </c>
      <c r="H400" t="s">
        <v>806</v>
      </c>
      <c r="I400">
        <v>1</v>
      </c>
      <c r="J400">
        <v>12.158799999999999</v>
      </c>
      <c r="K400">
        <v>1.8380000000000001</v>
      </c>
    </row>
    <row r="401" spans="1:11" x14ac:dyDescent="0.2">
      <c r="A401">
        <v>51085</v>
      </c>
      <c r="B401" t="s">
        <v>1121</v>
      </c>
      <c r="C401" t="str">
        <f t="shared" si="6"/>
        <v>LKDG</v>
      </c>
      <c r="D401" t="s">
        <v>808</v>
      </c>
      <c r="E401">
        <v>5</v>
      </c>
      <c r="F401" t="s">
        <v>805</v>
      </c>
      <c r="G401">
        <v>1</v>
      </c>
      <c r="H401" t="s">
        <v>806</v>
      </c>
      <c r="I401">
        <v>1</v>
      </c>
      <c r="J401">
        <v>28.645</v>
      </c>
      <c r="K401">
        <v>4.3895</v>
      </c>
    </row>
    <row r="402" spans="1:11" x14ac:dyDescent="0.2">
      <c r="A402">
        <v>51085</v>
      </c>
      <c r="B402" t="s">
        <v>1121</v>
      </c>
      <c r="C402" t="str">
        <f t="shared" si="6"/>
        <v>LKDG</v>
      </c>
      <c r="D402" t="s">
        <v>809</v>
      </c>
      <c r="E402">
        <v>5</v>
      </c>
      <c r="F402" t="s">
        <v>805</v>
      </c>
      <c r="G402">
        <v>1</v>
      </c>
      <c r="H402" t="s">
        <v>806</v>
      </c>
      <c r="I402">
        <v>1</v>
      </c>
      <c r="J402">
        <v>28.47</v>
      </c>
      <c r="K402">
        <v>4.3822000000000001</v>
      </c>
    </row>
    <row r="403" spans="1:11" x14ac:dyDescent="0.2">
      <c r="A403">
        <v>51058</v>
      </c>
      <c r="B403" t="s">
        <v>1128</v>
      </c>
      <c r="C403" t="str">
        <f t="shared" si="6"/>
        <v>LSHA</v>
      </c>
      <c r="D403" t="s">
        <v>804</v>
      </c>
      <c r="E403">
        <v>5</v>
      </c>
      <c r="F403" t="s">
        <v>805</v>
      </c>
      <c r="G403">
        <v>1</v>
      </c>
      <c r="H403" t="s">
        <v>806</v>
      </c>
      <c r="I403">
        <v>1</v>
      </c>
      <c r="J403">
        <v>1.5398000000000001</v>
      </c>
      <c r="K403">
        <v>-3.3477999999999999</v>
      </c>
    </row>
    <row r="404" spans="1:11" x14ac:dyDescent="0.2">
      <c r="A404">
        <v>51058</v>
      </c>
      <c r="B404" t="s">
        <v>1128</v>
      </c>
      <c r="C404" t="str">
        <f t="shared" si="6"/>
        <v>LSHA</v>
      </c>
      <c r="D404" t="s">
        <v>807</v>
      </c>
      <c r="E404">
        <v>5</v>
      </c>
      <c r="F404" t="s">
        <v>805</v>
      </c>
      <c r="G404">
        <v>1</v>
      </c>
      <c r="H404" t="s">
        <v>806</v>
      </c>
      <c r="I404">
        <v>1</v>
      </c>
      <c r="J404">
        <v>0</v>
      </c>
      <c r="K404">
        <v>0</v>
      </c>
    </row>
    <row r="405" spans="1:11" x14ac:dyDescent="0.2">
      <c r="A405">
        <v>51057</v>
      </c>
      <c r="B405" t="s">
        <v>1139</v>
      </c>
      <c r="C405" t="str">
        <f t="shared" si="6"/>
        <v>MERU</v>
      </c>
      <c r="D405" t="s">
        <v>804</v>
      </c>
      <c r="E405">
        <v>5</v>
      </c>
      <c r="F405" t="s">
        <v>805</v>
      </c>
      <c r="G405">
        <v>1</v>
      </c>
      <c r="H405" t="s">
        <v>806</v>
      </c>
      <c r="I405">
        <v>1</v>
      </c>
      <c r="J405">
        <v>8.6112000000000002</v>
      </c>
      <c r="K405">
        <v>1.8266</v>
      </c>
    </row>
    <row r="406" spans="1:11" x14ac:dyDescent="0.2">
      <c r="A406">
        <v>51057</v>
      </c>
      <c r="B406" t="s">
        <v>1139</v>
      </c>
      <c r="C406" t="str">
        <f t="shared" si="6"/>
        <v>MERU</v>
      </c>
      <c r="D406" t="s">
        <v>807</v>
      </c>
      <c r="E406">
        <v>5</v>
      </c>
      <c r="F406" t="s">
        <v>805</v>
      </c>
      <c r="G406">
        <v>1</v>
      </c>
      <c r="H406" t="s">
        <v>806</v>
      </c>
      <c r="I406">
        <v>1</v>
      </c>
      <c r="J406">
        <v>11.4267</v>
      </c>
      <c r="K406">
        <v>2.7544</v>
      </c>
    </row>
    <row r="407" spans="1:11" x14ac:dyDescent="0.2">
      <c r="A407">
        <v>51057</v>
      </c>
      <c r="B407" t="s">
        <v>1139</v>
      </c>
      <c r="C407" t="str">
        <f t="shared" si="6"/>
        <v>MERU</v>
      </c>
      <c r="D407" t="s">
        <v>808</v>
      </c>
      <c r="E407">
        <v>5</v>
      </c>
      <c r="F407" t="s">
        <v>805</v>
      </c>
      <c r="G407">
        <v>1</v>
      </c>
      <c r="H407" t="s">
        <v>806</v>
      </c>
      <c r="I407">
        <v>1</v>
      </c>
      <c r="J407">
        <v>43.935200000000002</v>
      </c>
      <c r="K407">
        <v>3.8054999999999999</v>
      </c>
    </row>
    <row r="408" spans="1:11" x14ac:dyDescent="0.2">
      <c r="A408">
        <v>51057</v>
      </c>
      <c r="B408" t="s">
        <v>1139</v>
      </c>
      <c r="C408" t="str">
        <f t="shared" si="6"/>
        <v>MERU</v>
      </c>
      <c r="D408" t="s">
        <v>809</v>
      </c>
      <c r="E408">
        <v>5</v>
      </c>
      <c r="F408" t="s">
        <v>805</v>
      </c>
      <c r="G408">
        <v>1</v>
      </c>
      <c r="H408" t="s">
        <v>806</v>
      </c>
      <c r="I408">
        <v>1</v>
      </c>
      <c r="J408">
        <v>44.053199999999997</v>
      </c>
      <c r="K408">
        <v>3.8054999999999999</v>
      </c>
    </row>
    <row r="409" spans="1:11" x14ac:dyDescent="0.2">
      <c r="A409">
        <v>51022</v>
      </c>
      <c r="B409" t="s">
        <v>1144</v>
      </c>
      <c r="C409" t="str">
        <f t="shared" si="6"/>
        <v>MHTA</v>
      </c>
      <c r="D409" t="s">
        <v>804</v>
      </c>
      <c r="E409">
        <v>5</v>
      </c>
      <c r="F409" t="s">
        <v>805</v>
      </c>
      <c r="G409">
        <v>1</v>
      </c>
      <c r="H409" t="s">
        <v>806</v>
      </c>
      <c r="I409">
        <v>1</v>
      </c>
      <c r="J409">
        <v>7.6782000000000004</v>
      </c>
      <c r="K409">
        <v>1.7438</v>
      </c>
    </row>
    <row r="410" spans="1:11" x14ac:dyDescent="0.2">
      <c r="A410">
        <v>51022</v>
      </c>
      <c r="B410" t="s">
        <v>1144</v>
      </c>
      <c r="C410" t="str">
        <f t="shared" si="6"/>
        <v>MHTA</v>
      </c>
      <c r="D410" t="s">
        <v>807</v>
      </c>
      <c r="E410">
        <v>5</v>
      </c>
      <c r="F410" t="s">
        <v>805</v>
      </c>
      <c r="G410">
        <v>1</v>
      </c>
      <c r="H410" t="s">
        <v>806</v>
      </c>
      <c r="I410">
        <v>1</v>
      </c>
      <c r="J410">
        <v>5.6806999999999999</v>
      </c>
      <c r="K410">
        <v>0.55810000000000004</v>
      </c>
    </row>
    <row r="411" spans="1:11" x14ac:dyDescent="0.2">
      <c r="A411">
        <v>51022</v>
      </c>
      <c r="B411" t="s">
        <v>1144</v>
      </c>
      <c r="C411" t="str">
        <f t="shared" si="6"/>
        <v>MHTA</v>
      </c>
      <c r="D411" t="s">
        <v>808</v>
      </c>
      <c r="E411">
        <v>5</v>
      </c>
      <c r="F411" t="s">
        <v>805</v>
      </c>
      <c r="G411">
        <v>1</v>
      </c>
      <c r="H411" t="s">
        <v>806</v>
      </c>
      <c r="I411">
        <v>1</v>
      </c>
      <c r="J411">
        <v>31.259599999999999</v>
      </c>
      <c r="K411">
        <v>6.2865000000000002</v>
      </c>
    </row>
    <row r="412" spans="1:11" x14ac:dyDescent="0.2">
      <c r="A412">
        <v>51022</v>
      </c>
      <c r="B412" t="s">
        <v>1144</v>
      </c>
      <c r="C412" t="str">
        <f t="shared" si="6"/>
        <v>MHTA</v>
      </c>
      <c r="D412" t="s">
        <v>809</v>
      </c>
      <c r="E412">
        <v>5</v>
      </c>
      <c r="F412" t="s">
        <v>805</v>
      </c>
      <c r="G412">
        <v>1</v>
      </c>
      <c r="H412" t="s">
        <v>806</v>
      </c>
      <c r="I412">
        <v>1</v>
      </c>
      <c r="J412">
        <v>31.337299999999999</v>
      </c>
      <c r="K412">
        <v>6.3756000000000004</v>
      </c>
    </row>
    <row r="413" spans="1:11" x14ac:dyDescent="0.2">
      <c r="A413">
        <v>51005</v>
      </c>
      <c r="B413" t="s">
        <v>1174</v>
      </c>
      <c r="C413" t="str">
        <f t="shared" si="6"/>
        <v>NKST</v>
      </c>
      <c r="D413" t="s">
        <v>808</v>
      </c>
      <c r="E413">
        <v>5</v>
      </c>
      <c r="F413" t="s">
        <v>805</v>
      </c>
      <c r="G413">
        <v>1</v>
      </c>
      <c r="H413" t="s">
        <v>806</v>
      </c>
      <c r="I413">
        <v>1</v>
      </c>
      <c r="J413">
        <v>29.206199999999999</v>
      </c>
      <c r="K413">
        <v>8.7324000000000002</v>
      </c>
    </row>
    <row r="414" spans="1:11" x14ac:dyDescent="0.2">
      <c r="A414">
        <v>51005</v>
      </c>
      <c r="B414" t="s">
        <v>1174</v>
      </c>
      <c r="C414" t="str">
        <f t="shared" si="6"/>
        <v>NKST</v>
      </c>
      <c r="D414" t="s">
        <v>809</v>
      </c>
      <c r="E414">
        <v>5</v>
      </c>
      <c r="F414" t="s">
        <v>805</v>
      </c>
      <c r="G414">
        <v>1</v>
      </c>
      <c r="H414" t="s">
        <v>806</v>
      </c>
      <c r="I414">
        <v>1</v>
      </c>
      <c r="J414">
        <v>29.3491</v>
      </c>
      <c r="K414">
        <v>8.7841000000000005</v>
      </c>
    </row>
    <row r="415" spans="1:11" x14ac:dyDescent="0.2">
      <c r="A415">
        <v>51200</v>
      </c>
      <c r="B415" t="s">
        <v>1176</v>
      </c>
      <c r="C415" t="str">
        <f t="shared" si="6"/>
        <v>NRWG</v>
      </c>
      <c r="D415" t="s">
        <v>804</v>
      </c>
      <c r="E415">
        <v>5</v>
      </c>
      <c r="F415" t="s">
        <v>805</v>
      </c>
      <c r="G415">
        <v>1</v>
      </c>
      <c r="H415" t="s">
        <v>806</v>
      </c>
      <c r="I415">
        <v>1</v>
      </c>
      <c r="J415">
        <v>37.647599999999997</v>
      </c>
      <c r="K415">
        <v>5.1277999999999997</v>
      </c>
    </row>
    <row r="416" spans="1:11" x14ac:dyDescent="0.2">
      <c r="A416">
        <v>51200</v>
      </c>
      <c r="B416" t="s">
        <v>1176</v>
      </c>
      <c r="C416" t="str">
        <f t="shared" si="6"/>
        <v>NRWG</v>
      </c>
      <c r="D416" t="s">
        <v>807</v>
      </c>
      <c r="E416">
        <v>5</v>
      </c>
      <c r="F416" t="s">
        <v>805</v>
      </c>
      <c r="G416">
        <v>1</v>
      </c>
      <c r="H416" t="s">
        <v>806</v>
      </c>
      <c r="I416">
        <v>1</v>
      </c>
      <c r="J416">
        <v>37.5762</v>
      </c>
      <c r="K416">
        <v>5.1059999999999999</v>
      </c>
    </row>
    <row r="417" spans="1:11" x14ac:dyDescent="0.2">
      <c r="A417">
        <v>51200</v>
      </c>
      <c r="B417" t="s">
        <v>1176</v>
      </c>
      <c r="C417" t="str">
        <f t="shared" si="6"/>
        <v>NRWG</v>
      </c>
      <c r="D417" t="s">
        <v>808</v>
      </c>
      <c r="E417">
        <v>5</v>
      </c>
      <c r="F417" t="s">
        <v>805</v>
      </c>
      <c r="G417">
        <v>1</v>
      </c>
      <c r="H417" t="s">
        <v>806</v>
      </c>
      <c r="I417">
        <v>1</v>
      </c>
      <c r="J417">
        <v>12.985200000000001</v>
      </c>
      <c r="K417">
        <v>2.2149000000000001</v>
      </c>
    </row>
    <row r="418" spans="1:11" x14ac:dyDescent="0.2">
      <c r="A418">
        <v>51200</v>
      </c>
      <c r="B418" t="s">
        <v>1176</v>
      </c>
      <c r="C418" t="str">
        <f t="shared" si="6"/>
        <v>NRWG</v>
      </c>
      <c r="D418" t="s">
        <v>809</v>
      </c>
      <c r="E418">
        <v>5</v>
      </c>
      <c r="F418" t="s">
        <v>805</v>
      </c>
      <c r="G418">
        <v>1</v>
      </c>
      <c r="H418" t="s">
        <v>806</v>
      </c>
      <c r="I418">
        <v>1</v>
      </c>
      <c r="J418">
        <v>6.6593</v>
      </c>
      <c r="K418">
        <v>1.9601999999999999</v>
      </c>
    </row>
    <row r="419" spans="1:11" x14ac:dyDescent="0.2">
      <c r="A419">
        <v>51025</v>
      </c>
      <c r="B419" t="s">
        <v>1178</v>
      </c>
      <c r="C419" t="str">
        <f t="shared" si="6"/>
        <v>NSDA</v>
      </c>
      <c r="D419" t="s">
        <v>804</v>
      </c>
      <c r="E419">
        <v>5</v>
      </c>
      <c r="F419" t="s">
        <v>805</v>
      </c>
      <c r="G419">
        <v>1</v>
      </c>
      <c r="H419" t="s">
        <v>806</v>
      </c>
      <c r="I419">
        <v>1</v>
      </c>
      <c r="J419">
        <v>31.053599999999999</v>
      </c>
      <c r="K419">
        <v>4.5231000000000003</v>
      </c>
    </row>
    <row r="420" spans="1:11" x14ac:dyDescent="0.2">
      <c r="A420">
        <v>51025</v>
      </c>
      <c r="B420" t="s">
        <v>1178</v>
      </c>
      <c r="C420" t="str">
        <f t="shared" si="6"/>
        <v>NSDA</v>
      </c>
      <c r="D420" t="s">
        <v>807</v>
      </c>
      <c r="E420">
        <v>5</v>
      </c>
      <c r="F420" t="s">
        <v>805</v>
      </c>
      <c r="G420">
        <v>1</v>
      </c>
      <c r="H420" t="s">
        <v>806</v>
      </c>
      <c r="I420">
        <v>1</v>
      </c>
      <c r="J420">
        <v>31.091899999999999</v>
      </c>
      <c r="K420">
        <v>4.5075000000000003</v>
      </c>
    </row>
    <row r="421" spans="1:11" x14ac:dyDescent="0.2">
      <c r="A421">
        <v>51025</v>
      </c>
      <c r="B421" t="s">
        <v>1178</v>
      </c>
      <c r="C421" t="str">
        <f t="shared" si="6"/>
        <v>NSDA</v>
      </c>
      <c r="D421" t="s">
        <v>808</v>
      </c>
      <c r="E421">
        <v>5</v>
      </c>
      <c r="F421" t="s">
        <v>805</v>
      </c>
      <c r="G421">
        <v>1</v>
      </c>
      <c r="H421" t="s">
        <v>806</v>
      </c>
      <c r="I421">
        <v>1</v>
      </c>
      <c r="J421">
        <v>4.6783999999999999</v>
      </c>
      <c r="K421">
        <v>0.77559999999999996</v>
      </c>
    </row>
    <row r="422" spans="1:11" x14ac:dyDescent="0.2">
      <c r="A422">
        <v>51025</v>
      </c>
      <c r="B422" t="s">
        <v>1178</v>
      </c>
      <c r="C422" t="str">
        <f t="shared" si="6"/>
        <v>NSDA</v>
      </c>
      <c r="D422" t="s">
        <v>809</v>
      </c>
      <c r="E422">
        <v>5</v>
      </c>
      <c r="F422" t="s">
        <v>805</v>
      </c>
      <c r="G422">
        <v>1</v>
      </c>
      <c r="H422" t="s">
        <v>806</v>
      </c>
      <c r="I422">
        <v>1</v>
      </c>
      <c r="J422">
        <v>6.0058999999999996</v>
      </c>
      <c r="K422">
        <v>1.1762999999999999</v>
      </c>
    </row>
    <row r="423" spans="1:11" x14ac:dyDescent="0.2">
      <c r="A423">
        <v>51091</v>
      </c>
      <c r="B423" t="s">
        <v>1179</v>
      </c>
      <c r="C423" t="str">
        <f t="shared" si="6"/>
        <v>NSPK</v>
      </c>
      <c r="D423" t="s">
        <v>804</v>
      </c>
      <c r="E423">
        <v>5</v>
      </c>
      <c r="F423" t="s">
        <v>805</v>
      </c>
      <c r="G423">
        <v>1</v>
      </c>
      <c r="H423" t="s">
        <v>806</v>
      </c>
      <c r="I423">
        <v>1</v>
      </c>
      <c r="J423">
        <v>26.3079</v>
      </c>
      <c r="K423">
        <v>2.887</v>
      </c>
    </row>
    <row r="424" spans="1:11" x14ac:dyDescent="0.2">
      <c r="A424">
        <v>51091</v>
      </c>
      <c r="B424" t="s">
        <v>1179</v>
      </c>
      <c r="C424" t="str">
        <f t="shared" si="6"/>
        <v>NSPK</v>
      </c>
      <c r="D424" t="s">
        <v>807</v>
      </c>
      <c r="E424">
        <v>5</v>
      </c>
      <c r="F424" t="s">
        <v>805</v>
      </c>
      <c r="G424">
        <v>1</v>
      </c>
      <c r="H424" t="s">
        <v>806</v>
      </c>
      <c r="I424">
        <v>1</v>
      </c>
      <c r="J424">
        <v>25.775600000000001</v>
      </c>
      <c r="K424">
        <v>2.8414000000000001</v>
      </c>
    </row>
    <row r="425" spans="1:11" x14ac:dyDescent="0.2">
      <c r="A425">
        <v>51091</v>
      </c>
      <c r="B425" t="s">
        <v>1179</v>
      </c>
      <c r="C425" t="str">
        <f t="shared" si="6"/>
        <v>NSPK</v>
      </c>
      <c r="D425" t="s">
        <v>808</v>
      </c>
      <c r="E425">
        <v>5</v>
      </c>
      <c r="F425" t="s">
        <v>805</v>
      </c>
      <c r="G425">
        <v>1</v>
      </c>
      <c r="H425" t="s">
        <v>806</v>
      </c>
      <c r="I425">
        <v>1</v>
      </c>
      <c r="J425">
        <v>6.8011999999999997</v>
      </c>
      <c r="K425">
        <v>1.0479000000000001</v>
      </c>
    </row>
    <row r="426" spans="1:11" x14ac:dyDescent="0.2">
      <c r="A426">
        <v>51091</v>
      </c>
      <c r="B426" t="s">
        <v>1179</v>
      </c>
      <c r="C426" t="str">
        <f t="shared" si="6"/>
        <v>NSPK</v>
      </c>
      <c r="D426" t="s">
        <v>809</v>
      </c>
      <c r="E426">
        <v>5</v>
      </c>
      <c r="F426" t="s">
        <v>805</v>
      </c>
      <c r="G426">
        <v>1</v>
      </c>
      <c r="H426" t="s">
        <v>806</v>
      </c>
      <c r="I426">
        <v>1</v>
      </c>
      <c r="J426">
        <v>6.1778000000000004</v>
      </c>
      <c r="K426">
        <v>0.94850000000000001</v>
      </c>
    </row>
    <row r="427" spans="1:11" x14ac:dyDescent="0.2">
      <c r="A427">
        <v>51023</v>
      </c>
      <c r="B427" t="s">
        <v>1181</v>
      </c>
      <c r="C427" t="str">
        <f t="shared" si="6"/>
        <v>NUNI</v>
      </c>
      <c r="D427" t="s">
        <v>804</v>
      </c>
      <c r="E427">
        <v>5</v>
      </c>
      <c r="F427" t="s">
        <v>805</v>
      </c>
      <c r="G427">
        <v>1</v>
      </c>
      <c r="H427" t="s">
        <v>806</v>
      </c>
      <c r="I427">
        <v>1</v>
      </c>
      <c r="J427">
        <v>12.718999999999999</v>
      </c>
      <c r="K427">
        <v>2.859</v>
      </c>
    </row>
    <row r="428" spans="1:11" x14ac:dyDescent="0.2">
      <c r="A428">
        <v>51023</v>
      </c>
      <c r="B428" t="s">
        <v>1181</v>
      </c>
      <c r="C428" t="str">
        <f t="shared" si="6"/>
        <v>NUNI</v>
      </c>
      <c r="D428" t="s">
        <v>807</v>
      </c>
      <c r="E428">
        <v>5</v>
      </c>
      <c r="F428" t="s">
        <v>805</v>
      </c>
      <c r="G428">
        <v>1</v>
      </c>
      <c r="H428" t="s">
        <v>806</v>
      </c>
      <c r="I428">
        <v>1</v>
      </c>
      <c r="J428">
        <v>13.096</v>
      </c>
      <c r="K428">
        <v>1.778</v>
      </c>
    </row>
    <row r="429" spans="1:11" x14ac:dyDescent="0.2">
      <c r="A429">
        <v>51023</v>
      </c>
      <c r="B429" t="s">
        <v>1181</v>
      </c>
      <c r="C429" t="str">
        <f t="shared" si="6"/>
        <v>NUNI</v>
      </c>
      <c r="D429" t="s">
        <v>808</v>
      </c>
      <c r="E429">
        <v>5</v>
      </c>
      <c r="F429" t="s">
        <v>805</v>
      </c>
      <c r="G429">
        <v>1</v>
      </c>
      <c r="H429" t="s">
        <v>806</v>
      </c>
      <c r="I429">
        <v>1</v>
      </c>
      <c r="J429">
        <v>34.116599999999998</v>
      </c>
      <c r="K429">
        <v>4.1855000000000002</v>
      </c>
    </row>
    <row r="430" spans="1:11" x14ac:dyDescent="0.2">
      <c r="A430">
        <v>51023</v>
      </c>
      <c r="B430" t="s">
        <v>1181</v>
      </c>
      <c r="C430" t="str">
        <f t="shared" si="6"/>
        <v>NUNI</v>
      </c>
      <c r="D430" t="s">
        <v>809</v>
      </c>
      <c r="E430">
        <v>5</v>
      </c>
      <c r="F430" t="s">
        <v>805</v>
      </c>
      <c r="G430">
        <v>1</v>
      </c>
      <c r="H430" t="s">
        <v>806</v>
      </c>
      <c r="I430">
        <v>1</v>
      </c>
      <c r="J430">
        <v>34.812399999999997</v>
      </c>
      <c r="K430">
        <v>4.0259999999999998</v>
      </c>
    </row>
    <row r="431" spans="1:11" x14ac:dyDescent="0.2">
      <c r="A431">
        <v>88174</v>
      </c>
      <c r="B431" t="s">
        <v>1193</v>
      </c>
      <c r="C431" t="str">
        <f t="shared" si="6"/>
        <v>PCHJ</v>
      </c>
      <c r="D431" t="s">
        <v>804</v>
      </c>
      <c r="E431">
        <v>5</v>
      </c>
      <c r="F431" t="s">
        <v>805</v>
      </c>
      <c r="G431">
        <v>1</v>
      </c>
      <c r="H431" t="s">
        <v>806</v>
      </c>
      <c r="I431">
        <v>1</v>
      </c>
      <c r="J431">
        <v>30.607299999999999</v>
      </c>
      <c r="K431">
        <v>4.2735000000000003</v>
      </c>
    </row>
    <row r="432" spans="1:11" x14ac:dyDescent="0.2">
      <c r="A432">
        <v>88174</v>
      </c>
      <c r="B432" t="s">
        <v>1193</v>
      </c>
      <c r="C432" t="str">
        <f t="shared" si="6"/>
        <v>PCHJ</v>
      </c>
      <c r="D432" t="s">
        <v>807</v>
      </c>
      <c r="E432">
        <v>5</v>
      </c>
      <c r="F432" t="s">
        <v>805</v>
      </c>
      <c r="G432">
        <v>1</v>
      </c>
      <c r="H432" t="s">
        <v>806</v>
      </c>
      <c r="I432">
        <v>1</v>
      </c>
      <c r="J432">
        <v>30.647600000000001</v>
      </c>
      <c r="K432">
        <v>4.2393000000000001</v>
      </c>
    </row>
    <row r="433" spans="1:11" x14ac:dyDescent="0.2">
      <c r="A433">
        <v>88174</v>
      </c>
      <c r="B433" t="s">
        <v>1193</v>
      </c>
      <c r="C433" t="str">
        <f t="shared" si="6"/>
        <v>PCHJ</v>
      </c>
      <c r="D433" t="s">
        <v>808</v>
      </c>
      <c r="E433">
        <v>5</v>
      </c>
      <c r="F433" t="s">
        <v>805</v>
      </c>
      <c r="G433">
        <v>1</v>
      </c>
      <c r="H433" t="s">
        <v>806</v>
      </c>
      <c r="I433">
        <v>1</v>
      </c>
      <c r="J433">
        <v>5.0594000000000001</v>
      </c>
      <c r="K433">
        <v>0.84809999999999997</v>
      </c>
    </row>
    <row r="434" spans="1:11" x14ac:dyDescent="0.2">
      <c r="A434">
        <v>88174</v>
      </c>
      <c r="B434" t="s">
        <v>1193</v>
      </c>
      <c r="C434" t="str">
        <f t="shared" si="6"/>
        <v>PCHJ</v>
      </c>
      <c r="D434" t="s">
        <v>809</v>
      </c>
      <c r="E434">
        <v>5</v>
      </c>
      <c r="F434" t="s">
        <v>805</v>
      </c>
      <c r="G434">
        <v>1</v>
      </c>
      <c r="H434" t="s">
        <v>806</v>
      </c>
      <c r="I434">
        <v>1</v>
      </c>
      <c r="J434">
        <v>5.0500999999999996</v>
      </c>
      <c r="K434">
        <v>0.83879999999999999</v>
      </c>
    </row>
    <row r="435" spans="1:11" x14ac:dyDescent="0.2">
      <c r="A435">
        <v>51103</v>
      </c>
      <c r="B435" t="s">
        <v>1194</v>
      </c>
      <c r="C435" t="str">
        <f t="shared" si="6"/>
        <v>PCHP</v>
      </c>
      <c r="D435" t="s">
        <v>808</v>
      </c>
      <c r="E435">
        <v>5</v>
      </c>
      <c r="F435" t="s">
        <v>805</v>
      </c>
      <c r="G435">
        <v>1</v>
      </c>
      <c r="H435" t="s">
        <v>806</v>
      </c>
      <c r="I435">
        <v>1</v>
      </c>
      <c r="J435">
        <v>25.645199999999999</v>
      </c>
      <c r="K435">
        <v>4.1792999999999996</v>
      </c>
    </row>
    <row r="436" spans="1:11" x14ac:dyDescent="0.2">
      <c r="A436">
        <v>551103</v>
      </c>
      <c r="B436" t="s">
        <v>1195</v>
      </c>
      <c r="C436" t="str">
        <f t="shared" si="6"/>
        <v>PCHP</v>
      </c>
      <c r="D436" t="s">
        <v>804</v>
      </c>
      <c r="E436">
        <v>5</v>
      </c>
      <c r="F436" t="s">
        <v>805</v>
      </c>
      <c r="G436">
        <v>1</v>
      </c>
      <c r="H436" t="s">
        <v>806</v>
      </c>
      <c r="I436">
        <v>1</v>
      </c>
      <c r="J436">
        <v>46.198799999999999</v>
      </c>
      <c r="K436">
        <v>4.1451000000000002</v>
      </c>
    </row>
    <row r="437" spans="1:11" x14ac:dyDescent="0.2">
      <c r="A437">
        <v>551103</v>
      </c>
      <c r="B437" t="s">
        <v>1195</v>
      </c>
      <c r="C437" t="str">
        <f t="shared" si="6"/>
        <v>PCHP</v>
      </c>
      <c r="D437" t="s">
        <v>807</v>
      </c>
      <c r="E437">
        <v>5</v>
      </c>
      <c r="F437" t="s">
        <v>805</v>
      </c>
      <c r="G437">
        <v>1</v>
      </c>
      <c r="H437" t="s">
        <v>806</v>
      </c>
      <c r="I437">
        <v>1</v>
      </c>
      <c r="J437">
        <v>46.370699999999999</v>
      </c>
      <c r="K437">
        <v>4.0467000000000004</v>
      </c>
    </row>
    <row r="438" spans="1:11" x14ac:dyDescent="0.2">
      <c r="A438">
        <v>63102</v>
      </c>
      <c r="B438" t="s">
        <v>1198</v>
      </c>
      <c r="C438" t="str">
        <f t="shared" si="6"/>
        <v>PCTY</v>
      </c>
      <c r="D438" t="s">
        <v>804</v>
      </c>
      <c r="E438">
        <v>5</v>
      </c>
      <c r="F438" t="s">
        <v>805</v>
      </c>
      <c r="G438">
        <v>1</v>
      </c>
      <c r="H438" t="s">
        <v>806</v>
      </c>
      <c r="I438">
        <v>1</v>
      </c>
      <c r="J438">
        <v>7.8646000000000003</v>
      </c>
      <c r="K438">
        <v>0.70409999999999995</v>
      </c>
    </row>
    <row r="439" spans="1:11" x14ac:dyDescent="0.2">
      <c r="A439">
        <v>63102</v>
      </c>
      <c r="B439" t="s">
        <v>1198</v>
      </c>
      <c r="C439" t="str">
        <f t="shared" si="6"/>
        <v>PCTY</v>
      </c>
      <c r="D439" t="s">
        <v>807</v>
      </c>
      <c r="E439">
        <v>5</v>
      </c>
      <c r="F439" t="s">
        <v>805</v>
      </c>
      <c r="G439">
        <v>1</v>
      </c>
      <c r="H439" t="s">
        <v>806</v>
      </c>
      <c r="I439">
        <v>1</v>
      </c>
      <c r="J439">
        <v>12.387700000000001</v>
      </c>
      <c r="K439">
        <v>1.4777</v>
      </c>
    </row>
    <row r="440" spans="1:11" x14ac:dyDescent="0.2">
      <c r="A440">
        <v>63102</v>
      </c>
      <c r="B440" t="s">
        <v>1198</v>
      </c>
      <c r="C440" t="str">
        <f t="shared" si="6"/>
        <v>PCTY</v>
      </c>
      <c r="D440" t="s">
        <v>808</v>
      </c>
      <c r="E440">
        <v>5</v>
      </c>
      <c r="F440" t="s">
        <v>805</v>
      </c>
      <c r="G440">
        <v>1</v>
      </c>
      <c r="H440" t="s">
        <v>806</v>
      </c>
      <c r="I440">
        <v>1</v>
      </c>
      <c r="J440">
        <v>7.3178999999999998</v>
      </c>
      <c r="K440">
        <v>-1.5719000000000001</v>
      </c>
    </row>
    <row r="441" spans="1:11" x14ac:dyDescent="0.2">
      <c r="A441">
        <v>63102</v>
      </c>
      <c r="B441" t="s">
        <v>1198</v>
      </c>
      <c r="C441" t="str">
        <f t="shared" si="6"/>
        <v>PCTY</v>
      </c>
      <c r="D441" t="s">
        <v>809</v>
      </c>
      <c r="E441">
        <v>5</v>
      </c>
      <c r="F441" t="s">
        <v>805</v>
      </c>
      <c r="G441">
        <v>1</v>
      </c>
      <c r="H441" t="s">
        <v>806</v>
      </c>
      <c r="I441">
        <v>1</v>
      </c>
      <c r="J441">
        <v>10.1717</v>
      </c>
      <c r="K441">
        <v>3.6438999999999999</v>
      </c>
    </row>
    <row r="442" spans="1:11" x14ac:dyDescent="0.2">
      <c r="A442">
        <v>51049</v>
      </c>
      <c r="B442" t="s">
        <v>1212</v>
      </c>
      <c r="C442" t="str">
        <f t="shared" si="6"/>
        <v>PIDH</v>
      </c>
      <c r="D442" t="s">
        <v>804</v>
      </c>
      <c r="E442">
        <v>5</v>
      </c>
      <c r="F442" t="s">
        <v>805</v>
      </c>
      <c r="G442">
        <v>1</v>
      </c>
      <c r="H442" t="s">
        <v>806</v>
      </c>
      <c r="I442">
        <v>1</v>
      </c>
      <c r="J442">
        <v>41.472799999999999</v>
      </c>
      <c r="K442">
        <v>10.3508</v>
      </c>
    </row>
    <row r="443" spans="1:11" x14ac:dyDescent="0.2">
      <c r="A443">
        <v>51049</v>
      </c>
      <c r="B443" t="s">
        <v>1212</v>
      </c>
      <c r="C443" t="str">
        <f t="shared" si="6"/>
        <v>PIDH</v>
      </c>
      <c r="D443" t="s">
        <v>807</v>
      </c>
      <c r="E443">
        <v>5</v>
      </c>
      <c r="F443" t="s">
        <v>805</v>
      </c>
      <c r="G443">
        <v>1</v>
      </c>
      <c r="H443" t="s">
        <v>806</v>
      </c>
      <c r="I443">
        <v>1</v>
      </c>
      <c r="J443">
        <v>41.335000000000001</v>
      </c>
      <c r="K443">
        <v>10.326000000000001</v>
      </c>
    </row>
    <row r="444" spans="1:11" x14ac:dyDescent="0.2">
      <c r="A444">
        <v>51049</v>
      </c>
      <c r="B444" t="s">
        <v>1212</v>
      </c>
      <c r="C444" t="str">
        <f t="shared" si="6"/>
        <v>PIDH</v>
      </c>
      <c r="D444" t="s">
        <v>808</v>
      </c>
      <c r="E444">
        <v>5</v>
      </c>
      <c r="F444" t="s">
        <v>805</v>
      </c>
      <c r="G444">
        <v>1</v>
      </c>
      <c r="H444" t="s">
        <v>806</v>
      </c>
      <c r="I444">
        <v>1</v>
      </c>
      <c r="J444">
        <v>6.8777999999999997</v>
      </c>
      <c r="K444">
        <v>1.5377000000000001</v>
      </c>
    </row>
    <row r="445" spans="1:11" x14ac:dyDescent="0.2">
      <c r="A445">
        <v>51049</v>
      </c>
      <c r="B445" t="s">
        <v>1212</v>
      </c>
      <c r="C445" t="str">
        <f t="shared" si="6"/>
        <v>PIDH</v>
      </c>
      <c r="D445" t="s">
        <v>809</v>
      </c>
      <c r="E445">
        <v>5</v>
      </c>
      <c r="F445" t="s">
        <v>805</v>
      </c>
      <c r="G445">
        <v>1</v>
      </c>
      <c r="H445" t="s">
        <v>806</v>
      </c>
      <c r="I445">
        <v>1</v>
      </c>
      <c r="J445">
        <v>12.9344</v>
      </c>
      <c r="K445">
        <v>3.3849999999999998</v>
      </c>
    </row>
    <row r="446" spans="1:11" x14ac:dyDescent="0.2">
      <c r="A446">
        <v>51049</v>
      </c>
      <c r="B446" t="s">
        <v>1212</v>
      </c>
      <c r="C446" t="str">
        <f t="shared" si="6"/>
        <v>PIDH</v>
      </c>
      <c r="D446" t="s">
        <v>810</v>
      </c>
      <c r="E446">
        <v>5</v>
      </c>
      <c r="F446" t="s">
        <v>805</v>
      </c>
      <c r="G446">
        <v>40</v>
      </c>
      <c r="H446" t="s">
        <v>832</v>
      </c>
      <c r="I446">
        <v>1</v>
      </c>
      <c r="J446">
        <v>39.991999999999997</v>
      </c>
      <c r="K446">
        <v>7.4555999999999996</v>
      </c>
    </row>
    <row r="447" spans="1:11" x14ac:dyDescent="0.2">
      <c r="A447">
        <v>51049</v>
      </c>
      <c r="B447" t="s">
        <v>1212</v>
      </c>
      <c r="C447" t="str">
        <f t="shared" si="6"/>
        <v>PIDH</v>
      </c>
      <c r="D447" t="s">
        <v>812</v>
      </c>
      <c r="E447">
        <v>5</v>
      </c>
      <c r="F447" t="s">
        <v>805</v>
      </c>
      <c r="G447">
        <v>40</v>
      </c>
      <c r="H447" t="s">
        <v>832</v>
      </c>
      <c r="I447">
        <v>1</v>
      </c>
      <c r="J447">
        <v>38.172600000000003</v>
      </c>
      <c r="K447">
        <v>9.5627999999999993</v>
      </c>
    </row>
    <row r="448" spans="1:11" x14ac:dyDescent="0.2">
      <c r="A448">
        <v>51082</v>
      </c>
      <c r="B448" t="s">
        <v>1215</v>
      </c>
      <c r="C448" t="str">
        <f t="shared" si="6"/>
        <v>PJST</v>
      </c>
      <c r="D448" t="s">
        <v>804</v>
      </c>
      <c r="E448">
        <v>5</v>
      </c>
      <c r="F448" t="s">
        <v>805</v>
      </c>
      <c r="G448">
        <v>1</v>
      </c>
      <c r="H448" t="s">
        <v>806</v>
      </c>
      <c r="I448">
        <v>1</v>
      </c>
      <c r="J448">
        <v>26.5398</v>
      </c>
      <c r="K448">
        <v>2.3039999999999998</v>
      </c>
    </row>
    <row r="449" spans="1:11" x14ac:dyDescent="0.2">
      <c r="A449">
        <v>51082</v>
      </c>
      <c r="B449" t="s">
        <v>1215</v>
      </c>
      <c r="C449" t="str">
        <f t="shared" si="6"/>
        <v>PJST</v>
      </c>
      <c r="D449" t="s">
        <v>807</v>
      </c>
      <c r="E449">
        <v>5</v>
      </c>
      <c r="F449" t="s">
        <v>805</v>
      </c>
      <c r="G449">
        <v>1</v>
      </c>
      <c r="H449" t="s">
        <v>806</v>
      </c>
      <c r="I449">
        <v>1</v>
      </c>
      <c r="J449">
        <v>26.548100000000002</v>
      </c>
      <c r="K449">
        <v>2.3256999999999999</v>
      </c>
    </row>
    <row r="450" spans="1:11" x14ac:dyDescent="0.2">
      <c r="A450">
        <v>51082</v>
      </c>
      <c r="B450" t="s">
        <v>1215</v>
      </c>
      <c r="C450" t="str">
        <f t="shared" si="6"/>
        <v>PJST</v>
      </c>
      <c r="D450" t="s">
        <v>808</v>
      </c>
      <c r="E450">
        <v>5</v>
      </c>
      <c r="F450" t="s">
        <v>805</v>
      </c>
      <c r="G450">
        <v>1</v>
      </c>
      <c r="H450" t="s">
        <v>806</v>
      </c>
      <c r="I450">
        <v>1</v>
      </c>
      <c r="J450">
        <v>8.6257000000000001</v>
      </c>
      <c r="K450">
        <v>1.37</v>
      </c>
    </row>
    <row r="451" spans="1:11" x14ac:dyDescent="0.2">
      <c r="A451">
        <v>51082</v>
      </c>
      <c r="B451" t="s">
        <v>1215</v>
      </c>
      <c r="C451" t="str">
        <f t="shared" ref="C451:C514" si="7">LEFT(B451,4)</f>
        <v>PJST</v>
      </c>
      <c r="D451" t="s">
        <v>809</v>
      </c>
      <c r="E451">
        <v>5</v>
      </c>
      <c r="F451" t="s">
        <v>805</v>
      </c>
      <c r="G451">
        <v>1</v>
      </c>
      <c r="H451" t="s">
        <v>806</v>
      </c>
      <c r="I451">
        <v>1</v>
      </c>
      <c r="J451">
        <v>11.2217</v>
      </c>
      <c r="K451">
        <v>1.4807999999999999</v>
      </c>
    </row>
    <row r="452" spans="1:11" x14ac:dyDescent="0.2">
      <c r="A452">
        <v>51015</v>
      </c>
      <c r="B452" t="s">
        <v>1220</v>
      </c>
      <c r="C452" t="str">
        <f t="shared" si="7"/>
        <v>PKLG</v>
      </c>
      <c r="D452" t="s">
        <v>1202</v>
      </c>
      <c r="E452">
        <v>5</v>
      </c>
      <c r="F452" t="s">
        <v>805</v>
      </c>
      <c r="G452">
        <v>1</v>
      </c>
      <c r="H452" t="s">
        <v>806</v>
      </c>
      <c r="I452">
        <v>1</v>
      </c>
      <c r="J452">
        <v>7.9494999999999996</v>
      </c>
      <c r="K452">
        <v>0.95579999999999998</v>
      </c>
    </row>
    <row r="453" spans="1:11" x14ac:dyDescent="0.2">
      <c r="A453">
        <v>51015</v>
      </c>
      <c r="B453" t="s">
        <v>1220</v>
      </c>
      <c r="C453" t="str">
        <f t="shared" si="7"/>
        <v>PKLG</v>
      </c>
      <c r="D453" t="s">
        <v>1203</v>
      </c>
      <c r="E453">
        <v>5</v>
      </c>
      <c r="F453" t="s">
        <v>805</v>
      </c>
      <c r="G453">
        <v>1</v>
      </c>
      <c r="H453" t="s">
        <v>806</v>
      </c>
      <c r="I453">
        <v>1</v>
      </c>
      <c r="J453">
        <v>7.8822000000000001</v>
      </c>
      <c r="K453">
        <v>0.92989999999999995</v>
      </c>
    </row>
    <row r="454" spans="1:11" x14ac:dyDescent="0.2">
      <c r="A454">
        <v>51015</v>
      </c>
      <c r="B454" t="s">
        <v>1220</v>
      </c>
      <c r="C454" t="str">
        <f t="shared" si="7"/>
        <v>PKLG</v>
      </c>
      <c r="D454" t="s">
        <v>1221</v>
      </c>
      <c r="E454">
        <v>5</v>
      </c>
      <c r="F454" t="s">
        <v>805</v>
      </c>
      <c r="G454">
        <v>1</v>
      </c>
      <c r="H454" t="s">
        <v>806</v>
      </c>
      <c r="I454">
        <v>1</v>
      </c>
      <c r="J454">
        <v>0</v>
      </c>
      <c r="K454">
        <v>0</v>
      </c>
    </row>
    <row r="455" spans="1:11" x14ac:dyDescent="0.2">
      <c r="A455">
        <v>51015</v>
      </c>
      <c r="B455" t="s">
        <v>1220</v>
      </c>
      <c r="C455" t="str">
        <f t="shared" si="7"/>
        <v>PKLG</v>
      </c>
      <c r="D455" t="s">
        <v>804</v>
      </c>
      <c r="E455">
        <v>5</v>
      </c>
      <c r="F455" t="s">
        <v>805</v>
      </c>
      <c r="G455">
        <v>1</v>
      </c>
      <c r="H455" t="s">
        <v>806</v>
      </c>
      <c r="I455">
        <v>1</v>
      </c>
      <c r="J455">
        <v>0</v>
      </c>
      <c r="K455">
        <v>0</v>
      </c>
    </row>
    <row r="456" spans="1:11" x14ac:dyDescent="0.2">
      <c r="A456">
        <v>51015</v>
      </c>
      <c r="B456" t="s">
        <v>1220</v>
      </c>
      <c r="C456" t="str">
        <f t="shared" si="7"/>
        <v>PKLG</v>
      </c>
      <c r="D456" t="s">
        <v>807</v>
      </c>
      <c r="E456">
        <v>5</v>
      </c>
      <c r="F456" t="s">
        <v>805</v>
      </c>
      <c r="G456">
        <v>1</v>
      </c>
      <c r="H456" t="s">
        <v>806</v>
      </c>
      <c r="I456">
        <v>1</v>
      </c>
      <c r="J456">
        <v>0</v>
      </c>
      <c r="K456">
        <v>0</v>
      </c>
    </row>
    <row r="457" spans="1:11" x14ac:dyDescent="0.2">
      <c r="A457">
        <v>51042</v>
      </c>
      <c r="B457" t="s">
        <v>1229</v>
      </c>
      <c r="C457" t="str">
        <f t="shared" si="7"/>
        <v>PMRN</v>
      </c>
      <c r="D457" t="s">
        <v>804</v>
      </c>
      <c r="E457">
        <v>5</v>
      </c>
      <c r="F457" t="s">
        <v>805</v>
      </c>
      <c r="G457">
        <v>1</v>
      </c>
      <c r="H457" t="s">
        <v>806</v>
      </c>
      <c r="I457">
        <v>1</v>
      </c>
      <c r="J457">
        <v>13.0421</v>
      </c>
      <c r="K457">
        <v>2.5577000000000001</v>
      </c>
    </row>
    <row r="458" spans="1:11" x14ac:dyDescent="0.2">
      <c r="A458">
        <v>51042</v>
      </c>
      <c r="B458" t="s">
        <v>1229</v>
      </c>
      <c r="C458" t="str">
        <f t="shared" si="7"/>
        <v>PMRN</v>
      </c>
      <c r="D458" t="s">
        <v>807</v>
      </c>
      <c r="E458">
        <v>5</v>
      </c>
      <c r="F458" t="s">
        <v>805</v>
      </c>
      <c r="G458">
        <v>1</v>
      </c>
      <c r="H458" t="s">
        <v>806</v>
      </c>
      <c r="I458">
        <v>1</v>
      </c>
      <c r="J458">
        <v>14.163600000000001</v>
      </c>
      <c r="K458">
        <v>2.887</v>
      </c>
    </row>
    <row r="459" spans="1:11" x14ac:dyDescent="0.2">
      <c r="A459">
        <v>51042</v>
      </c>
      <c r="B459" t="s">
        <v>1229</v>
      </c>
      <c r="C459" t="str">
        <f t="shared" si="7"/>
        <v>PMRN</v>
      </c>
      <c r="D459" t="s">
        <v>808</v>
      </c>
      <c r="E459">
        <v>5</v>
      </c>
      <c r="F459" t="s">
        <v>805</v>
      </c>
      <c r="G459">
        <v>1</v>
      </c>
      <c r="H459" t="s">
        <v>806</v>
      </c>
      <c r="I459">
        <v>1</v>
      </c>
      <c r="J459">
        <v>47.715800000000002</v>
      </c>
      <c r="K459">
        <v>8.2291000000000007</v>
      </c>
    </row>
    <row r="460" spans="1:11" x14ac:dyDescent="0.2">
      <c r="A460">
        <v>51042</v>
      </c>
      <c r="B460" t="s">
        <v>1229</v>
      </c>
      <c r="C460" t="str">
        <f t="shared" si="7"/>
        <v>PMRN</v>
      </c>
      <c r="D460" t="s">
        <v>809</v>
      </c>
      <c r="E460">
        <v>5</v>
      </c>
      <c r="F460" t="s">
        <v>805</v>
      </c>
      <c r="G460">
        <v>1</v>
      </c>
      <c r="H460" t="s">
        <v>806</v>
      </c>
      <c r="I460">
        <v>1</v>
      </c>
      <c r="J460">
        <v>47.841099999999997</v>
      </c>
      <c r="K460">
        <v>8.2964000000000002</v>
      </c>
    </row>
    <row r="461" spans="1:11" x14ac:dyDescent="0.2">
      <c r="A461">
        <v>51039</v>
      </c>
      <c r="B461" t="s">
        <v>1231</v>
      </c>
      <c r="C461" t="str">
        <f t="shared" si="7"/>
        <v>PNGA</v>
      </c>
      <c r="D461" t="s">
        <v>804</v>
      </c>
      <c r="E461">
        <v>5</v>
      </c>
      <c r="F461" t="s">
        <v>805</v>
      </c>
      <c r="G461">
        <v>1</v>
      </c>
      <c r="H461" t="s">
        <v>806</v>
      </c>
      <c r="I461">
        <v>1</v>
      </c>
      <c r="J461">
        <v>35.267000000000003</v>
      </c>
      <c r="K461">
        <v>-1.7490000000000001</v>
      </c>
    </row>
    <row r="462" spans="1:11" x14ac:dyDescent="0.2">
      <c r="A462">
        <v>51039</v>
      </c>
      <c r="B462" t="s">
        <v>1231</v>
      </c>
      <c r="C462" t="str">
        <f t="shared" si="7"/>
        <v>PNGA</v>
      </c>
      <c r="D462" t="s">
        <v>807</v>
      </c>
      <c r="E462">
        <v>5</v>
      </c>
      <c r="F462" t="s">
        <v>805</v>
      </c>
      <c r="G462">
        <v>1</v>
      </c>
      <c r="H462" t="s">
        <v>806</v>
      </c>
      <c r="I462">
        <v>1</v>
      </c>
      <c r="J462">
        <v>35.333300000000001</v>
      </c>
      <c r="K462">
        <v>12.6465</v>
      </c>
    </row>
    <row r="463" spans="1:11" x14ac:dyDescent="0.2">
      <c r="A463">
        <v>51009</v>
      </c>
      <c r="B463" t="s">
        <v>1243</v>
      </c>
      <c r="C463" t="str">
        <f t="shared" si="7"/>
        <v>PROT</v>
      </c>
      <c r="D463" t="s">
        <v>804</v>
      </c>
      <c r="E463">
        <v>5</v>
      </c>
      <c r="F463" t="s">
        <v>805</v>
      </c>
      <c r="G463">
        <v>1</v>
      </c>
      <c r="H463" t="s">
        <v>806</v>
      </c>
      <c r="I463">
        <v>1</v>
      </c>
      <c r="J463">
        <v>32.4039</v>
      </c>
      <c r="K463">
        <v>7.7775999999999996</v>
      </c>
    </row>
    <row r="464" spans="1:11" x14ac:dyDescent="0.2">
      <c r="A464">
        <v>51009</v>
      </c>
      <c r="B464" t="s">
        <v>1243</v>
      </c>
      <c r="C464" t="str">
        <f t="shared" si="7"/>
        <v>PROT</v>
      </c>
      <c r="D464" t="s">
        <v>807</v>
      </c>
      <c r="E464">
        <v>5</v>
      </c>
      <c r="F464" t="s">
        <v>805</v>
      </c>
      <c r="G464">
        <v>1</v>
      </c>
      <c r="H464" t="s">
        <v>806</v>
      </c>
      <c r="I464">
        <v>1</v>
      </c>
      <c r="J464">
        <v>32.279600000000002</v>
      </c>
      <c r="K464">
        <v>7.76</v>
      </c>
    </row>
    <row r="465" spans="1:11" x14ac:dyDescent="0.2">
      <c r="A465">
        <v>51009</v>
      </c>
      <c r="B465" t="s">
        <v>1243</v>
      </c>
      <c r="C465" t="str">
        <f t="shared" si="7"/>
        <v>PROT</v>
      </c>
      <c r="D465" t="s">
        <v>808</v>
      </c>
      <c r="E465">
        <v>5</v>
      </c>
      <c r="F465" t="s">
        <v>805</v>
      </c>
      <c r="G465">
        <v>1</v>
      </c>
      <c r="H465" t="s">
        <v>806</v>
      </c>
      <c r="I465">
        <v>1</v>
      </c>
      <c r="J465">
        <v>49.7164</v>
      </c>
      <c r="K465">
        <v>15.49</v>
      </c>
    </row>
    <row r="466" spans="1:11" x14ac:dyDescent="0.2">
      <c r="A466">
        <v>88176</v>
      </c>
      <c r="B466" t="s">
        <v>1247</v>
      </c>
      <c r="C466" t="str">
        <f t="shared" si="7"/>
        <v>PTAI</v>
      </c>
      <c r="D466" t="s">
        <v>804</v>
      </c>
      <c r="E466">
        <v>5</v>
      </c>
      <c r="F466" t="s">
        <v>805</v>
      </c>
      <c r="G466">
        <v>1</v>
      </c>
      <c r="H466" t="s">
        <v>806</v>
      </c>
      <c r="I466">
        <v>1</v>
      </c>
      <c r="J466">
        <v>0</v>
      </c>
      <c r="K466">
        <v>0</v>
      </c>
    </row>
    <row r="467" spans="1:11" x14ac:dyDescent="0.2">
      <c r="A467">
        <v>88176</v>
      </c>
      <c r="B467" t="s">
        <v>1247</v>
      </c>
      <c r="C467" t="str">
        <f t="shared" si="7"/>
        <v>PTAI</v>
      </c>
      <c r="D467" t="s">
        <v>807</v>
      </c>
      <c r="E467">
        <v>5</v>
      </c>
      <c r="F467" t="s">
        <v>805</v>
      </c>
      <c r="G467">
        <v>1</v>
      </c>
      <c r="H467" t="s">
        <v>806</v>
      </c>
      <c r="I467">
        <v>1</v>
      </c>
      <c r="J467">
        <v>0</v>
      </c>
      <c r="K467">
        <v>0</v>
      </c>
    </row>
    <row r="468" spans="1:11" x14ac:dyDescent="0.2">
      <c r="A468">
        <v>88176</v>
      </c>
      <c r="B468" t="s">
        <v>1247</v>
      </c>
      <c r="C468" t="str">
        <f t="shared" si="7"/>
        <v>PTAI</v>
      </c>
      <c r="D468" t="s">
        <v>808</v>
      </c>
      <c r="E468">
        <v>5</v>
      </c>
      <c r="F468" t="s">
        <v>805</v>
      </c>
      <c r="G468">
        <v>1</v>
      </c>
      <c r="H468" t="s">
        <v>806</v>
      </c>
      <c r="I468">
        <v>1</v>
      </c>
      <c r="J468">
        <v>34.834200000000003</v>
      </c>
      <c r="K468">
        <v>2.6922999999999999</v>
      </c>
    </row>
    <row r="469" spans="1:11" x14ac:dyDescent="0.2">
      <c r="A469">
        <v>88176</v>
      </c>
      <c r="B469" t="s">
        <v>1247</v>
      </c>
      <c r="C469" t="str">
        <f t="shared" si="7"/>
        <v>PTAI</v>
      </c>
      <c r="D469" t="s">
        <v>809</v>
      </c>
      <c r="E469">
        <v>5</v>
      </c>
      <c r="F469" t="s">
        <v>805</v>
      </c>
      <c r="G469">
        <v>1</v>
      </c>
      <c r="H469" t="s">
        <v>806</v>
      </c>
      <c r="I469">
        <v>1</v>
      </c>
      <c r="J469">
        <v>34.587699999999998</v>
      </c>
      <c r="K469">
        <v>2.6084000000000001</v>
      </c>
    </row>
    <row r="470" spans="1:11" x14ac:dyDescent="0.2">
      <c r="A470">
        <v>51052</v>
      </c>
      <c r="B470" t="s">
        <v>1262</v>
      </c>
      <c r="C470" t="str">
        <f t="shared" si="7"/>
        <v>RSID</v>
      </c>
      <c r="D470" t="s">
        <v>804</v>
      </c>
      <c r="E470">
        <v>5</v>
      </c>
      <c r="F470" t="s">
        <v>805</v>
      </c>
      <c r="G470">
        <v>1</v>
      </c>
      <c r="H470" t="s">
        <v>806</v>
      </c>
      <c r="I470">
        <v>1</v>
      </c>
      <c r="J470">
        <v>16.400200000000002</v>
      </c>
      <c r="K470">
        <v>3.0402</v>
      </c>
    </row>
    <row r="471" spans="1:11" x14ac:dyDescent="0.2">
      <c r="A471">
        <v>51052</v>
      </c>
      <c r="B471" t="s">
        <v>1262</v>
      </c>
      <c r="C471" t="str">
        <f t="shared" si="7"/>
        <v>RSID</v>
      </c>
      <c r="D471" t="s">
        <v>807</v>
      </c>
      <c r="E471">
        <v>5</v>
      </c>
      <c r="F471" t="s">
        <v>805</v>
      </c>
      <c r="G471">
        <v>1</v>
      </c>
      <c r="H471" t="s">
        <v>806</v>
      </c>
      <c r="I471">
        <v>1</v>
      </c>
      <c r="J471">
        <v>16.311199999999999</v>
      </c>
      <c r="K471">
        <v>3.0318999999999998</v>
      </c>
    </row>
    <row r="472" spans="1:11" x14ac:dyDescent="0.2">
      <c r="A472">
        <v>51218</v>
      </c>
      <c r="B472" t="s">
        <v>1264</v>
      </c>
      <c r="C472" t="str">
        <f t="shared" si="7"/>
        <v>RWSS</v>
      </c>
      <c r="D472" t="s">
        <v>804</v>
      </c>
      <c r="E472">
        <v>5</v>
      </c>
      <c r="F472" t="s">
        <v>805</v>
      </c>
      <c r="G472">
        <v>1</v>
      </c>
      <c r="H472" t="s">
        <v>806</v>
      </c>
      <c r="I472">
        <v>1</v>
      </c>
      <c r="J472">
        <v>6.2586000000000004</v>
      </c>
      <c r="K472">
        <v>-2.0078</v>
      </c>
    </row>
    <row r="473" spans="1:11" x14ac:dyDescent="0.2">
      <c r="A473">
        <v>51034</v>
      </c>
      <c r="B473" t="s">
        <v>1270</v>
      </c>
      <c r="C473" t="str">
        <f t="shared" si="7"/>
        <v>SBSR</v>
      </c>
      <c r="D473" t="s">
        <v>804</v>
      </c>
      <c r="E473">
        <v>5</v>
      </c>
      <c r="F473" t="s">
        <v>805</v>
      </c>
      <c r="G473">
        <v>1</v>
      </c>
      <c r="H473" t="s">
        <v>806</v>
      </c>
      <c r="I473">
        <v>1</v>
      </c>
      <c r="J473">
        <v>14.1739</v>
      </c>
      <c r="K473">
        <v>0.74660000000000004</v>
      </c>
    </row>
    <row r="474" spans="1:11" x14ac:dyDescent="0.2">
      <c r="A474">
        <v>51034</v>
      </c>
      <c r="B474" t="s">
        <v>1270</v>
      </c>
      <c r="C474" t="str">
        <f t="shared" si="7"/>
        <v>SBSR</v>
      </c>
      <c r="D474" t="s">
        <v>807</v>
      </c>
      <c r="E474">
        <v>5</v>
      </c>
      <c r="F474" t="s">
        <v>805</v>
      </c>
      <c r="G474">
        <v>1</v>
      </c>
      <c r="H474" t="s">
        <v>806</v>
      </c>
      <c r="I474">
        <v>1</v>
      </c>
      <c r="J474">
        <v>12.9406</v>
      </c>
      <c r="K474">
        <v>1.4745999999999999</v>
      </c>
    </row>
    <row r="475" spans="1:11" x14ac:dyDescent="0.2">
      <c r="A475">
        <v>51034</v>
      </c>
      <c r="B475" t="s">
        <v>1270</v>
      </c>
      <c r="C475" t="str">
        <f t="shared" si="7"/>
        <v>SBSR</v>
      </c>
      <c r="D475" t="s">
        <v>808</v>
      </c>
      <c r="E475">
        <v>5</v>
      </c>
      <c r="F475" t="s">
        <v>805</v>
      </c>
      <c r="G475">
        <v>1</v>
      </c>
      <c r="H475" t="s">
        <v>806</v>
      </c>
      <c r="I475">
        <v>1</v>
      </c>
      <c r="J475">
        <v>24.046399999999998</v>
      </c>
      <c r="K475">
        <v>0.76519999999999999</v>
      </c>
    </row>
    <row r="476" spans="1:11" x14ac:dyDescent="0.2">
      <c r="A476">
        <v>51034</v>
      </c>
      <c r="B476" t="s">
        <v>1270</v>
      </c>
      <c r="C476" t="str">
        <f t="shared" si="7"/>
        <v>SBSR</v>
      </c>
      <c r="D476" t="s">
        <v>809</v>
      </c>
      <c r="E476">
        <v>5</v>
      </c>
      <c r="F476" t="s">
        <v>805</v>
      </c>
      <c r="G476">
        <v>1</v>
      </c>
      <c r="H476" t="s">
        <v>806</v>
      </c>
      <c r="I476">
        <v>1</v>
      </c>
      <c r="J476">
        <v>23.557600000000001</v>
      </c>
      <c r="K476">
        <v>0.75690000000000002</v>
      </c>
    </row>
    <row r="477" spans="1:11" x14ac:dyDescent="0.2">
      <c r="A477">
        <v>51032</v>
      </c>
      <c r="B477" t="s">
        <v>1276</v>
      </c>
      <c r="C477" t="str">
        <f t="shared" si="7"/>
        <v>SDCA</v>
      </c>
      <c r="D477" t="s">
        <v>804</v>
      </c>
      <c r="E477">
        <v>5</v>
      </c>
      <c r="F477" t="s">
        <v>805</v>
      </c>
      <c r="G477">
        <v>1</v>
      </c>
      <c r="H477" t="s">
        <v>806</v>
      </c>
      <c r="I477">
        <v>1</v>
      </c>
      <c r="J477">
        <v>17.6004</v>
      </c>
      <c r="K477">
        <v>0.6845</v>
      </c>
    </row>
    <row r="478" spans="1:11" x14ac:dyDescent="0.2">
      <c r="A478">
        <v>51032</v>
      </c>
      <c r="B478" t="s">
        <v>1276</v>
      </c>
      <c r="C478" t="str">
        <f t="shared" si="7"/>
        <v>SDCA</v>
      </c>
      <c r="D478" t="s">
        <v>807</v>
      </c>
      <c r="E478">
        <v>5</v>
      </c>
      <c r="F478" t="s">
        <v>805</v>
      </c>
      <c r="G478">
        <v>1</v>
      </c>
      <c r="H478" t="s">
        <v>806</v>
      </c>
      <c r="I478">
        <v>1</v>
      </c>
      <c r="J478">
        <v>17.6449</v>
      </c>
      <c r="K478">
        <v>0.70409999999999995</v>
      </c>
    </row>
    <row r="479" spans="1:11" x14ac:dyDescent="0.2">
      <c r="A479">
        <v>51027</v>
      </c>
      <c r="B479" t="s">
        <v>1284</v>
      </c>
      <c r="C479" t="str">
        <f t="shared" si="7"/>
        <v>SHAB</v>
      </c>
      <c r="D479" t="s">
        <v>804</v>
      </c>
      <c r="E479">
        <v>5</v>
      </c>
      <c r="F479" t="s">
        <v>805</v>
      </c>
      <c r="G479">
        <v>1</v>
      </c>
      <c r="H479" t="s">
        <v>806</v>
      </c>
      <c r="I479">
        <v>1</v>
      </c>
      <c r="J479">
        <v>25.234100000000002</v>
      </c>
      <c r="K479">
        <v>3.5983999999999998</v>
      </c>
    </row>
    <row r="480" spans="1:11" x14ac:dyDescent="0.2">
      <c r="A480">
        <v>51027</v>
      </c>
      <c r="B480" t="s">
        <v>1284</v>
      </c>
      <c r="C480" t="str">
        <f t="shared" si="7"/>
        <v>SHAB</v>
      </c>
      <c r="D480" t="s">
        <v>807</v>
      </c>
      <c r="E480">
        <v>5</v>
      </c>
      <c r="F480" t="s">
        <v>805</v>
      </c>
      <c r="G480">
        <v>1</v>
      </c>
      <c r="H480" t="s">
        <v>806</v>
      </c>
      <c r="I480">
        <v>1</v>
      </c>
      <c r="J480">
        <v>26.025200000000002</v>
      </c>
      <c r="K480">
        <v>3.3757000000000001</v>
      </c>
    </row>
    <row r="481" spans="1:11" x14ac:dyDescent="0.2">
      <c r="A481">
        <v>51017</v>
      </c>
      <c r="B481" t="s">
        <v>1285</v>
      </c>
      <c r="C481" t="str">
        <f t="shared" si="7"/>
        <v>SHAE</v>
      </c>
      <c r="D481" t="s">
        <v>804</v>
      </c>
      <c r="E481">
        <v>5</v>
      </c>
      <c r="F481" t="s">
        <v>805</v>
      </c>
      <c r="G481">
        <v>1</v>
      </c>
      <c r="H481" t="s">
        <v>806</v>
      </c>
      <c r="I481">
        <v>1</v>
      </c>
      <c r="J481">
        <v>2.3765000000000001</v>
      </c>
      <c r="K481">
        <v>5.8000000000000003E-2</v>
      </c>
    </row>
    <row r="482" spans="1:11" x14ac:dyDescent="0.2">
      <c r="A482">
        <v>51017</v>
      </c>
      <c r="B482" t="s">
        <v>1285</v>
      </c>
      <c r="C482" t="str">
        <f t="shared" si="7"/>
        <v>SHAE</v>
      </c>
      <c r="D482" t="s">
        <v>807</v>
      </c>
      <c r="E482">
        <v>5</v>
      </c>
      <c r="F482" t="s">
        <v>805</v>
      </c>
      <c r="G482">
        <v>1</v>
      </c>
      <c r="H482" t="s">
        <v>806</v>
      </c>
      <c r="I482">
        <v>1</v>
      </c>
      <c r="J482">
        <v>5.6756000000000002</v>
      </c>
      <c r="K482">
        <v>1.4040999999999999</v>
      </c>
    </row>
    <row r="483" spans="1:11" x14ac:dyDescent="0.2">
      <c r="A483">
        <v>51017</v>
      </c>
      <c r="B483" t="s">
        <v>1285</v>
      </c>
      <c r="C483" t="str">
        <f t="shared" si="7"/>
        <v>SHAE</v>
      </c>
      <c r="D483" t="s">
        <v>808</v>
      </c>
      <c r="E483">
        <v>5</v>
      </c>
      <c r="F483" t="s">
        <v>805</v>
      </c>
      <c r="G483">
        <v>1</v>
      </c>
      <c r="H483" t="s">
        <v>806</v>
      </c>
      <c r="I483">
        <v>1</v>
      </c>
      <c r="J483">
        <v>23.785399999999999</v>
      </c>
      <c r="K483">
        <v>5.1722999999999999</v>
      </c>
    </row>
    <row r="484" spans="1:11" x14ac:dyDescent="0.2">
      <c r="A484">
        <v>51017</v>
      </c>
      <c r="B484" t="s">
        <v>1285</v>
      </c>
      <c r="C484" t="str">
        <f t="shared" si="7"/>
        <v>SHAE</v>
      </c>
      <c r="D484" t="s">
        <v>809</v>
      </c>
      <c r="E484">
        <v>5</v>
      </c>
      <c r="F484" t="s">
        <v>805</v>
      </c>
      <c r="G484">
        <v>1</v>
      </c>
      <c r="H484" t="s">
        <v>806</v>
      </c>
      <c r="I484">
        <v>1</v>
      </c>
      <c r="J484">
        <v>24.068100000000001</v>
      </c>
      <c r="K484">
        <v>5.2023000000000001</v>
      </c>
    </row>
    <row r="485" spans="1:11" x14ac:dyDescent="0.2">
      <c r="A485">
        <v>51017</v>
      </c>
      <c r="B485" t="s">
        <v>1285</v>
      </c>
      <c r="C485" t="str">
        <f t="shared" si="7"/>
        <v>SHAE</v>
      </c>
      <c r="D485" t="s">
        <v>810</v>
      </c>
      <c r="E485">
        <v>5</v>
      </c>
      <c r="F485" t="s">
        <v>805</v>
      </c>
      <c r="G485">
        <v>1</v>
      </c>
      <c r="H485" t="s">
        <v>806</v>
      </c>
      <c r="I485">
        <v>1</v>
      </c>
      <c r="J485">
        <v>32.854300000000002</v>
      </c>
      <c r="K485">
        <v>8.0147999999999993</v>
      </c>
    </row>
    <row r="486" spans="1:11" x14ac:dyDescent="0.2">
      <c r="A486">
        <v>51003</v>
      </c>
      <c r="B486" t="s">
        <v>1286</v>
      </c>
      <c r="C486" t="str">
        <f t="shared" si="7"/>
        <v>SHAN</v>
      </c>
      <c r="D486" t="s">
        <v>804</v>
      </c>
      <c r="E486">
        <v>5</v>
      </c>
      <c r="F486" t="s">
        <v>805</v>
      </c>
      <c r="G486">
        <v>1</v>
      </c>
      <c r="H486" t="s">
        <v>806</v>
      </c>
      <c r="I486">
        <v>1</v>
      </c>
      <c r="J486">
        <v>0</v>
      </c>
      <c r="K486">
        <v>0</v>
      </c>
    </row>
    <row r="487" spans="1:11" x14ac:dyDescent="0.2">
      <c r="A487">
        <v>51003</v>
      </c>
      <c r="B487" t="s">
        <v>1286</v>
      </c>
      <c r="C487" t="str">
        <f t="shared" si="7"/>
        <v>SHAN</v>
      </c>
      <c r="D487" t="s">
        <v>807</v>
      </c>
      <c r="E487">
        <v>5</v>
      </c>
      <c r="F487" t="s">
        <v>805</v>
      </c>
      <c r="G487">
        <v>1</v>
      </c>
      <c r="H487" t="s">
        <v>806</v>
      </c>
      <c r="I487">
        <v>1</v>
      </c>
      <c r="J487">
        <v>7.0000000000000001E-3</v>
      </c>
      <c r="K487">
        <v>0</v>
      </c>
    </row>
    <row r="488" spans="1:11" x14ac:dyDescent="0.2">
      <c r="A488">
        <v>51003</v>
      </c>
      <c r="B488" t="s">
        <v>1286</v>
      </c>
      <c r="C488" t="str">
        <f t="shared" si="7"/>
        <v>SHAN</v>
      </c>
      <c r="D488" t="s">
        <v>808</v>
      </c>
      <c r="E488">
        <v>5</v>
      </c>
      <c r="F488" t="s">
        <v>805</v>
      </c>
      <c r="G488">
        <v>1</v>
      </c>
      <c r="H488" t="s">
        <v>806</v>
      </c>
      <c r="I488">
        <v>1</v>
      </c>
      <c r="J488">
        <v>0</v>
      </c>
      <c r="K488">
        <v>0</v>
      </c>
    </row>
    <row r="489" spans="1:11" x14ac:dyDescent="0.2">
      <c r="A489">
        <v>51007</v>
      </c>
      <c r="B489" t="s">
        <v>1287</v>
      </c>
      <c r="C489" t="str">
        <f t="shared" si="7"/>
        <v>SHAS</v>
      </c>
      <c r="D489" t="s">
        <v>804</v>
      </c>
      <c r="E489">
        <v>5</v>
      </c>
      <c r="F489" t="s">
        <v>805</v>
      </c>
      <c r="G489">
        <v>1</v>
      </c>
      <c r="H489" t="s">
        <v>806</v>
      </c>
      <c r="I489">
        <v>1</v>
      </c>
      <c r="J489">
        <v>38.927500000000002</v>
      </c>
      <c r="K489">
        <v>7.3272000000000004</v>
      </c>
    </row>
    <row r="490" spans="1:11" x14ac:dyDescent="0.2">
      <c r="A490">
        <v>51007</v>
      </c>
      <c r="B490" t="s">
        <v>1287</v>
      </c>
      <c r="C490" t="str">
        <f t="shared" si="7"/>
        <v>SHAS</v>
      </c>
      <c r="D490" t="s">
        <v>807</v>
      </c>
      <c r="E490">
        <v>5</v>
      </c>
      <c r="F490" t="s">
        <v>805</v>
      </c>
      <c r="G490">
        <v>1</v>
      </c>
      <c r="H490" t="s">
        <v>806</v>
      </c>
      <c r="I490">
        <v>1</v>
      </c>
      <c r="J490">
        <v>39.047600000000003</v>
      </c>
      <c r="K490">
        <v>7.3665000000000003</v>
      </c>
    </row>
    <row r="491" spans="1:11" x14ac:dyDescent="0.2">
      <c r="A491">
        <v>51041</v>
      </c>
      <c r="B491" t="s">
        <v>1288</v>
      </c>
      <c r="C491" t="str">
        <f t="shared" si="7"/>
        <v>SHAW</v>
      </c>
      <c r="D491" t="s">
        <v>804</v>
      </c>
      <c r="E491">
        <v>5</v>
      </c>
      <c r="F491" t="s">
        <v>805</v>
      </c>
      <c r="G491">
        <v>1</v>
      </c>
      <c r="H491" t="s">
        <v>806</v>
      </c>
      <c r="I491">
        <v>1</v>
      </c>
      <c r="J491">
        <v>9.2294</v>
      </c>
      <c r="K491">
        <v>1.8472999999999999</v>
      </c>
    </row>
    <row r="492" spans="1:11" x14ac:dyDescent="0.2">
      <c r="A492">
        <v>51041</v>
      </c>
      <c r="B492" t="s">
        <v>1288</v>
      </c>
      <c r="C492" t="str">
        <f t="shared" si="7"/>
        <v>SHAW</v>
      </c>
      <c r="D492" t="s">
        <v>807</v>
      </c>
      <c r="E492">
        <v>5</v>
      </c>
      <c r="F492" t="s">
        <v>805</v>
      </c>
      <c r="G492">
        <v>1</v>
      </c>
      <c r="H492" t="s">
        <v>806</v>
      </c>
      <c r="I492">
        <v>1</v>
      </c>
      <c r="J492">
        <v>5.8288000000000002</v>
      </c>
      <c r="K492">
        <v>0.63890000000000002</v>
      </c>
    </row>
    <row r="493" spans="1:11" x14ac:dyDescent="0.2">
      <c r="A493">
        <v>51041</v>
      </c>
      <c r="B493" t="s">
        <v>1288</v>
      </c>
      <c r="C493" t="str">
        <f t="shared" si="7"/>
        <v>SHAW</v>
      </c>
      <c r="D493" t="s">
        <v>808</v>
      </c>
      <c r="E493">
        <v>5</v>
      </c>
      <c r="F493" t="s">
        <v>805</v>
      </c>
      <c r="G493">
        <v>1</v>
      </c>
      <c r="H493" t="s">
        <v>806</v>
      </c>
      <c r="I493">
        <v>1</v>
      </c>
      <c r="J493">
        <v>28.591100000000001</v>
      </c>
      <c r="K493">
        <v>3.8685999999999998</v>
      </c>
    </row>
    <row r="494" spans="1:11" x14ac:dyDescent="0.2">
      <c r="A494">
        <v>51041</v>
      </c>
      <c r="B494" t="s">
        <v>1288</v>
      </c>
      <c r="C494" t="str">
        <f t="shared" si="7"/>
        <v>SHAW</v>
      </c>
      <c r="D494" t="s">
        <v>809</v>
      </c>
      <c r="E494">
        <v>5</v>
      </c>
      <c r="F494" t="s">
        <v>805</v>
      </c>
      <c r="G494">
        <v>1</v>
      </c>
      <c r="H494" t="s">
        <v>806</v>
      </c>
      <c r="I494">
        <v>1</v>
      </c>
      <c r="J494">
        <v>28.456499999999998</v>
      </c>
      <c r="K494">
        <v>3.9028</v>
      </c>
    </row>
    <row r="495" spans="1:11" x14ac:dyDescent="0.2">
      <c r="A495">
        <v>51002</v>
      </c>
      <c r="B495" t="s">
        <v>1290</v>
      </c>
      <c r="C495" t="str">
        <f t="shared" si="7"/>
        <v>SHLB</v>
      </c>
      <c r="D495" t="s">
        <v>804</v>
      </c>
      <c r="E495">
        <v>5</v>
      </c>
      <c r="F495" t="s">
        <v>805</v>
      </c>
      <c r="G495">
        <v>1</v>
      </c>
      <c r="H495" t="s">
        <v>806</v>
      </c>
      <c r="I495">
        <v>1</v>
      </c>
      <c r="J495">
        <v>27.409600000000001</v>
      </c>
      <c r="K495">
        <v>5.3432000000000004</v>
      </c>
    </row>
    <row r="496" spans="1:11" x14ac:dyDescent="0.2">
      <c r="A496">
        <v>51002</v>
      </c>
      <c r="B496" t="s">
        <v>1290</v>
      </c>
      <c r="C496" t="str">
        <f t="shared" si="7"/>
        <v>SHLB</v>
      </c>
      <c r="D496" t="s">
        <v>807</v>
      </c>
      <c r="E496">
        <v>5</v>
      </c>
      <c r="F496" t="s">
        <v>805</v>
      </c>
      <c r="G496">
        <v>1</v>
      </c>
      <c r="H496" t="s">
        <v>806</v>
      </c>
      <c r="I496">
        <v>1</v>
      </c>
      <c r="J496">
        <v>27.513200000000001</v>
      </c>
      <c r="K496">
        <v>5.3535000000000004</v>
      </c>
    </row>
    <row r="497" spans="1:11" x14ac:dyDescent="0.2">
      <c r="A497">
        <v>51075</v>
      </c>
      <c r="B497" t="s">
        <v>1297</v>
      </c>
      <c r="C497" t="str">
        <f t="shared" si="7"/>
        <v>SJTC</v>
      </c>
      <c r="D497" t="s">
        <v>804</v>
      </c>
      <c r="E497">
        <v>5</v>
      </c>
      <c r="F497" t="s">
        <v>805</v>
      </c>
      <c r="G497">
        <v>1</v>
      </c>
      <c r="H497" t="s">
        <v>806</v>
      </c>
      <c r="I497">
        <v>1</v>
      </c>
      <c r="J497">
        <v>28.460699999999999</v>
      </c>
      <c r="K497">
        <v>4.7012</v>
      </c>
    </row>
    <row r="498" spans="1:11" x14ac:dyDescent="0.2">
      <c r="A498">
        <v>51075</v>
      </c>
      <c r="B498" t="s">
        <v>1297</v>
      </c>
      <c r="C498" t="str">
        <f t="shared" si="7"/>
        <v>SJTC</v>
      </c>
      <c r="D498" t="s">
        <v>807</v>
      </c>
      <c r="E498">
        <v>5</v>
      </c>
      <c r="F498" t="s">
        <v>805</v>
      </c>
      <c r="G498">
        <v>1</v>
      </c>
      <c r="H498" t="s">
        <v>806</v>
      </c>
      <c r="I498">
        <v>1</v>
      </c>
      <c r="J498">
        <v>28.530100000000001</v>
      </c>
      <c r="K498">
        <v>4.7218999999999998</v>
      </c>
    </row>
    <row r="499" spans="1:11" x14ac:dyDescent="0.2">
      <c r="A499">
        <v>51054</v>
      </c>
      <c r="B499" t="s">
        <v>1308</v>
      </c>
      <c r="C499" t="str">
        <f t="shared" si="7"/>
        <v>SMYH</v>
      </c>
      <c r="D499" t="s">
        <v>804</v>
      </c>
      <c r="E499">
        <v>5</v>
      </c>
      <c r="F499" t="s">
        <v>805</v>
      </c>
      <c r="G499">
        <v>1</v>
      </c>
      <c r="H499" t="s">
        <v>806</v>
      </c>
      <c r="I499">
        <v>1</v>
      </c>
      <c r="J499">
        <v>8.4382999999999999</v>
      </c>
      <c r="K499">
        <v>0.6865</v>
      </c>
    </row>
    <row r="500" spans="1:11" x14ac:dyDescent="0.2">
      <c r="A500">
        <v>51054</v>
      </c>
      <c r="B500" t="s">
        <v>1308</v>
      </c>
      <c r="C500" t="str">
        <f t="shared" si="7"/>
        <v>SMYH</v>
      </c>
      <c r="D500" t="s">
        <v>807</v>
      </c>
      <c r="E500">
        <v>5</v>
      </c>
      <c r="F500" t="s">
        <v>805</v>
      </c>
      <c r="G500">
        <v>1</v>
      </c>
      <c r="H500" t="s">
        <v>806</v>
      </c>
      <c r="I500">
        <v>1</v>
      </c>
      <c r="J500">
        <v>12.1516</v>
      </c>
      <c r="K500">
        <v>1.9995000000000001</v>
      </c>
    </row>
    <row r="501" spans="1:11" x14ac:dyDescent="0.2">
      <c r="A501">
        <v>51030</v>
      </c>
      <c r="B501" t="s">
        <v>1321</v>
      </c>
      <c r="C501" t="str">
        <f t="shared" si="7"/>
        <v>SRDG</v>
      </c>
      <c r="D501" t="s">
        <v>804</v>
      </c>
      <c r="E501">
        <v>5</v>
      </c>
      <c r="F501" t="s">
        <v>805</v>
      </c>
      <c r="G501">
        <v>1</v>
      </c>
      <c r="H501" t="s">
        <v>806</v>
      </c>
      <c r="I501">
        <v>1</v>
      </c>
      <c r="J501">
        <v>30.291399999999999</v>
      </c>
      <c r="K501">
        <v>-3.0910000000000002</v>
      </c>
    </row>
    <row r="502" spans="1:11" x14ac:dyDescent="0.2">
      <c r="A502">
        <v>51030</v>
      </c>
      <c r="B502" t="s">
        <v>1321</v>
      </c>
      <c r="C502" t="str">
        <f t="shared" si="7"/>
        <v>SRDG</v>
      </c>
      <c r="D502" t="s">
        <v>807</v>
      </c>
      <c r="E502">
        <v>5</v>
      </c>
      <c r="F502" t="s">
        <v>805</v>
      </c>
      <c r="G502">
        <v>1</v>
      </c>
      <c r="H502" t="s">
        <v>806</v>
      </c>
      <c r="I502">
        <v>1</v>
      </c>
      <c r="J502">
        <v>0</v>
      </c>
      <c r="K502">
        <v>0</v>
      </c>
    </row>
    <row r="503" spans="1:11" x14ac:dyDescent="0.2">
      <c r="A503">
        <v>51029</v>
      </c>
      <c r="B503" t="s">
        <v>1335</v>
      </c>
      <c r="C503" t="str">
        <f t="shared" si="7"/>
        <v>SSWW</v>
      </c>
      <c r="D503" t="s">
        <v>804</v>
      </c>
      <c r="E503">
        <v>5</v>
      </c>
      <c r="F503" t="s">
        <v>805</v>
      </c>
      <c r="G503">
        <v>1</v>
      </c>
      <c r="H503" t="s">
        <v>806</v>
      </c>
      <c r="I503">
        <v>1</v>
      </c>
      <c r="J503">
        <v>0</v>
      </c>
      <c r="K503">
        <v>0</v>
      </c>
    </row>
    <row r="504" spans="1:11" x14ac:dyDescent="0.2">
      <c r="A504">
        <v>51029</v>
      </c>
      <c r="B504" t="s">
        <v>1335</v>
      </c>
      <c r="C504" t="str">
        <f t="shared" si="7"/>
        <v>SSWW</v>
      </c>
      <c r="D504" t="s">
        <v>807</v>
      </c>
      <c r="E504">
        <v>5</v>
      </c>
      <c r="F504" t="s">
        <v>805</v>
      </c>
      <c r="G504">
        <v>1</v>
      </c>
      <c r="H504" t="s">
        <v>806</v>
      </c>
      <c r="I504">
        <v>1</v>
      </c>
      <c r="J504">
        <v>9.4634</v>
      </c>
      <c r="K504">
        <v>1.7593000000000001</v>
      </c>
    </row>
    <row r="505" spans="1:11" x14ac:dyDescent="0.2">
      <c r="A505">
        <v>51013</v>
      </c>
      <c r="B505" t="s">
        <v>1337</v>
      </c>
      <c r="C505" t="str">
        <f t="shared" si="7"/>
        <v>STIA</v>
      </c>
      <c r="D505" t="s">
        <v>804</v>
      </c>
      <c r="E505">
        <v>5</v>
      </c>
      <c r="F505" t="s">
        <v>805</v>
      </c>
      <c r="G505">
        <v>1</v>
      </c>
      <c r="H505" t="s">
        <v>806</v>
      </c>
      <c r="I505">
        <v>1</v>
      </c>
      <c r="J505">
        <v>33.1173</v>
      </c>
      <c r="K505">
        <v>3.7361</v>
      </c>
    </row>
    <row r="506" spans="1:11" x14ac:dyDescent="0.2">
      <c r="A506">
        <v>51013</v>
      </c>
      <c r="B506" t="s">
        <v>1337</v>
      </c>
      <c r="C506" t="str">
        <f t="shared" si="7"/>
        <v>STIA</v>
      </c>
      <c r="D506" t="s">
        <v>807</v>
      </c>
      <c r="E506">
        <v>5</v>
      </c>
      <c r="F506" t="s">
        <v>805</v>
      </c>
      <c r="G506">
        <v>1</v>
      </c>
      <c r="H506" t="s">
        <v>806</v>
      </c>
      <c r="I506">
        <v>1</v>
      </c>
      <c r="J506">
        <v>36.979700000000001</v>
      </c>
      <c r="K506">
        <v>6.1840000000000002</v>
      </c>
    </row>
    <row r="507" spans="1:11" x14ac:dyDescent="0.2">
      <c r="A507">
        <v>51020</v>
      </c>
      <c r="B507" t="s">
        <v>1365</v>
      </c>
      <c r="C507" t="str">
        <f t="shared" si="7"/>
        <v>TJYA</v>
      </c>
      <c r="D507" t="s">
        <v>804</v>
      </c>
      <c r="E507">
        <v>5</v>
      </c>
      <c r="F507" t="s">
        <v>805</v>
      </c>
      <c r="G507">
        <v>1</v>
      </c>
      <c r="H507" t="s">
        <v>806</v>
      </c>
      <c r="I507">
        <v>1</v>
      </c>
      <c r="J507">
        <v>26.490100000000002</v>
      </c>
      <c r="K507">
        <v>3.1789999999999998</v>
      </c>
    </row>
    <row r="508" spans="1:11" x14ac:dyDescent="0.2">
      <c r="A508">
        <v>51020</v>
      </c>
      <c r="B508" t="s">
        <v>1365</v>
      </c>
      <c r="C508" t="str">
        <f t="shared" si="7"/>
        <v>TJYA</v>
      </c>
      <c r="D508" t="s">
        <v>807</v>
      </c>
      <c r="E508">
        <v>5</v>
      </c>
      <c r="F508" t="s">
        <v>805</v>
      </c>
      <c r="G508">
        <v>1</v>
      </c>
      <c r="H508" t="s">
        <v>806</v>
      </c>
      <c r="I508">
        <v>1</v>
      </c>
      <c r="J508">
        <v>26.880500000000001</v>
      </c>
      <c r="K508">
        <v>4.0239000000000003</v>
      </c>
    </row>
    <row r="509" spans="1:11" x14ac:dyDescent="0.2">
      <c r="A509">
        <v>51020</v>
      </c>
      <c r="B509" t="s">
        <v>1365</v>
      </c>
      <c r="C509" t="str">
        <f t="shared" si="7"/>
        <v>TJYA</v>
      </c>
      <c r="D509" t="s">
        <v>808</v>
      </c>
      <c r="E509">
        <v>5</v>
      </c>
      <c r="F509" t="s">
        <v>805</v>
      </c>
      <c r="G509">
        <v>1</v>
      </c>
      <c r="H509" t="s">
        <v>806</v>
      </c>
      <c r="I509">
        <v>1</v>
      </c>
      <c r="J509">
        <v>16.226299999999998</v>
      </c>
      <c r="K509">
        <v>2.4540999999999999</v>
      </c>
    </row>
    <row r="510" spans="1:11" x14ac:dyDescent="0.2">
      <c r="A510">
        <v>51084</v>
      </c>
      <c r="B510" t="s">
        <v>1381</v>
      </c>
      <c r="C510" t="str">
        <f t="shared" si="7"/>
        <v>TMSY</v>
      </c>
      <c r="D510" t="s">
        <v>804</v>
      </c>
      <c r="E510">
        <v>5</v>
      </c>
      <c r="F510" t="s">
        <v>805</v>
      </c>
      <c r="G510">
        <v>1</v>
      </c>
      <c r="H510" t="s">
        <v>806</v>
      </c>
      <c r="I510">
        <v>1</v>
      </c>
      <c r="J510">
        <v>15.5138</v>
      </c>
      <c r="K510">
        <v>-0.77139999999999997</v>
      </c>
    </row>
    <row r="511" spans="1:11" x14ac:dyDescent="0.2">
      <c r="A511">
        <v>51084</v>
      </c>
      <c r="B511" t="s">
        <v>1381</v>
      </c>
      <c r="C511" t="str">
        <f t="shared" si="7"/>
        <v>TMSY</v>
      </c>
      <c r="D511" t="s">
        <v>807</v>
      </c>
      <c r="E511">
        <v>5</v>
      </c>
      <c r="F511" t="s">
        <v>805</v>
      </c>
      <c r="G511">
        <v>1</v>
      </c>
      <c r="H511" t="s">
        <v>806</v>
      </c>
      <c r="I511">
        <v>1</v>
      </c>
      <c r="J511">
        <v>15.476599999999999</v>
      </c>
      <c r="K511">
        <v>-0.78700000000000003</v>
      </c>
    </row>
    <row r="512" spans="1:11" x14ac:dyDescent="0.2">
      <c r="A512">
        <v>51084</v>
      </c>
      <c r="B512" t="s">
        <v>1381</v>
      </c>
      <c r="C512" t="str">
        <f t="shared" si="7"/>
        <v>TMSY</v>
      </c>
      <c r="D512" t="s">
        <v>808</v>
      </c>
      <c r="E512">
        <v>5</v>
      </c>
      <c r="F512" t="s">
        <v>805</v>
      </c>
      <c r="G512">
        <v>1</v>
      </c>
      <c r="H512" t="s">
        <v>806</v>
      </c>
      <c r="I512">
        <v>1</v>
      </c>
      <c r="J512">
        <v>1.6351</v>
      </c>
      <c r="K512">
        <v>0.2268</v>
      </c>
    </row>
    <row r="513" spans="1:11" x14ac:dyDescent="0.2">
      <c r="A513">
        <v>51084</v>
      </c>
      <c r="B513" t="s">
        <v>1381</v>
      </c>
      <c r="C513" t="str">
        <f t="shared" si="7"/>
        <v>TMSY</v>
      </c>
      <c r="D513" t="s">
        <v>809</v>
      </c>
      <c r="E513">
        <v>5</v>
      </c>
      <c r="F513" t="s">
        <v>805</v>
      </c>
      <c r="G513">
        <v>1</v>
      </c>
      <c r="H513" t="s">
        <v>806</v>
      </c>
      <c r="I513">
        <v>1</v>
      </c>
      <c r="J513">
        <v>2.3008999999999999</v>
      </c>
      <c r="K513">
        <v>0.1419</v>
      </c>
    </row>
    <row r="514" spans="1:11" x14ac:dyDescent="0.2">
      <c r="A514">
        <v>51051</v>
      </c>
      <c r="B514" t="s">
        <v>1385</v>
      </c>
      <c r="C514" t="str">
        <f t="shared" si="7"/>
        <v>TPGR</v>
      </c>
      <c r="D514" t="s">
        <v>804</v>
      </c>
      <c r="E514">
        <v>5</v>
      </c>
      <c r="F514" t="s">
        <v>805</v>
      </c>
      <c r="G514">
        <v>1</v>
      </c>
      <c r="H514" t="s">
        <v>806</v>
      </c>
      <c r="I514">
        <v>1</v>
      </c>
      <c r="J514">
        <v>16.613499999999998</v>
      </c>
      <c r="K514">
        <v>1.9198</v>
      </c>
    </row>
    <row r="515" spans="1:11" x14ac:dyDescent="0.2">
      <c r="A515">
        <v>51051</v>
      </c>
      <c r="B515" t="s">
        <v>1385</v>
      </c>
      <c r="C515" t="str">
        <f t="shared" ref="C515:C578" si="8">LEFT(B515,4)</f>
        <v>TPGR</v>
      </c>
      <c r="D515" t="s">
        <v>807</v>
      </c>
      <c r="E515">
        <v>5</v>
      </c>
      <c r="F515" t="s">
        <v>805</v>
      </c>
      <c r="G515">
        <v>1</v>
      </c>
      <c r="H515" t="s">
        <v>806</v>
      </c>
      <c r="I515">
        <v>1</v>
      </c>
      <c r="J515">
        <v>9.2201000000000004</v>
      </c>
      <c r="K515">
        <v>1.9933000000000001</v>
      </c>
    </row>
    <row r="516" spans="1:11" x14ac:dyDescent="0.2">
      <c r="A516">
        <v>51051</v>
      </c>
      <c r="B516" t="s">
        <v>1385</v>
      </c>
      <c r="C516" t="str">
        <f t="shared" si="8"/>
        <v>TPGR</v>
      </c>
      <c r="D516" t="s">
        <v>808</v>
      </c>
      <c r="E516">
        <v>5</v>
      </c>
      <c r="F516" t="s">
        <v>805</v>
      </c>
      <c r="G516">
        <v>1</v>
      </c>
      <c r="H516" t="s">
        <v>806</v>
      </c>
      <c r="I516">
        <v>1</v>
      </c>
      <c r="J516">
        <v>45.288600000000002</v>
      </c>
      <c r="K516">
        <v>7.6440999999999999</v>
      </c>
    </row>
    <row r="517" spans="1:11" x14ac:dyDescent="0.2">
      <c r="A517">
        <v>51051</v>
      </c>
      <c r="B517" t="s">
        <v>1385</v>
      </c>
      <c r="C517" t="str">
        <f t="shared" si="8"/>
        <v>TPGR</v>
      </c>
      <c r="D517" t="s">
        <v>809</v>
      </c>
      <c r="E517">
        <v>5</v>
      </c>
      <c r="F517" t="s">
        <v>805</v>
      </c>
      <c r="G517">
        <v>1</v>
      </c>
      <c r="H517" t="s">
        <v>806</v>
      </c>
      <c r="I517">
        <v>1</v>
      </c>
      <c r="J517">
        <v>45.545400000000001</v>
      </c>
      <c r="K517">
        <v>7.6741000000000001</v>
      </c>
    </row>
    <row r="518" spans="1:11" x14ac:dyDescent="0.2">
      <c r="A518">
        <v>51100</v>
      </c>
      <c r="B518" t="s">
        <v>1404</v>
      </c>
      <c r="C518" t="str">
        <f t="shared" si="8"/>
        <v>UYAM</v>
      </c>
      <c r="D518" t="s">
        <v>804</v>
      </c>
      <c r="E518">
        <v>5</v>
      </c>
      <c r="F518" t="s">
        <v>805</v>
      </c>
      <c r="G518">
        <v>1</v>
      </c>
      <c r="H518" t="s">
        <v>806</v>
      </c>
      <c r="I518">
        <v>1</v>
      </c>
      <c r="J518">
        <v>11.714600000000001</v>
      </c>
      <c r="K518">
        <v>1.2726</v>
      </c>
    </row>
    <row r="519" spans="1:11" x14ac:dyDescent="0.2">
      <c r="A519">
        <v>51100</v>
      </c>
      <c r="B519" t="s">
        <v>1404</v>
      </c>
      <c r="C519" t="str">
        <f t="shared" si="8"/>
        <v>UYAM</v>
      </c>
      <c r="D519" t="s">
        <v>807</v>
      </c>
      <c r="E519">
        <v>5</v>
      </c>
      <c r="F519" t="s">
        <v>805</v>
      </c>
      <c r="G519">
        <v>1</v>
      </c>
      <c r="H519" t="s">
        <v>806</v>
      </c>
      <c r="I519">
        <v>1</v>
      </c>
      <c r="J519">
        <v>12.6569</v>
      </c>
      <c r="K519">
        <v>2.6518999999999999</v>
      </c>
    </row>
    <row r="520" spans="1:11" x14ac:dyDescent="0.2">
      <c r="A520">
        <v>51100</v>
      </c>
      <c r="B520" t="s">
        <v>1404</v>
      </c>
      <c r="C520" t="str">
        <f t="shared" si="8"/>
        <v>UYAM</v>
      </c>
      <c r="D520" t="s">
        <v>808</v>
      </c>
      <c r="E520">
        <v>5</v>
      </c>
      <c r="F520" t="s">
        <v>805</v>
      </c>
      <c r="G520">
        <v>1</v>
      </c>
      <c r="H520" t="s">
        <v>806</v>
      </c>
      <c r="I520">
        <v>1</v>
      </c>
      <c r="J520">
        <v>3.7961</v>
      </c>
      <c r="K520">
        <v>-1.7034</v>
      </c>
    </row>
    <row r="521" spans="1:11" x14ac:dyDescent="0.2">
      <c r="A521">
        <v>51100</v>
      </c>
      <c r="B521" t="s">
        <v>1404</v>
      </c>
      <c r="C521" t="str">
        <f t="shared" si="8"/>
        <v>UYAM</v>
      </c>
      <c r="D521" t="s">
        <v>809</v>
      </c>
      <c r="E521">
        <v>5</v>
      </c>
      <c r="F521" t="s">
        <v>805</v>
      </c>
      <c r="G521">
        <v>1</v>
      </c>
      <c r="H521" t="s">
        <v>806</v>
      </c>
      <c r="I521">
        <v>1</v>
      </c>
      <c r="J521">
        <v>3.7629999999999999</v>
      </c>
      <c r="K521">
        <v>-1.7126999999999999</v>
      </c>
    </row>
    <row r="522" spans="1:11" x14ac:dyDescent="0.2">
      <c r="A522">
        <v>51046</v>
      </c>
      <c r="B522" t="s">
        <v>1409</v>
      </c>
      <c r="C522" t="str">
        <f t="shared" si="8"/>
        <v>VMBR</v>
      </c>
      <c r="D522" t="s">
        <v>804</v>
      </c>
      <c r="E522">
        <v>5</v>
      </c>
      <c r="F522" t="s">
        <v>805</v>
      </c>
      <c r="G522">
        <v>1</v>
      </c>
      <c r="H522" t="s">
        <v>806</v>
      </c>
      <c r="I522">
        <v>1</v>
      </c>
      <c r="J522">
        <v>41.532800000000002</v>
      </c>
      <c r="K522">
        <v>2.8932000000000002</v>
      </c>
    </row>
    <row r="523" spans="1:11" x14ac:dyDescent="0.2">
      <c r="A523">
        <v>51046</v>
      </c>
      <c r="B523" t="s">
        <v>1409</v>
      </c>
      <c r="C523" t="str">
        <f t="shared" si="8"/>
        <v>VMBR</v>
      </c>
      <c r="D523" t="s">
        <v>807</v>
      </c>
      <c r="E523">
        <v>5</v>
      </c>
      <c r="F523" t="s">
        <v>805</v>
      </c>
      <c r="G523">
        <v>1</v>
      </c>
      <c r="H523" t="s">
        <v>806</v>
      </c>
      <c r="I523">
        <v>1</v>
      </c>
      <c r="J523">
        <v>41.075099999999999</v>
      </c>
      <c r="K523">
        <v>2.8828</v>
      </c>
    </row>
    <row r="524" spans="1:11" x14ac:dyDescent="0.2">
      <c r="A524">
        <v>51061</v>
      </c>
      <c r="B524" t="s">
        <v>803</v>
      </c>
      <c r="C524" t="str">
        <f t="shared" si="8"/>
        <v>ABBA</v>
      </c>
      <c r="D524" t="s">
        <v>810</v>
      </c>
      <c r="E524">
        <v>6</v>
      </c>
      <c r="F524" t="s">
        <v>811</v>
      </c>
      <c r="G524">
        <v>1</v>
      </c>
      <c r="H524" t="s">
        <v>806</v>
      </c>
      <c r="I524">
        <v>1</v>
      </c>
      <c r="J524">
        <v>17.322900000000001</v>
      </c>
      <c r="K524">
        <v>1.4414</v>
      </c>
    </row>
    <row r="525" spans="1:11" x14ac:dyDescent="0.2">
      <c r="A525">
        <v>51061</v>
      </c>
      <c r="B525" t="s">
        <v>803</v>
      </c>
      <c r="C525" t="str">
        <f t="shared" si="8"/>
        <v>ABBA</v>
      </c>
      <c r="D525" t="s">
        <v>812</v>
      </c>
      <c r="E525">
        <v>6</v>
      </c>
      <c r="F525" t="s">
        <v>811</v>
      </c>
      <c r="G525">
        <v>1</v>
      </c>
      <c r="H525" t="s">
        <v>806</v>
      </c>
      <c r="I525">
        <v>1</v>
      </c>
      <c r="J525">
        <v>17.3322</v>
      </c>
      <c r="K525">
        <v>1.458</v>
      </c>
    </row>
    <row r="526" spans="1:11" x14ac:dyDescent="0.2">
      <c r="A526">
        <v>51142</v>
      </c>
      <c r="B526" t="s">
        <v>828</v>
      </c>
      <c r="C526" t="str">
        <f t="shared" si="8"/>
        <v>AMDC</v>
      </c>
      <c r="D526" t="s">
        <v>804</v>
      </c>
      <c r="E526">
        <v>6</v>
      </c>
      <c r="F526" t="s">
        <v>811</v>
      </c>
      <c r="G526">
        <v>1</v>
      </c>
      <c r="H526" t="s">
        <v>806</v>
      </c>
      <c r="I526">
        <v>1</v>
      </c>
      <c r="J526">
        <v>0.39250000000000002</v>
      </c>
      <c r="K526">
        <v>0.86890000000000001</v>
      </c>
    </row>
    <row r="527" spans="1:11" x14ac:dyDescent="0.2">
      <c r="A527">
        <v>51142</v>
      </c>
      <c r="B527" t="s">
        <v>828</v>
      </c>
      <c r="C527" t="str">
        <f t="shared" si="8"/>
        <v>AMDC</v>
      </c>
      <c r="D527" t="s">
        <v>807</v>
      </c>
      <c r="E527">
        <v>6</v>
      </c>
      <c r="F527" t="s">
        <v>811</v>
      </c>
      <c r="G527">
        <v>1</v>
      </c>
      <c r="H527" t="s">
        <v>806</v>
      </c>
      <c r="I527">
        <v>1</v>
      </c>
      <c r="J527">
        <v>0.92989999999999995</v>
      </c>
      <c r="K527">
        <v>0.97150000000000003</v>
      </c>
    </row>
    <row r="528" spans="1:11" x14ac:dyDescent="0.2">
      <c r="A528">
        <v>88120</v>
      </c>
      <c r="B528" t="s">
        <v>831</v>
      </c>
      <c r="C528" t="str">
        <f t="shared" si="8"/>
        <v>AMPG</v>
      </c>
      <c r="D528" t="s">
        <v>808</v>
      </c>
      <c r="E528">
        <v>6</v>
      </c>
      <c r="F528" t="s">
        <v>811</v>
      </c>
      <c r="G528">
        <v>1</v>
      </c>
      <c r="H528" t="s">
        <v>806</v>
      </c>
      <c r="I528">
        <v>1</v>
      </c>
      <c r="J528">
        <v>42.570399999999999</v>
      </c>
      <c r="K528">
        <v>5.6611000000000002</v>
      </c>
    </row>
    <row r="529" spans="1:11" x14ac:dyDescent="0.2">
      <c r="A529">
        <v>88120</v>
      </c>
      <c r="B529" t="s">
        <v>831</v>
      </c>
      <c r="C529" t="str">
        <f t="shared" si="8"/>
        <v>AMPG</v>
      </c>
      <c r="D529" t="s">
        <v>809</v>
      </c>
      <c r="E529">
        <v>6</v>
      </c>
      <c r="F529" t="s">
        <v>811</v>
      </c>
      <c r="G529">
        <v>1</v>
      </c>
      <c r="H529" t="s">
        <v>806</v>
      </c>
      <c r="I529">
        <v>1</v>
      </c>
      <c r="J529">
        <v>42.476100000000002</v>
      </c>
      <c r="K529">
        <v>5.5823999999999998</v>
      </c>
    </row>
    <row r="530" spans="1:11" x14ac:dyDescent="0.2">
      <c r="A530">
        <v>88120</v>
      </c>
      <c r="B530" t="s">
        <v>831</v>
      </c>
      <c r="C530" t="str">
        <f t="shared" si="8"/>
        <v>AMPG</v>
      </c>
      <c r="D530" t="s">
        <v>810</v>
      </c>
      <c r="E530">
        <v>6</v>
      </c>
      <c r="F530" t="s">
        <v>811</v>
      </c>
      <c r="G530">
        <v>1</v>
      </c>
      <c r="H530" t="s">
        <v>806</v>
      </c>
      <c r="I530">
        <v>1</v>
      </c>
      <c r="J530">
        <v>30.023299999999999</v>
      </c>
      <c r="K530">
        <v>-1.1867000000000001</v>
      </c>
    </row>
    <row r="531" spans="1:11" x14ac:dyDescent="0.2">
      <c r="A531">
        <v>88120</v>
      </c>
      <c r="B531" t="s">
        <v>831</v>
      </c>
      <c r="C531" t="str">
        <f t="shared" si="8"/>
        <v>AMPG</v>
      </c>
      <c r="D531" t="s">
        <v>812</v>
      </c>
      <c r="E531">
        <v>6</v>
      </c>
      <c r="F531" t="s">
        <v>811</v>
      </c>
      <c r="G531">
        <v>40</v>
      </c>
      <c r="H531" t="s">
        <v>832</v>
      </c>
      <c r="I531">
        <v>1</v>
      </c>
      <c r="J531">
        <v>29.454799999999999</v>
      </c>
      <c r="K531">
        <v>11.9269</v>
      </c>
    </row>
    <row r="532" spans="1:11" x14ac:dyDescent="0.2">
      <c r="A532">
        <v>88123</v>
      </c>
      <c r="B532" t="s">
        <v>852</v>
      </c>
      <c r="C532" t="str">
        <f t="shared" si="8"/>
        <v>BBCC</v>
      </c>
      <c r="D532" t="s">
        <v>804</v>
      </c>
      <c r="E532">
        <v>6</v>
      </c>
      <c r="F532" t="s">
        <v>811</v>
      </c>
      <c r="G532">
        <v>1</v>
      </c>
      <c r="H532" t="s">
        <v>806</v>
      </c>
      <c r="I532">
        <v>1</v>
      </c>
      <c r="J532">
        <v>4.1254</v>
      </c>
      <c r="K532">
        <v>0.34789999999999999</v>
      </c>
    </row>
    <row r="533" spans="1:11" x14ac:dyDescent="0.2">
      <c r="A533">
        <v>88123</v>
      </c>
      <c r="B533" t="s">
        <v>852</v>
      </c>
      <c r="C533" t="str">
        <f t="shared" si="8"/>
        <v>BBCC</v>
      </c>
      <c r="D533" t="s">
        <v>807</v>
      </c>
      <c r="E533">
        <v>6</v>
      </c>
      <c r="F533" t="s">
        <v>811</v>
      </c>
      <c r="G533">
        <v>1</v>
      </c>
      <c r="H533" t="s">
        <v>806</v>
      </c>
      <c r="I533">
        <v>1</v>
      </c>
      <c r="J533">
        <v>4.1647999999999996</v>
      </c>
      <c r="K533">
        <v>0.34789999999999999</v>
      </c>
    </row>
    <row r="534" spans="1:11" x14ac:dyDescent="0.2">
      <c r="A534">
        <v>88141</v>
      </c>
      <c r="B534" t="s">
        <v>872</v>
      </c>
      <c r="C534" t="str">
        <f t="shared" si="8"/>
        <v>BFLD</v>
      </c>
      <c r="D534" t="s">
        <v>804</v>
      </c>
      <c r="E534">
        <v>6</v>
      </c>
      <c r="F534" t="s">
        <v>811</v>
      </c>
      <c r="G534">
        <v>1</v>
      </c>
      <c r="H534" t="s">
        <v>806</v>
      </c>
      <c r="I534">
        <v>1</v>
      </c>
      <c r="J534">
        <v>22.200099999999999</v>
      </c>
      <c r="K534">
        <v>3.4927000000000001</v>
      </c>
    </row>
    <row r="535" spans="1:11" x14ac:dyDescent="0.2">
      <c r="A535">
        <v>88141</v>
      </c>
      <c r="B535" t="s">
        <v>872</v>
      </c>
      <c r="C535" t="str">
        <f t="shared" si="8"/>
        <v>BFLD</v>
      </c>
      <c r="D535" t="s">
        <v>807</v>
      </c>
      <c r="E535">
        <v>6</v>
      </c>
      <c r="F535" t="s">
        <v>811</v>
      </c>
      <c r="G535">
        <v>1</v>
      </c>
      <c r="H535" t="s">
        <v>806</v>
      </c>
      <c r="I535">
        <v>1</v>
      </c>
      <c r="J535">
        <v>22.55</v>
      </c>
      <c r="K535">
        <v>3.5548999999999999</v>
      </c>
    </row>
    <row r="536" spans="1:11" x14ac:dyDescent="0.2">
      <c r="A536">
        <v>88114</v>
      </c>
      <c r="B536" t="s">
        <v>890</v>
      </c>
      <c r="C536" t="str">
        <f t="shared" si="8"/>
        <v>BMKM</v>
      </c>
      <c r="D536" t="s">
        <v>804</v>
      </c>
      <c r="E536">
        <v>6</v>
      </c>
      <c r="F536" t="s">
        <v>811</v>
      </c>
      <c r="G536">
        <v>1</v>
      </c>
      <c r="H536" t="s">
        <v>806</v>
      </c>
      <c r="I536">
        <v>1</v>
      </c>
      <c r="J536">
        <v>14.174899999999999</v>
      </c>
      <c r="K536">
        <v>0.97340000000000004</v>
      </c>
    </row>
    <row r="537" spans="1:11" x14ac:dyDescent="0.2">
      <c r="A537">
        <v>88114</v>
      </c>
      <c r="B537" t="s">
        <v>890</v>
      </c>
      <c r="C537" t="str">
        <f t="shared" si="8"/>
        <v>BMKM</v>
      </c>
      <c r="D537" t="s">
        <v>807</v>
      </c>
      <c r="E537">
        <v>6</v>
      </c>
      <c r="F537" t="s">
        <v>811</v>
      </c>
      <c r="G537">
        <v>1</v>
      </c>
      <c r="H537" t="s">
        <v>806</v>
      </c>
      <c r="I537">
        <v>1</v>
      </c>
      <c r="J537">
        <v>14.174899999999999</v>
      </c>
      <c r="K537">
        <v>0.92369999999999997</v>
      </c>
    </row>
    <row r="538" spans="1:11" x14ac:dyDescent="0.2">
      <c r="A538">
        <v>51053</v>
      </c>
      <c r="B538" t="s">
        <v>903</v>
      </c>
      <c r="C538" t="str">
        <f t="shared" si="8"/>
        <v>BRNG</v>
      </c>
      <c r="D538" t="s">
        <v>810</v>
      </c>
      <c r="E538">
        <v>6</v>
      </c>
      <c r="F538" t="s">
        <v>811</v>
      </c>
      <c r="G538">
        <v>1</v>
      </c>
      <c r="H538" t="s">
        <v>806</v>
      </c>
      <c r="I538">
        <v>1</v>
      </c>
      <c r="J538">
        <v>34.000599999999999</v>
      </c>
      <c r="K538">
        <v>2.2242999999999999</v>
      </c>
    </row>
    <row r="539" spans="1:11" x14ac:dyDescent="0.2">
      <c r="A539">
        <v>51053</v>
      </c>
      <c r="B539" t="s">
        <v>903</v>
      </c>
      <c r="C539" t="str">
        <f t="shared" si="8"/>
        <v>BRNG</v>
      </c>
      <c r="D539" t="s">
        <v>812</v>
      </c>
      <c r="E539">
        <v>6</v>
      </c>
      <c r="F539" t="s">
        <v>811</v>
      </c>
      <c r="G539">
        <v>1</v>
      </c>
      <c r="H539" t="s">
        <v>806</v>
      </c>
      <c r="I539">
        <v>1</v>
      </c>
      <c r="J539">
        <v>33.675400000000003</v>
      </c>
      <c r="K539">
        <v>2.2065999999999999</v>
      </c>
    </row>
    <row r="540" spans="1:11" x14ac:dyDescent="0.2">
      <c r="A540">
        <v>88136</v>
      </c>
      <c r="B540" t="s">
        <v>918</v>
      </c>
      <c r="C540" t="str">
        <f t="shared" si="8"/>
        <v>BTRZ</v>
      </c>
      <c r="D540" t="s">
        <v>804</v>
      </c>
      <c r="E540">
        <v>6</v>
      </c>
      <c r="F540" t="s">
        <v>811</v>
      </c>
      <c r="G540">
        <v>1</v>
      </c>
      <c r="H540" t="s">
        <v>806</v>
      </c>
      <c r="I540">
        <v>1</v>
      </c>
      <c r="J540">
        <v>15.6692</v>
      </c>
      <c r="K540">
        <v>2.1880000000000002</v>
      </c>
    </row>
    <row r="541" spans="1:11" x14ac:dyDescent="0.2">
      <c r="A541">
        <v>88136</v>
      </c>
      <c r="B541" t="s">
        <v>918</v>
      </c>
      <c r="C541" t="str">
        <f t="shared" si="8"/>
        <v>BTRZ</v>
      </c>
      <c r="D541" t="s">
        <v>807</v>
      </c>
      <c r="E541">
        <v>6</v>
      </c>
      <c r="F541" t="s">
        <v>811</v>
      </c>
      <c r="G541">
        <v>1</v>
      </c>
      <c r="H541" t="s">
        <v>806</v>
      </c>
      <c r="I541">
        <v>1</v>
      </c>
      <c r="J541">
        <v>0</v>
      </c>
      <c r="K541">
        <v>0</v>
      </c>
    </row>
    <row r="542" spans="1:11" x14ac:dyDescent="0.2">
      <c r="A542">
        <v>88136</v>
      </c>
      <c r="B542" t="s">
        <v>918</v>
      </c>
      <c r="C542" t="str">
        <f t="shared" si="8"/>
        <v>BTRZ</v>
      </c>
      <c r="D542" t="s">
        <v>808</v>
      </c>
      <c r="E542">
        <v>6</v>
      </c>
      <c r="F542" t="s">
        <v>811</v>
      </c>
      <c r="G542">
        <v>1</v>
      </c>
      <c r="H542" t="s">
        <v>806</v>
      </c>
      <c r="I542">
        <v>1</v>
      </c>
      <c r="J542">
        <v>41.164200000000001</v>
      </c>
      <c r="K542">
        <v>1.6185</v>
      </c>
    </row>
    <row r="543" spans="1:11" x14ac:dyDescent="0.2">
      <c r="A543">
        <v>88136</v>
      </c>
      <c r="B543" t="s">
        <v>918</v>
      </c>
      <c r="C543" t="str">
        <f t="shared" si="8"/>
        <v>BTRZ</v>
      </c>
      <c r="D543" t="s">
        <v>809</v>
      </c>
      <c r="E543">
        <v>6</v>
      </c>
      <c r="F543" t="s">
        <v>811</v>
      </c>
      <c r="G543">
        <v>1</v>
      </c>
      <c r="H543" t="s">
        <v>806</v>
      </c>
      <c r="I543">
        <v>1</v>
      </c>
      <c r="J543">
        <v>41.460299999999997</v>
      </c>
      <c r="K543">
        <v>1.5998000000000001</v>
      </c>
    </row>
    <row r="544" spans="1:11" x14ac:dyDescent="0.2">
      <c r="A544">
        <v>51089</v>
      </c>
      <c r="B544" t="s">
        <v>923</v>
      </c>
      <c r="C544" t="str">
        <f t="shared" si="8"/>
        <v>CBJC</v>
      </c>
      <c r="D544" t="s">
        <v>807</v>
      </c>
      <c r="E544">
        <v>6</v>
      </c>
      <c r="F544" t="s">
        <v>811</v>
      </c>
      <c r="G544">
        <v>1</v>
      </c>
      <c r="H544" t="s">
        <v>806</v>
      </c>
      <c r="I544">
        <v>1</v>
      </c>
      <c r="J544">
        <v>27.307099999999998</v>
      </c>
      <c r="K544">
        <v>-4.1451000000000002</v>
      </c>
    </row>
    <row r="545" spans="1:11" x14ac:dyDescent="0.2">
      <c r="A545">
        <v>51089</v>
      </c>
      <c r="B545" t="s">
        <v>923</v>
      </c>
      <c r="C545" t="str">
        <f t="shared" si="8"/>
        <v>CBJC</v>
      </c>
      <c r="D545" t="s">
        <v>808</v>
      </c>
      <c r="E545">
        <v>6</v>
      </c>
      <c r="F545" t="s">
        <v>811</v>
      </c>
      <c r="G545">
        <v>1</v>
      </c>
      <c r="H545" t="s">
        <v>806</v>
      </c>
      <c r="I545">
        <v>1</v>
      </c>
      <c r="J545">
        <v>6.2461000000000002</v>
      </c>
      <c r="K545">
        <v>-8.2799999999999999E-2</v>
      </c>
    </row>
    <row r="546" spans="1:11" x14ac:dyDescent="0.2">
      <c r="A546">
        <v>51089</v>
      </c>
      <c r="B546" t="s">
        <v>923</v>
      </c>
      <c r="C546" t="str">
        <f t="shared" si="8"/>
        <v>CBJC</v>
      </c>
      <c r="D546" t="s">
        <v>809</v>
      </c>
      <c r="E546">
        <v>6</v>
      </c>
      <c r="F546" t="s">
        <v>811</v>
      </c>
      <c r="G546">
        <v>1</v>
      </c>
      <c r="H546" t="s">
        <v>806</v>
      </c>
      <c r="I546">
        <v>1</v>
      </c>
      <c r="J546">
        <v>6.2161</v>
      </c>
      <c r="K546">
        <v>-8.5900000000000004E-2</v>
      </c>
    </row>
    <row r="547" spans="1:11" x14ac:dyDescent="0.2">
      <c r="A547">
        <v>88164</v>
      </c>
      <c r="B547" t="s">
        <v>935</v>
      </c>
      <c r="C547" t="str">
        <f t="shared" si="8"/>
        <v>COCH</v>
      </c>
      <c r="D547" t="s">
        <v>804</v>
      </c>
      <c r="E547">
        <v>6</v>
      </c>
      <c r="F547" t="s">
        <v>811</v>
      </c>
      <c r="G547">
        <v>1</v>
      </c>
      <c r="H547" t="s">
        <v>806</v>
      </c>
      <c r="I547">
        <v>1</v>
      </c>
      <c r="J547">
        <v>4.7839999999999998</v>
      </c>
      <c r="K547">
        <v>0.55920000000000003</v>
      </c>
    </row>
    <row r="548" spans="1:11" x14ac:dyDescent="0.2">
      <c r="A548">
        <v>88164</v>
      </c>
      <c r="B548" t="s">
        <v>935</v>
      </c>
      <c r="C548" t="str">
        <f t="shared" si="8"/>
        <v>COCH</v>
      </c>
      <c r="D548" t="s">
        <v>807</v>
      </c>
      <c r="E548">
        <v>6</v>
      </c>
      <c r="F548" t="s">
        <v>811</v>
      </c>
      <c r="G548">
        <v>1</v>
      </c>
      <c r="H548" t="s">
        <v>806</v>
      </c>
      <c r="I548">
        <v>1</v>
      </c>
      <c r="J548">
        <v>4.7736000000000001</v>
      </c>
      <c r="K548">
        <v>0.51770000000000005</v>
      </c>
    </row>
    <row r="549" spans="1:11" x14ac:dyDescent="0.2">
      <c r="A549">
        <v>88104</v>
      </c>
      <c r="B549" t="s">
        <v>940</v>
      </c>
      <c r="C549" t="str">
        <f t="shared" si="8"/>
        <v>DCTY</v>
      </c>
      <c r="D549" t="s">
        <v>804</v>
      </c>
      <c r="E549">
        <v>6</v>
      </c>
      <c r="F549" t="s">
        <v>811</v>
      </c>
      <c r="G549">
        <v>40</v>
      </c>
      <c r="H549" t="s">
        <v>832</v>
      </c>
      <c r="I549">
        <v>1</v>
      </c>
      <c r="J549">
        <v>12.895099999999999</v>
      </c>
      <c r="K549">
        <v>1.2891999999999999</v>
      </c>
    </row>
    <row r="550" spans="1:11" x14ac:dyDescent="0.2">
      <c r="A550">
        <v>88104</v>
      </c>
      <c r="B550" t="s">
        <v>940</v>
      </c>
      <c r="C550" t="str">
        <f t="shared" si="8"/>
        <v>DCTY</v>
      </c>
      <c r="D550" t="s">
        <v>807</v>
      </c>
      <c r="E550">
        <v>6</v>
      </c>
      <c r="F550" t="s">
        <v>811</v>
      </c>
      <c r="G550">
        <v>40</v>
      </c>
      <c r="H550" t="s">
        <v>832</v>
      </c>
      <c r="I550">
        <v>1</v>
      </c>
      <c r="J550">
        <v>12.9489</v>
      </c>
      <c r="K550">
        <v>1.2695000000000001</v>
      </c>
    </row>
    <row r="551" spans="1:11" x14ac:dyDescent="0.2">
      <c r="A551">
        <v>88195</v>
      </c>
      <c r="B551" t="s">
        <v>941</v>
      </c>
      <c r="C551" t="str">
        <f t="shared" si="8"/>
        <v>DDSA</v>
      </c>
      <c r="D551" t="s">
        <v>804</v>
      </c>
      <c r="E551">
        <v>6</v>
      </c>
      <c r="F551" t="s">
        <v>811</v>
      </c>
      <c r="G551">
        <v>1</v>
      </c>
      <c r="H551" t="s">
        <v>806</v>
      </c>
      <c r="I551">
        <v>1</v>
      </c>
      <c r="J551">
        <v>7.1957000000000004</v>
      </c>
      <c r="K551">
        <v>0.77769999999999995</v>
      </c>
    </row>
    <row r="552" spans="1:11" x14ac:dyDescent="0.2">
      <c r="A552">
        <v>88195</v>
      </c>
      <c r="B552" t="s">
        <v>941</v>
      </c>
      <c r="C552" t="str">
        <f t="shared" si="8"/>
        <v>DDSA</v>
      </c>
      <c r="D552" t="s">
        <v>807</v>
      </c>
      <c r="E552">
        <v>6</v>
      </c>
      <c r="F552" t="s">
        <v>811</v>
      </c>
      <c r="G552">
        <v>1</v>
      </c>
      <c r="H552" t="s">
        <v>806</v>
      </c>
      <c r="I552">
        <v>1</v>
      </c>
      <c r="J552">
        <v>5.8040000000000003</v>
      </c>
      <c r="K552">
        <v>0.64300000000000002</v>
      </c>
    </row>
    <row r="553" spans="1:11" x14ac:dyDescent="0.2">
      <c r="A553">
        <v>88195</v>
      </c>
      <c r="B553" t="s">
        <v>941</v>
      </c>
      <c r="C553" t="str">
        <f t="shared" si="8"/>
        <v>DDSA</v>
      </c>
      <c r="D553" t="s">
        <v>808</v>
      </c>
      <c r="E553">
        <v>6</v>
      </c>
      <c r="F553" t="s">
        <v>811</v>
      </c>
      <c r="G553">
        <v>1</v>
      </c>
      <c r="H553" t="s">
        <v>806</v>
      </c>
      <c r="I553">
        <v>1</v>
      </c>
      <c r="J553">
        <v>30.677700000000002</v>
      </c>
      <c r="K553">
        <v>-0.5302</v>
      </c>
    </row>
    <row r="554" spans="1:11" x14ac:dyDescent="0.2">
      <c r="A554">
        <v>88195</v>
      </c>
      <c r="B554" t="s">
        <v>941</v>
      </c>
      <c r="C554" t="str">
        <f t="shared" si="8"/>
        <v>DDSA</v>
      </c>
      <c r="D554" t="s">
        <v>809</v>
      </c>
      <c r="E554">
        <v>6</v>
      </c>
      <c r="F554" t="s">
        <v>811</v>
      </c>
      <c r="G554">
        <v>1</v>
      </c>
      <c r="H554" t="s">
        <v>806</v>
      </c>
      <c r="I554">
        <v>1</v>
      </c>
      <c r="J554">
        <v>30.694299999999998</v>
      </c>
      <c r="K554">
        <v>-0.53849999999999998</v>
      </c>
    </row>
    <row r="555" spans="1:11" x14ac:dyDescent="0.2">
      <c r="A555">
        <v>88112</v>
      </c>
      <c r="B555" t="s">
        <v>945</v>
      </c>
      <c r="C555" t="str">
        <f t="shared" si="8"/>
        <v>DMHT</v>
      </c>
      <c r="D555" t="s">
        <v>804</v>
      </c>
      <c r="E555">
        <v>6</v>
      </c>
      <c r="F555" t="s">
        <v>811</v>
      </c>
      <c r="G555">
        <v>1</v>
      </c>
      <c r="H555" t="s">
        <v>806</v>
      </c>
      <c r="I555">
        <v>1</v>
      </c>
      <c r="J555">
        <v>15.1669</v>
      </c>
      <c r="K555">
        <v>0.69789999999999996</v>
      </c>
    </row>
    <row r="556" spans="1:11" x14ac:dyDescent="0.2">
      <c r="A556">
        <v>88112</v>
      </c>
      <c r="B556" t="s">
        <v>945</v>
      </c>
      <c r="C556" t="str">
        <f t="shared" si="8"/>
        <v>DMHT</v>
      </c>
      <c r="D556" t="s">
        <v>807</v>
      </c>
      <c r="E556">
        <v>6</v>
      </c>
      <c r="F556" t="s">
        <v>811</v>
      </c>
      <c r="G556">
        <v>1</v>
      </c>
      <c r="H556" t="s">
        <v>806</v>
      </c>
      <c r="I556">
        <v>1</v>
      </c>
      <c r="J556">
        <v>15.099600000000001</v>
      </c>
      <c r="K556">
        <v>0.70720000000000005</v>
      </c>
    </row>
    <row r="557" spans="1:11" x14ac:dyDescent="0.2">
      <c r="A557">
        <v>88112</v>
      </c>
      <c r="B557" t="s">
        <v>945</v>
      </c>
      <c r="C557" t="str">
        <f t="shared" si="8"/>
        <v>DMHT</v>
      </c>
      <c r="D557" t="s">
        <v>808</v>
      </c>
      <c r="E557">
        <v>6</v>
      </c>
      <c r="F557" t="s">
        <v>811</v>
      </c>
      <c r="G557">
        <v>1</v>
      </c>
      <c r="H557" t="s">
        <v>806</v>
      </c>
      <c r="I557">
        <v>1</v>
      </c>
      <c r="J557">
        <v>6.6458000000000004</v>
      </c>
      <c r="K557">
        <v>0.70520000000000005</v>
      </c>
    </row>
    <row r="558" spans="1:11" x14ac:dyDescent="0.2">
      <c r="A558">
        <v>88112</v>
      </c>
      <c r="B558" t="s">
        <v>945</v>
      </c>
      <c r="C558" t="str">
        <f t="shared" si="8"/>
        <v>DMHT</v>
      </c>
      <c r="D558" t="s">
        <v>809</v>
      </c>
      <c r="E558">
        <v>6</v>
      </c>
      <c r="F558" t="s">
        <v>811</v>
      </c>
      <c r="G558">
        <v>1</v>
      </c>
      <c r="H558" t="s">
        <v>806</v>
      </c>
      <c r="I558">
        <v>1</v>
      </c>
      <c r="J558">
        <v>6.6210000000000004</v>
      </c>
      <c r="K558">
        <v>0.12939999999999999</v>
      </c>
    </row>
    <row r="559" spans="1:11" x14ac:dyDescent="0.2">
      <c r="A559">
        <v>88113</v>
      </c>
      <c r="B559" t="s">
        <v>948</v>
      </c>
      <c r="C559" t="str">
        <f t="shared" si="8"/>
        <v>DWGI</v>
      </c>
      <c r="D559" t="s">
        <v>804</v>
      </c>
      <c r="E559">
        <v>6</v>
      </c>
      <c r="F559" t="s">
        <v>811</v>
      </c>
      <c r="G559">
        <v>1</v>
      </c>
      <c r="H559" t="s">
        <v>806</v>
      </c>
      <c r="I559">
        <v>1</v>
      </c>
      <c r="J559">
        <v>5.9923999999999999</v>
      </c>
      <c r="K559">
        <v>1.0707</v>
      </c>
    </row>
    <row r="560" spans="1:11" x14ac:dyDescent="0.2">
      <c r="A560">
        <v>88113</v>
      </c>
      <c r="B560" t="s">
        <v>948</v>
      </c>
      <c r="C560" t="str">
        <f t="shared" si="8"/>
        <v>DWGI</v>
      </c>
      <c r="D560" t="s">
        <v>807</v>
      </c>
      <c r="E560">
        <v>6</v>
      </c>
      <c r="F560" t="s">
        <v>811</v>
      </c>
      <c r="G560">
        <v>1</v>
      </c>
      <c r="H560" t="s">
        <v>806</v>
      </c>
      <c r="I560">
        <v>1</v>
      </c>
      <c r="J560">
        <v>5.9406999999999996</v>
      </c>
      <c r="K560">
        <v>0.97850000000000004</v>
      </c>
    </row>
    <row r="561" spans="1:11" x14ac:dyDescent="0.2">
      <c r="A561">
        <v>88133</v>
      </c>
      <c r="B561" t="s">
        <v>985</v>
      </c>
      <c r="C561" t="str">
        <f t="shared" si="8"/>
        <v>GWAY</v>
      </c>
      <c r="D561" t="s">
        <v>804</v>
      </c>
      <c r="E561">
        <v>6</v>
      </c>
      <c r="F561" t="s">
        <v>811</v>
      </c>
      <c r="G561">
        <v>1</v>
      </c>
      <c r="H561" t="s">
        <v>806</v>
      </c>
      <c r="I561">
        <v>1</v>
      </c>
      <c r="J561">
        <v>13.3186</v>
      </c>
      <c r="K561">
        <v>1.3616999999999999</v>
      </c>
    </row>
    <row r="562" spans="1:11" x14ac:dyDescent="0.2">
      <c r="A562">
        <v>88133</v>
      </c>
      <c r="B562" t="s">
        <v>985</v>
      </c>
      <c r="C562" t="str">
        <f t="shared" si="8"/>
        <v>GWAY</v>
      </c>
      <c r="D562" t="s">
        <v>807</v>
      </c>
      <c r="E562">
        <v>6</v>
      </c>
      <c r="F562" t="s">
        <v>811</v>
      </c>
      <c r="G562">
        <v>1</v>
      </c>
      <c r="H562" t="s">
        <v>806</v>
      </c>
      <c r="I562">
        <v>1</v>
      </c>
      <c r="J562">
        <v>13.302</v>
      </c>
      <c r="K562">
        <v>1.4352</v>
      </c>
    </row>
    <row r="563" spans="1:11" x14ac:dyDescent="0.2">
      <c r="A563">
        <v>88156</v>
      </c>
      <c r="B563" t="s">
        <v>988</v>
      </c>
      <c r="C563" t="str">
        <f t="shared" si="8"/>
        <v>HKCK</v>
      </c>
      <c r="D563" t="s">
        <v>804</v>
      </c>
      <c r="E563">
        <v>6</v>
      </c>
      <c r="F563" t="s">
        <v>811</v>
      </c>
      <c r="G563">
        <v>1</v>
      </c>
      <c r="H563" t="s">
        <v>806</v>
      </c>
      <c r="I563">
        <v>1</v>
      </c>
      <c r="J563">
        <v>7.5384000000000002</v>
      </c>
      <c r="K563">
        <v>0.9516</v>
      </c>
    </row>
    <row r="564" spans="1:11" x14ac:dyDescent="0.2">
      <c r="A564">
        <v>88156</v>
      </c>
      <c r="B564" t="s">
        <v>988</v>
      </c>
      <c r="C564" t="str">
        <f t="shared" si="8"/>
        <v>HKCK</v>
      </c>
      <c r="D564" t="s">
        <v>807</v>
      </c>
      <c r="E564">
        <v>6</v>
      </c>
      <c r="F564" t="s">
        <v>811</v>
      </c>
      <c r="G564">
        <v>1</v>
      </c>
      <c r="H564" t="s">
        <v>806</v>
      </c>
      <c r="I564">
        <v>1</v>
      </c>
      <c r="J564">
        <v>7.8769999999999998</v>
      </c>
      <c r="K564">
        <v>1.0468999999999999</v>
      </c>
    </row>
    <row r="565" spans="1:11" x14ac:dyDescent="0.2">
      <c r="A565">
        <v>88156</v>
      </c>
      <c r="B565" t="s">
        <v>988</v>
      </c>
      <c r="C565" t="str">
        <f t="shared" si="8"/>
        <v>HKCK</v>
      </c>
      <c r="D565" t="s">
        <v>808</v>
      </c>
      <c r="E565">
        <v>6</v>
      </c>
      <c r="F565" t="s">
        <v>811</v>
      </c>
      <c r="G565">
        <v>1</v>
      </c>
      <c r="H565" t="s">
        <v>806</v>
      </c>
      <c r="I565">
        <v>1</v>
      </c>
      <c r="J565">
        <v>42.111600000000003</v>
      </c>
      <c r="K565">
        <v>6.7462999999999997</v>
      </c>
    </row>
    <row r="566" spans="1:11" x14ac:dyDescent="0.2">
      <c r="A566">
        <v>88156</v>
      </c>
      <c r="B566" t="s">
        <v>988</v>
      </c>
      <c r="C566" t="str">
        <f t="shared" si="8"/>
        <v>HKCK</v>
      </c>
      <c r="D566" t="s">
        <v>809</v>
      </c>
      <c r="E566">
        <v>6</v>
      </c>
      <c r="F566" t="s">
        <v>811</v>
      </c>
      <c r="G566">
        <v>1</v>
      </c>
      <c r="H566" t="s">
        <v>806</v>
      </c>
      <c r="I566">
        <v>1</v>
      </c>
      <c r="J566">
        <v>41.701599999999999</v>
      </c>
      <c r="K566">
        <v>6.6468999999999996</v>
      </c>
    </row>
    <row r="567" spans="1:11" x14ac:dyDescent="0.2">
      <c r="A567">
        <v>51219</v>
      </c>
      <c r="B567" t="s">
        <v>1001</v>
      </c>
      <c r="C567" t="str">
        <f t="shared" si="8"/>
        <v>ICNC</v>
      </c>
      <c r="D567" t="s">
        <v>804</v>
      </c>
      <c r="E567">
        <v>6</v>
      </c>
      <c r="F567" t="s">
        <v>811</v>
      </c>
      <c r="G567">
        <v>1</v>
      </c>
      <c r="H567" t="s">
        <v>806</v>
      </c>
      <c r="I567">
        <v>1</v>
      </c>
      <c r="J567">
        <v>0</v>
      </c>
      <c r="K567">
        <v>0</v>
      </c>
    </row>
    <row r="568" spans="1:11" x14ac:dyDescent="0.2">
      <c r="A568">
        <v>51219</v>
      </c>
      <c r="B568" t="s">
        <v>1001</v>
      </c>
      <c r="C568" t="str">
        <f t="shared" si="8"/>
        <v>ICNC</v>
      </c>
      <c r="D568" t="s">
        <v>807</v>
      </c>
      <c r="E568">
        <v>6</v>
      </c>
      <c r="F568" t="s">
        <v>811</v>
      </c>
      <c r="G568">
        <v>1</v>
      </c>
      <c r="H568" t="s">
        <v>806</v>
      </c>
      <c r="I568">
        <v>1</v>
      </c>
      <c r="J568">
        <v>0</v>
      </c>
      <c r="K568">
        <v>0</v>
      </c>
    </row>
    <row r="569" spans="1:11" x14ac:dyDescent="0.2">
      <c r="A569">
        <v>88161</v>
      </c>
      <c r="B569" t="s">
        <v>1003</v>
      </c>
      <c r="C569" t="str">
        <f t="shared" si="8"/>
        <v>IMBI</v>
      </c>
      <c r="D569" t="s">
        <v>804</v>
      </c>
      <c r="E569">
        <v>6</v>
      </c>
      <c r="F569" t="s">
        <v>811</v>
      </c>
      <c r="G569">
        <v>1</v>
      </c>
      <c r="H569" t="s">
        <v>806</v>
      </c>
      <c r="I569">
        <v>1</v>
      </c>
      <c r="J569">
        <v>3.2193999999999998</v>
      </c>
      <c r="K569">
        <v>0.55089999999999995</v>
      </c>
    </row>
    <row r="570" spans="1:11" x14ac:dyDescent="0.2">
      <c r="A570">
        <v>88161</v>
      </c>
      <c r="B570" t="s">
        <v>1003</v>
      </c>
      <c r="C570" t="str">
        <f t="shared" si="8"/>
        <v>IMBI</v>
      </c>
      <c r="D570" t="s">
        <v>807</v>
      </c>
      <c r="E570">
        <v>6</v>
      </c>
      <c r="F570" t="s">
        <v>811</v>
      </c>
      <c r="G570">
        <v>1</v>
      </c>
      <c r="H570" t="s">
        <v>806</v>
      </c>
      <c r="I570">
        <v>1</v>
      </c>
      <c r="J570">
        <v>10.9939</v>
      </c>
      <c r="K570">
        <v>3.2587000000000002</v>
      </c>
    </row>
    <row r="571" spans="1:11" x14ac:dyDescent="0.2">
      <c r="A571">
        <v>88161</v>
      </c>
      <c r="B571" t="s">
        <v>1003</v>
      </c>
      <c r="C571" t="str">
        <f t="shared" si="8"/>
        <v>IMBI</v>
      </c>
      <c r="D571" t="s">
        <v>808</v>
      </c>
      <c r="E571">
        <v>6</v>
      </c>
      <c r="F571" t="s">
        <v>811</v>
      </c>
      <c r="G571">
        <v>1</v>
      </c>
      <c r="H571" t="s">
        <v>806</v>
      </c>
      <c r="I571">
        <v>1</v>
      </c>
      <c r="J571">
        <v>25.444299999999998</v>
      </c>
      <c r="K571">
        <v>4.4050000000000002</v>
      </c>
    </row>
    <row r="572" spans="1:11" x14ac:dyDescent="0.2">
      <c r="A572">
        <v>88161</v>
      </c>
      <c r="B572" t="s">
        <v>1003</v>
      </c>
      <c r="C572" t="str">
        <f t="shared" si="8"/>
        <v>IMBI</v>
      </c>
      <c r="D572" t="s">
        <v>809</v>
      </c>
      <c r="E572">
        <v>6</v>
      </c>
      <c r="F572" t="s">
        <v>811</v>
      </c>
      <c r="G572">
        <v>1</v>
      </c>
      <c r="H572" t="s">
        <v>806</v>
      </c>
      <c r="I572">
        <v>1</v>
      </c>
      <c r="J572">
        <v>25.618200000000002</v>
      </c>
      <c r="K572">
        <v>7.9142999999999999</v>
      </c>
    </row>
    <row r="573" spans="1:11" x14ac:dyDescent="0.2">
      <c r="A573">
        <v>88161</v>
      </c>
      <c r="B573" t="s">
        <v>1003</v>
      </c>
      <c r="C573" t="str">
        <f t="shared" si="8"/>
        <v>IMBI</v>
      </c>
      <c r="D573" t="s">
        <v>810</v>
      </c>
      <c r="E573">
        <v>6</v>
      </c>
      <c r="F573" t="s">
        <v>811</v>
      </c>
      <c r="G573">
        <v>1</v>
      </c>
      <c r="H573" t="s">
        <v>806</v>
      </c>
      <c r="I573">
        <v>1</v>
      </c>
      <c r="J573">
        <v>33.947800000000001</v>
      </c>
      <c r="K573">
        <v>8.8411000000000008</v>
      </c>
    </row>
    <row r="574" spans="1:11" x14ac:dyDescent="0.2">
      <c r="A574">
        <v>51101</v>
      </c>
      <c r="B574" t="s">
        <v>1007</v>
      </c>
      <c r="C574" t="str">
        <f t="shared" si="8"/>
        <v>IOIM</v>
      </c>
      <c r="D574" t="s">
        <v>804</v>
      </c>
      <c r="E574">
        <v>6</v>
      </c>
      <c r="F574" t="s">
        <v>811</v>
      </c>
      <c r="G574">
        <v>1</v>
      </c>
      <c r="H574" t="s">
        <v>806</v>
      </c>
      <c r="I574">
        <v>1</v>
      </c>
      <c r="J574">
        <v>16.620799999999999</v>
      </c>
      <c r="K574">
        <v>3.6086999999999998</v>
      </c>
    </row>
    <row r="575" spans="1:11" x14ac:dyDescent="0.2">
      <c r="A575">
        <v>51101</v>
      </c>
      <c r="B575" t="s">
        <v>1007</v>
      </c>
      <c r="C575" t="str">
        <f t="shared" si="8"/>
        <v>IOIM</v>
      </c>
      <c r="D575" t="s">
        <v>807</v>
      </c>
      <c r="E575">
        <v>6</v>
      </c>
      <c r="F575" t="s">
        <v>811</v>
      </c>
      <c r="G575">
        <v>1</v>
      </c>
      <c r="H575" t="s">
        <v>806</v>
      </c>
      <c r="I575">
        <v>1</v>
      </c>
      <c r="J575">
        <v>16.5214</v>
      </c>
      <c r="K575">
        <v>3.5983999999999998</v>
      </c>
    </row>
    <row r="576" spans="1:11" x14ac:dyDescent="0.2">
      <c r="A576">
        <v>51066</v>
      </c>
      <c r="B576" t="s">
        <v>1011</v>
      </c>
      <c r="C576" t="str">
        <f t="shared" si="8"/>
        <v>JDHL</v>
      </c>
      <c r="D576" t="s">
        <v>804</v>
      </c>
      <c r="E576">
        <v>6</v>
      </c>
      <c r="F576" t="s">
        <v>811</v>
      </c>
      <c r="G576">
        <v>1</v>
      </c>
      <c r="H576" t="s">
        <v>806</v>
      </c>
      <c r="I576">
        <v>1</v>
      </c>
      <c r="J576">
        <v>0</v>
      </c>
      <c r="K576">
        <v>0</v>
      </c>
    </row>
    <row r="577" spans="1:11" x14ac:dyDescent="0.2">
      <c r="A577">
        <v>51066</v>
      </c>
      <c r="B577" t="s">
        <v>1011</v>
      </c>
      <c r="C577" t="str">
        <f t="shared" si="8"/>
        <v>JDHL</v>
      </c>
      <c r="D577" t="s">
        <v>807</v>
      </c>
      <c r="E577">
        <v>6</v>
      </c>
      <c r="F577" t="s">
        <v>811</v>
      </c>
      <c r="G577">
        <v>1</v>
      </c>
      <c r="H577" t="s">
        <v>806</v>
      </c>
      <c r="I577">
        <v>1</v>
      </c>
      <c r="J577">
        <v>0</v>
      </c>
      <c r="K577">
        <v>0</v>
      </c>
    </row>
    <row r="578" spans="1:11" x14ac:dyDescent="0.2">
      <c r="A578">
        <v>88157</v>
      </c>
      <c r="B578" t="s">
        <v>1015</v>
      </c>
      <c r="C578" t="str">
        <f t="shared" si="8"/>
        <v>JING</v>
      </c>
      <c r="D578" t="s">
        <v>804</v>
      </c>
      <c r="E578">
        <v>6</v>
      </c>
      <c r="F578" t="s">
        <v>811</v>
      </c>
      <c r="G578">
        <v>1</v>
      </c>
      <c r="H578" t="s">
        <v>806</v>
      </c>
      <c r="I578">
        <v>1</v>
      </c>
      <c r="J578">
        <v>0</v>
      </c>
      <c r="K578">
        <v>0</v>
      </c>
    </row>
    <row r="579" spans="1:11" x14ac:dyDescent="0.2">
      <c r="A579">
        <v>88157</v>
      </c>
      <c r="B579" t="s">
        <v>1015</v>
      </c>
      <c r="C579" t="str">
        <f t="shared" ref="C579:C642" si="9">LEFT(B579,4)</f>
        <v>JING</v>
      </c>
      <c r="D579" t="s">
        <v>807</v>
      </c>
      <c r="E579">
        <v>6</v>
      </c>
      <c r="F579" t="s">
        <v>811</v>
      </c>
      <c r="G579">
        <v>1</v>
      </c>
      <c r="H579" t="s">
        <v>806</v>
      </c>
      <c r="I579">
        <v>1</v>
      </c>
      <c r="J579">
        <v>0</v>
      </c>
      <c r="K579">
        <v>0</v>
      </c>
    </row>
    <row r="580" spans="1:11" x14ac:dyDescent="0.2">
      <c r="A580">
        <v>51092</v>
      </c>
      <c r="B580" t="s">
        <v>1036</v>
      </c>
      <c r="C580" t="str">
        <f t="shared" si="9"/>
        <v>KEST</v>
      </c>
      <c r="D580" t="s">
        <v>804</v>
      </c>
      <c r="E580">
        <v>6</v>
      </c>
      <c r="F580" t="s">
        <v>811</v>
      </c>
      <c r="G580">
        <v>1</v>
      </c>
      <c r="H580" t="s">
        <v>806</v>
      </c>
      <c r="I580">
        <v>1</v>
      </c>
      <c r="J580">
        <v>45.934699999999999</v>
      </c>
      <c r="K580">
        <v>4.6182999999999996</v>
      </c>
    </row>
    <row r="581" spans="1:11" x14ac:dyDescent="0.2">
      <c r="A581">
        <v>51092</v>
      </c>
      <c r="B581" t="s">
        <v>1036</v>
      </c>
      <c r="C581" t="str">
        <f t="shared" si="9"/>
        <v>KEST</v>
      </c>
      <c r="D581" t="s">
        <v>807</v>
      </c>
      <c r="E581">
        <v>6</v>
      </c>
      <c r="F581" t="s">
        <v>811</v>
      </c>
      <c r="G581">
        <v>1</v>
      </c>
      <c r="H581" t="s">
        <v>806</v>
      </c>
      <c r="I581">
        <v>1</v>
      </c>
      <c r="J581">
        <v>45.7483</v>
      </c>
      <c r="K581">
        <v>4.5975999999999999</v>
      </c>
    </row>
    <row r="582" spans="1:11" x14ac:dyDescent="0.2">
      <c r="A582">
        <v>88146</v>
      </c>
      <c r="B582" t="s">
        <v>1059</v>
      </c>
      <c r="C582" t="str">
        <f t="shared" si="9"/>
        <v>KLCC</v>
      </c>
      <c r="D582" t="s">
        <v>808</v>
      </c>
      <c r="E582">
        <v>6</v>
      </c>
      <c r="F582" t="s">
        <v>811</v>
      </c>
      <c r="G582">
        <v>1</v>
      </c>
      <c r="H582" t="s">
        <v>806</v>
      </c>
      <c r="I582">
        <v>1</v>
      </c>
      <c r="J582">
        <v>20.4801</v>
      </c>
      <c r="K582">
        <v>4.1337000000000002</v>
      </c>
    </row>
    <row r="583" spans="1:11" x14ac:dyDescent="0.2">
      <c r="A583">
        <v>88146</v>
      </c>
      <c r="B583" t="s">
        <v>1059</v>
      </c>
      <c r="C583" t="str">
        <f t="shared" si="9"/>
        <v>KLCC</v>
      </c>
      <c r="D583" t="s">
        <v>809</v>
      </c>
      <c r="E583">
        <v>6</v>
      </c>
      <c r="F583" t="s">
        <v>811</v>
      </c>
      <c r="G583">
        <v>1</v>
      </c>
      <c r="H583" t="s">
        <v>806</v>
      </c>
      <c r="I583">
        <v>1</v>
      </c>
      <c r="J583">
        <v>20.4345</v>
      </c>
      <c r="K583">
        <v>4.1337000000000002</v>
      </c>
    </row>
    <row r="584" spans="1:11" x14ac:dyDescent="0.2">
      <c r="A584">
        <v>588146</v>
      </c>
      <c r="B584" t="s">
        <v>1060</v>
      </c>
      <c r="C584" t="str">
        <f t="shared" si="9"/>
        <v>KLCC</v>
      </c>
      <c r="D584" t="s">
        <v>804</v>
      </c>
      <c r="E584">
        <v>6</v>
      </c>
      <c r="F584" t="s">
        <v>811</v>
      </c>
      <c r="G584">
        <v>1</v>
      </c>
      <c r="H584" t="s">
        <v>806</v>
      </c>
      <c r="I584">
        <v>1</v>
      </c>
      <c r="J584">
        <v>6.3859000000000004</v>
      </c>
      <c r="K584">
        <v>1.0044</v>
      </c>
    </row>
    <row r="585" spans="1:11" x14ac:dyDescent="0.2">
      <c r="A585">
        <v>588146</v>
      </c>
      <c r="B585" t="s">
        <v>1060</v>
      </c>
      <c r="C585" t="str">
        <f t="shared" si="9"/>
        <v>KLCC</v>
      </c>
      <c r="D585" t="s">
        <v>807</v>
      </c>
      <c r="E585">
        <v>6</v>
      </c>
      <c r="F585" t="s">
        <v>811</v>
      </c>
      <c r="G585">
        <v>1</v>
      </c>
      <c r="H585" t="s">
        <v>806</v>
      </c>
      <c r="I585">
        <v>1</v>
      </c>
      <c r="J585">
        <v>6.9161000000000001</v>
      </c>
      <c r="K585">
        <v>1.5367</v>
      </c>
    </row>
    <row r="586" spans="1:11" x14ac:dyDescent="0.2">
      <c r="A586">
        <v>88121</v>
      </c>
      <c r="B586" t="s">
        <v>1067</v>
      </c>
      <c r="C586" t="str">
        <f t="shared" si="9"/>
        <v>KLJT</v>
      </c>
      <c r="D586" t="s">
        <v>804</v>
      </c>
      <c r="E586">
        <v>6</v>
      </c>
      <c r="F586" t="s">
        <v>811</v>
      </c>
      <c r="G586">
        <v>1</v>
      </c>
      <c r="H586" t="s">
        <v>806</v>
      </c>
      <c r="I586">
        <v>1</v>
      </c>
      <c r="J586">
        <v>18.887499999999999</v>
      </c>
      <c r="K586">
        <v>1.9239999999999999</v>
      </c>
    </row>
    <row r="587" spans="1:11" x14ac:dyDescent="0.2">
      <c r="A587">
        <v>88121</v>
      </c>
      <c r="B587" t="s">
        <v>1067</v>
      </c>
      <c r="C587" t="str">
        <f t="shared" si="9"/>
        <v>KLJT</v>
      </c>
      <c r="D587" t="s">
        <v>807</v>
      </c>
      <c r="E587">
        <v>6</v>
      </c>
      <c r="F587" t="s">
        <v>811</v>
      </c>
      <c r="G587">
        <v>1</v>
      </c>
      <c r="H587" t="s">
        <v>806</v>
      </c>
      <c r="I587">
        <v>1</v>
      </c>
      <c r="J587">
        <v>18.812899999999999</v>
      </c>
      <c r="K587">
        <v>1.9478</v>
      </c>
    </row>
    <row r="588" spans="1:11" x14ac:dyDescent="0.2">
      <c r="A588">
        <v>88121</v>
      </c>
      <c r="B588" t="s">
        <v>1067</v>
      </c>
      <c r="C588" t="str">
        <f t="shared" si="9"/>
        <v>KLJT</v>
      </c>
      <c r="D588" t="s">
        <v>809</v>
      </c>
      <c r="E588">
        <v>6</v>
      </c>
      <c r="F588" t="s">
        <v>811</v>
      </c>
      <c r="G588">
        <v>1</v>
      </c>
      <c r="H588" t="s">
        <v>806</v>
      </c>
      <c r="I588">
        <v>1</v>
      </c>
      <c r="J588">
        <v>18.495000000000001</v>
      </c>
      <c r="K588">
        <v>-1.8484</v>
      </c>
    </row>
    <row r="589" spans="1:11" x14ac:dyDescent="0.2">
      <c r="A589">
        <v>88163</v>
      </c>
      <c r="B589" t="s">
        <v>1070</v>
      </c>
      <c r="C589" t="str">
        <f t="shared" si="9"/>
        <v>KLPV</v>
      </c>
      <c r="D589" t="s">
        <v>804</v>
      </c>
      <c r="E589">
        <v>6</v>
      </c>
      <c r="F589" t="s">
        <v>811</v>
      </c>
      <c r="G589">
        <v>1</v>
      </c>
      <c r="H589" t="s">
        <v>806</v>
      </c>
      <c r="I589">
        <v>1</v>
      </c>
      <c r="J589">
        <v>28.569400000000002</v>
      </c>
      <c r="K589">
        <v>3.5828000000000002</v>
      </c>
    </row>
    <row r="590" spans="1:11" x14ac:dyDescent="0.2">
      <c r="A590">
        <v>88163</v>
      </c>
      <c r="B590" t="s">
        <v>1070</v>
      </c>
      <c r="C590" t="str">
        <f t="shared" si="9"/>
        <v>KLPV</v>
      </c>
      <c r="D590" t="s">
        <v>807</v>
      </c>
      <c r="E590">
        <v>6</v>
      </c>
      <c r="F590" t="s">
        <v>811</v>
      </c>
      <c r="G590">
        <v>1</v>
      </c>
      <c r="H590" t="s">
        <v>806</v>
      </c>
      <c r="I590">
        <v>1</v>
      </c>
      <c r="J590">
        <v>28.610800000000001</v>
      </c>
      <c r="K590">
        <v>3.6345999999999998</v>
      </c>
    </row>
    <row r="591" spans="1:11" x14ac:dyDescent="0.2">
      <c r="A591">
        <v>588124</v>
      </c>
      <c r="B591" t="s">
        <v>1113</v>
      </c>
      <c r="C591" t="str">
        <f t="shared" si="9"/>
        <v>KULE</v>
      </c>
      <c r="D591" t="s">
        <v>804</v>
      </c>
      <c r="E591">
        <v>6</v>
      </c>
      <c r="F591" t="s">
        <v>811</v>
      </c>
      <c r="G591">
        <v>1</v>
      </c>
      <c r="H591" t="s">
        <v>806</v>
      </c>
      <c r="I591">
        <v>1</v>
      </c>
      <c r="J591">
        <v>39.369700000000002</v>
      </c>
      <c r="K591">
        <v>6.4781000000000004</v>
      </c>
    </row>
    <row r="592" spans="1:11" x14ac:dyDescent="0.2">
      <c r="A592">
        <v>588124</v>
      </c>
      <c r="B592" t="s">
        <v>1113</v>
      </c>
      <c r="C592" t="str">
        <f t="shared" si="9"/>
        <v>KULE</v>
      </c>
      <c r="D592" t="s">
        <v>807</v>
      </c>
      <c r="E592">
        <v>6</v>
      </c>
      <c r="F592" t="s">
        <v>811</v>
      </c>
      <c r="G592">
        <v>1</v>
      </c>
      <c r="H592" t="s">
        <v>806</v>
      </c>
      <c r="I592">
        <v>1</v>
      </c>
      <c r="J592">
        <v>39.370699999999999</v>
      </c>
      <c r="K592">
        <v>6.5102000000000002</v>
      </c>
    </row>
    <row r="593" spans="1:11" x14ac:dyDescent="0.2">
      <c r="A593">
        <v>88111</v>
      </c>
      <c r="B593" t="s">
        <v>1114</v>
      </c>
      <c r="C593" t="str">
        <f t="shared" si="9"/>
        <v>KULN</v>
      </c>
      <c r="D593" t="s">
        <v>804</v>
      </c>
      <c r="E593">
        <v>6</v>
      </c>
      <c r="F593" t="s">
        <v>811</v>
      </c>
      <c r="G593">
        <v>1</v>
      </c>
      <c r="H593" t="s">
        <v>806</v>
      </c>
      <c r="I593">
        <v>1</v>
      </c>
      <c r="J593">
        <v>38.271999999999998</v>
      </c>
      <c r="K593">
        <v>5.2686000000000002</v>
      </c>
    </row>
    <row r="594" spans="1:11" x14ac:dyDescent="0.2">
      <c r="A594">
        <v>88111</v>
      </c>
      <c r="B594" t="s">
        <v>1114</v>
      </c>
      <c r="C594" t="str">
        <f t="shared" si="9"/>
        <v>KULN</v>
      </c>
      <c r="D594" t="s">
        <v>807</v>
      </c>
      <c r="E594">
        <v>6</v>
      </c>
      <c r="F594" t="s">
        <v>811</v>
      </c>
      <c r="G594">
        <v>1</v>
      </c>
      <c r="H594" t="s">
        <v>806</v>
      </c>
      <c r="I594">
        <v>1</v>
      </c>
      <c r="J594">
        <v>38.202599999999997</v>
      </c>
      <c r="K594">
        <v>5.2592999999999996</v>
      </c>
    </row>
    <row r="595" spans="1:11" x14ac:dyDescent="0.2">
      <c r="A595">
        <v>588111</v>
      </c>
      <c r="B595" t="s">
        <v>1115</v>
      </c>
      <c r="C595" t="str">
        <f t="shared" si="9"/>
        <v>KULN</v>
      </c>
      <c r="D595" t="s">
        <v>808</v>
      </c>
      <c r="E595">
        <v>6</v>
      </c>
      <c r="F595" t="s">
        <v>811</v>
      </c>
      <c r="G595">
        <v>1</v>
      </c>
      <c r="H595" t="s">
        <v>806</v>
      </c>
      <c r="I595">
        <v>1</v>
      </c>
      <c r="J595">
        <v>16.601099999999999</v>
      </c>
      <c r="K595">
        <v>0.72589999999999999</v>
      </c>
    </row>
    <row r="596" spans="1:11" x14ac:dyDescent="0.2">
      <c r="A596">
        <v>588111</v>
      </c>
      <c r="B596" t="s">
        <v>1115</v>
      </c>
      <c r="C596" t="str">
        <f t="shared" si="9"/>
        <v>KULN</v>
      </c>
      <c r="D596" t="s">
        <v>809</v>
      </c>
      <c r="E596">
        <v>6</v>
      </c>
      <c r="F596" t="s">
        <v>811</v>
      </c>
      <c r="G596">
        <v>1</v>
      </c>
      <c r="H596" t="s">
        <v>806</v>
      </c>
      <c r="I596">
        <v>1</v>
      </c>
      <c r="J596">
        <v>16.481999999999999</v>
      </c>
      <c r="K596">
        <v>0.77559999999999996</v>
      </c>
    </row>
    <row r="597" spans="1:11" x14ac:dyDescent="0.2">
      <c r="A597">
        <v>88117</v>
      </c>
      <c r="B597" t="s">
        <v>1116</v>
      </c>
      <c r="C597" t="str">
        <f t="shared" si="9"/>
        <v>KULS</v>
      </c>
      <c r="D597" t="s">
        <v>804</v>
      </c>
      <c r="E597">
        <v>6</v>
      </c>
      <c r="F597" t="s">
        <v>811</v>
      </c>
      <c r="G597">
        <v>1</v>
      </c>
      <c r="H597" t="s">
        <v>806</v>
      </c>
      <c r="I597">
        <v>1</v>
      </c>
      <c r="J597">
        <v>12.594799999999999</v>
      </c>
      <c r="K597">
        <v>1.6568000000000001</v>
      </c>
    </row>
    <row r="598" spans="1:11" x14ac:dyDescent="0.2">
      <c r="A598">
        <v>88117</v>
      </c>
      <c r="B598" t="s">
        <v>1116</v>
      </c>
      <c r="C598" t="str">
        <f t="shared" si="9"/>
        <v>KULS</v>
      </c>
      <c r="D598" t="s">
        <v>807</v>
      </c>
      <c r="E598">
        <v>6</v>
      </c>
      <c r="F598" t="s">
        <v>811</v>
      </c>
      <c r="G598">
        <v>1</v>
      </c>
      <c r="H598" t="s">
        <v>806</v>
      </c>
      <c r="I598">
        <v>1</v>
      </c>
      <c r="J598">
        <v>6.5506000000000002</v>
      </c>
      <c r="K598">
        <v>0.55400000000000005</v>
      </c>
    </row>
    <row r="599" spans="1:11" x14ac:dyDescent="0.2">
      <c r="A599">
        <v>88117</v>
      </c>
      <c r="B599" t="s">
        <v>1116</v>
      </c>
      <c r="C599" t="str">
        <f t="shared" si="9"/>
        <v>KULS</v>
      </c>
      <c r="D599" t="s">
        <v>808</v>
      </c>
      <c r="E599">
        <v>6</v>
      </c>
      <c r="F599" t="s">
        <v>811</v>
      </c>
      <c r="G599">
        <v>1</v>
      </c>
      <c r="H599" t="s">
        <v>806</v>
      </c>
      <c r="I599">
        <v>1</v>
      </c>
      <c r="J599">
        <v>41.9574</v>
      </c>
      <c r="K599">
        <v>4.6142000000000003</v>
      </c>
    </row>
    <row r="600" spans="1:11" x14ac:dyDescent="0.2">
      <c r="A600">
        <v>88117</v>
      </c>
      <c r="B600" t="s">
        <v>1116</v>
      </c>
      <c r="C600" t="str">
        <f t="shared" si="9"/>
        <v>KULS</v>
      </c>
      <c r="D600" t="s">
        <v>809</v>
      </c>
      <c r="E600">
        <v>6</v>
      </c>
      <c r="F600" t="s">
        <v>811</v>
      </c>
      <c r="G600">
        <v>1</v>
      </c>
      <c r="H600" t="s">
        <v>806</v>
      </c>
      <c r="I600">
        <v>1</v>
      </c>
      <c r="J600">
        <v>41.907699999999998</v>
      </c>
      <c r="K600">
        <v>4.6566000000000001</v>
      </c>
    </row>
    <row r="601" spans="1:11" x14ac:dyDescent="0.2">
      <c r="A601">
        <v>51081</v>
      </c>
      <c r="B601" t="s">
        <v>1136</v>
      </c>
      <c r="C601" t="str">
        <f t="shared" si="9"/>
        <v>MCRS</v>
      </c>
      <c r="D601" t="s">
        <v>804</v>
      </c>
      <c r="E601">
        <v>6</v>
      </c>
      <c r="F601" t="s">
        <v>811</v>
      </c>
      <c r="G601">
        <v>1</v>
      </c>
      <c r="H601" t="s">
        <v>806</v>
      </c>
      <c r="I601">
        <v>1</v>
      </c>
      <c r="J601">
        <v>29.6691</v>
      </c>
      <c r="K601">
        <v>4.2527999999999997</v>
      </c>
    </row>
    <row r="602" spans="1:11" x14ac:dyDescent="0.2">
      <c r="A602">
        <v>51081</v>
      </c>
      <c r="B602" t="s">
        <v>1136</v>
      </c>
      <c r="C602" t="str">
        <f t="shared" si="9"/>
        <v>MCRS</v>
      </c>
      <c r="D602" t="s">
        <v>807</v>
      </c>
      <c r="E602">
        <v>6</v>
      </c>
      <c r="F602" t="s">
        <v>811</v>
      </c>
      <c r="G602">
        <v>1</v>
      </c>
      <c r="H602" t="s">
        <v>806</v>
      </c>
      <c r="I602">
        <v>1</v>
      </c>
      <c r="J602">
        <v>25.712499999999999</v>
      </c>
      <c r="K602">
        <v>1.8815</v>
      </c>
    </row>
    <row r="603" spans="1:11" x14ac:dyDescent="0.2">
      <c r="A603">
        <v>88129</v>
      </c>
      <c r="B603" t="s">
        <v>1137</v>
      </c>
      <c r="C603" t="str">
        <f t="shared" si="9"/>
        <v>MDAM</v>
      </c>
      <c r="D603" t="s">
        <v>804</v>
      </c>
      <c r="E603">
        <v>6</v>
      </c>
      <c r="F603" t="s">
        <v>811</v>
      </c>
      <c r="G603">
        <v>1</v>
      </c>
      <c r="H603" t="s">
        <v>806</v>
      </c>
      <c r="I603">
        <v>1</v>
      </c>
      <c r="J603">
        <v>18.2683</v>
      </c>
      <c r="K603">
        <v>7.9546999999999999</v>
      </c>
    </row>
    <row r="604" spans="1:11" x14ac:dyDescent="0.2">
      <c r="A604">
        <v>88129</v>
      </c>
      <c r="B604" t="s">
        <v>1137</v>
      </c>
      <c r="C604" t="str">
        <f t="shared" si="9"/>
        <v>MDAM</v>
      </c>
      <c r="D604" t="s">
        <v>807</v>
      </c>
      <c r="E604">
        <v>6</v>
      </c>
      <c r="F604" t="s">
        <v>811</v>
      </c>
      <c r="G604">
        <v>1</v>
      </c>
      <c r="H604" t="s">
        <v>806</v>
      </c>
      <c r="I604">
        <v>1</v>
      </c>
      <c r="J604">
        <v>17.3322</v>
      </c>
      <c r="K604">
        <v>-4.2114000000000003</v>
      </c>
    </row>
    <row r="605" spans="1:11" x14ac:dyDescent="0.2">
      <c r="A605">
        <v>88128</v>
      </c>
      <c r="B605" t="s">
        <v>1146</v>
      </c>
      <c r="C605" t="str">
        <f t="shared" si="9"/>
        <v>MJLR</v>
      </c>
      <c r="D605" t="s">
        <v>804</v>
      </c>
      <c r="E605">
        <v>6</v>
      </c>
      <c r="F605" t="s">
        <v>811</v>
      </c>
      <c r="G605">
        <v>1</v>
      </c>
      <c r="H605" t="s">
        <v>806</v>
      </c>
      <c r="I605">
        <v>1</v>
      </c>
      <c r="J605">
        <v>49.94</v>
      </c>
      <c r="K605">
        <v>7.8211000000000004</v>
      </c>
    </row>
    <row r="606" spans="1:11" x14ac:dyDescent="0.2">
      <c r="A606">
        <v>88128</v>
      </c>
      <c r="B606" t="s">
        <v>1146</v>
      </c>
      <c r="C606" t="str">
        <f t="shared" si="9"/>
        <v>MJLR</v>
      </c>
      <c r="D606" t="s">
        <v>807</v>
      </c>
      <c r="E606">
        <v>6</v>
      </c>
      <c r="F606" t="s">
        <v>811</v>
      </c>
      <c r="G606">
        <v>1</v>
      </c>
      <c r="H606" t="s">
        <v>806</v>
      </c>
      <c r="I606">
        <v>1</v>
      </c>
      <c r="J606">
        <v>49.346699999999998</v>
      </c>
      <c r="K606">
        <v>7.7176</v>
      </c>
    </row>
    <row r="607" spans="1:11" x14ac:dyDescent="0.2">
      <c r="A607">
        <v>88105</v>
      </c>
      <c r="B607" t="s">
        <v>1165</v>
      </c>
      <c r="C607" t="str">
        <f t="shared" si="9"/>
        <v>MTRE</v>
      </c>
      <c r="D607" t="s">
        <v>804</v>
      </c>
      <c r="E607">
        <v>6</v>
      </c>
      <c r="F607" t="s">
        <v>811</v>
      </c>
      <c r="G607">
        <v>1</v>
      </c>
      <c r="H607" t="s">
        <v>806</v>
      </c>
      <c r="I607">
        <v>1</v>
      </c>
      <c r="J607">
        <v>9.7119</v>
      </c>
      <c r="K607">
        <v>0.497</v>
      </c>
    </row>
    <row r="608" spans="1:11" x14ac:dyDescent="0.2">
      <c r="A608">
        <v>88105</v>
      </c>
      <c r="B608" t="s">
        <v>1165</v>
      </c>
      <c r="C608" t="str">
        <f t="shared" si="9"/>
        <v>MTRE</v>
      </c>
      <c r="D608" t="s">
        <v>807</v>
      </c>
      <c r="E608">
        <v>6</v>
      </c>
      <c r="F608" t="s">
        <v>811</v>
      </c>
      <c r="G608">
        <v>1</v>
      </c>
      <c r="H608" t="s">
        <v>806</v>
      </c>
      <c r="I608">
        <v>1</v>
      </c>
      <c r="J608">
        <v>9.6518999999999995</v>
      </c>
      <c r="K608">
        <v>0.50639999999999996</v>
      </c>
    </row>
    <row r="609" spans="1:11" x14ac:dyDescent="0.2">
      <c r="A609">
        <v>88139</v>
      </c>
      <c r="B609" t="s">
        <v>1167</v>
      </c>
      <c r="C609" t="str">
        <f t="shared" si="9"/>
        <v>MVLY</v>
      </c>
      <c r="D609" t="s">
        <v>804</v>
      </c>
      <c r="E609">
        <v>6</v>
      </c>
      <c r="F609" t="s">
        <v>811</v>
      </c>
      <c r="G609">
        <v>1</v>
      </c>
      <c r="H609" t="s">
        <v>806</v>
      </c>
      <c r="I609">
        <v>1</v>
      </c>
      <c r="J609">
        <v>0</v>
      </c>
      <c r="K609">
        <v>0</v>
      </c>
    </row>
    <row r="610" spans="1:11" x14ac:dyDescent="0.2">
      <c r="A610">
        <v>88139</v>
      </c>
      <c r="B610" t="s">
        <v>1167</v>
      </c>
      <c r="C610" t="str">
        <f t="shared" si="9"/>
        <v>MVLY</v>
      </c>
      <c r="D610" t="s">
        <v>807</v>
      </c>
      <c r="E610">
        <v>6</v>
      </c>
      <c r="F610" t="s">
        <v>811</v>
      </c>
      <c r="G610">
        <v>1</v>
      </c>
      <c r="H610" t="s">
        <v>806</v>
      </c>
      <c r="I610">
        <v>1</v>
      </c>
      <c r="J610">
        <v>0</v>
      </c>
      <c r="K610">
        <v>0</v>
      </c>
    </row>
    <row r="611" spans="1:11" x14ac:dyDescent="0.2">
      <c r="A611">
        <v>88139</v>
      </c>
      <c r="B611" t="s">
        <v>1167</v>
      </c>
      <c r="C611" t="str">
        <f t="shared" si="9"/>
        <v>MVLY</v>
      </c>
      <c r="D611" t="s">
        <v>808</v>
      </c>
      <c r="E611">
        <v>6</v>
      </c>
      <c r="F611" t="s">
        <v>811</v>
      </c>
      <c r="G611">
        <v>1</v>
      </c>
      <c r="H611" t="s">
        <v>806</v>
      </c>
      <c r="I611">
        <v>1</v>
      </c>
      <c r="J611">
        <v>28.798200000000001</v>
      </c>
      <c r="K611">
        <v>5.7355999999999998</v>
      </c>
    </row>
    <row r="612" spans="1:11" x14ac:dyDescent="0.2">
      <c r="A612">
        <v>88139</v>
      </c>
      <c r="B612" t="s">
        <v>1167</v>
      </c>
      <c r="C612" t="str">
        <f t="shared" si="9"/>
        <v>MVLY</v>
      </c>
      <c r="D612" t="s">
        <v>809</v>
      </c>
      <c r="E612">
        <v>6</v>
      </c>
      <c r="F612" t="s">
        <v>811</v>
      </c>
      <c r="G612">
        <v>1</v>
      </c>
      <c r="H612" t="s">
        <v>806</v>
      </c>
      <c r="I612">
        <v>1</v>
      </c>
      <c r="J612">
        <v>28.6295</v>
      </c>
      <c r="K612">
        <v>5.7263000000000002</v>
      </c>
    </row>
    <row r="613" spans="1:11" x14ac:dyDescent="0.2">
      <c r="A613">
        <v>88116</v>
      </c>
      <c r="B613" t="s">
        <v>1168</v>
      </c>
      <c r="C613" t="str">
        <f t="shared" si="9"/>
        <v>MWSN</v>
      </c>
      <c r="D613" t="s">
        <v>804</v>
      </c>
      <c r="E613">
        <v>6</v>
      </c>
      <c r="F613" t="s">
        <v>811</v>
      </c>
      <c r="G613">
        <v>1</v>
      </c>
      <c r="H613" t="s">
        <v>806</v>
      </c>
      <c r="I613">
        <v>1</v>
      </c>
      <c r="J613">
        <v>1.4311</v>
      </c>
      <c r="K613">
        <v>-0.25890000000000002</v>
      </c>
    </row>
    <row r="614" spans="1:11" x14ac:dyDescent="0.2">
      <c r="A614">
        <v>88116</v>
      </c>
      <c r="B614" t="s">
        <v>1168</v>
      </c>
      <c r="C614" t="str">
        <f t="shared" si="9"/>
        <v>MWSN</v>
      </c>
      <c r="D614" t="s">
        <v>807</v>
      </c>
      <c r="E614">
        <v>6</v>
      </c>
      <c r="F614" t="s">
        <v>811</v>
      </c>
      <c r="G614">
        <v>1</v>
      </c>
      <c r="H614" t="s">
        <v>806</v>
      </c>
      <c r="I614">
        <v>1</v>
      </c>
      <c r="J614">
        <v>1.4217</v>
      </c>
      <c r="K614">
        <v>-0.2485</v>
      </c>
    </row>
    <row r="615" spans="1:11" x14ac:dyDescent="0.2">
      <c r="A615">
        <v>51073</v>
      </c>
      <c r="B615" t="s">
        <v>1216</v>
      </c>
      <c r="C615" t="str">
        <f t="shared" si="9"/>
        <v>PJYC</v>
      </c>
      <c r="D615" t="s">
        <v>804</v>
      </c>
      <c r="E615">
        <v>6</v>
      </c>
      <c r="F615" t="s">
        <v>811</v>
      </c>
      <c r="G615">
        <v>1</v>
      </c>
      <c r="H615" t="s">
        <v>806</v>
      </c>
      <c r="I615">
        <v>1</v>
      </c>
      <c r="J615">
        <v>23.665299999999998</v>
      </c>
      <c r="K615">
        <v>-0.51049999999999995</v>
      </c>
    </row>
    <row r="616" spans="1:11" x14ac:dyDescent="0.2">
      <c r="A616">
        <v>51073</v>
      </c>
      <c r="B616" t="s">
        <v>1216</v>
      </c>
      <c r="C616" t="str">
        <f t="shared" si="9"/>
        <v>PJYC</v>
      </c>
      <c r="D616" t="s">
        <v>807</v>
      </c>
      <c r="E616">
        <v>6</v>
      </c>
      <c r="F616" t="s">
        <v>811</v>
      </c>
      <c r="G616">
        <v>1</v>
      </c>
      <c r="H616" t="s">
        <v>806</v>
      </c>
      <c r="I616">
        <v>1</v>
      </c>
      <c r="J616">
        <v>23.851700000000001</v>
      </c>
      <c r="K616">
        <v>-0.50219999999999998</v>
      </c>
    </row>
    <row r="617" spans="1:11" x14ac:dyDescent="0.2">
      <c r="A617">
        <v>88175</v>
      </c>
      <c r="B617" t="s">
        <v>1226</v>
      </c>
      <c r="C617" t="str">
        <f t="shared" si="9"/>
        <v>PMJU</v>
      </c>
      <c r="D617" t="s">
        <v>804</v>
      </c>
      <c r="E617">
        <v>6</v>
      </c>
      <c r="F617" t="s">
        <v>811</v>
      </c>
      <c r="G617">
        <v>1</v>
      </c>
      <c r="H617" t="s">
        <v>806</v>
      </c>
      <c r="I617">
        <v>1</v>
      </c>
      <c r="J617">
        <v>16.395099999999999</v>
      </c>
      <c r="K617">
        <v>3.1137000000000001</v>
      </c>
    </row>
    <row r="618" spans="1:11" x14ac:dyDescent="0.2">
      <c r="A618">
        <v>88175</v>
      </c>
      <c r="B618" t="s">
        <v>1226</v>
      </c>
      <c r="C618" t="str">
        <f t="shared" si="9"/>
        <v>PMJU</v>
      </c>
      <c r="D618" t="s">
        <v>807</v>
      </c>
      <c r="E618">
        <v>6</v>
      </c>
      <c r="F618" t="s">
        <v>811</v>
      </c>
      <c r="G618">
        <v>1</v>
      </c>
      <c r="H618" t="s">
        <v>806</v>
      </c>
      <c r="I618">
        <v>1</v>
      </c>
      <c r="J618">
        <v>4.4867999999999997</v>
      </c>
      <c r="K618">
        <v>0.45669999999999999</v>
      </c>
    </row>
    <row r="619" spans="1:11" x14ac:dyDescent="0.2">
      <c r="A619">
        <v>88175</v>
      </c>
      <c r="B619" t="s">
        <v>1226</v>
      </c>
      <c r="C619" t="str">
        <f t="shared" si="9"/>
        <v>PMJU</v>
      </c>
      <c r="D619" t="s">
        <v>808</v>
      </c>
      <c r="E619">
        <v>6</v>
      </c>
      <c r="F619" t="s">
        <v>811</v>
      </c>
      <c r="G619">
        <v>1</v>
      </c>
      <c r="H619" t="s">
        <v>806</v>
      </c>
      <c r="I619">
        <v>1</v>
      </c>
      <c r="J619">
        <v>37.115400000000001</v>
      </c>
      <c r="K619">
        <v>1.6754</v>
      </c>
    </row>
    <row r="620" spans="1:11" x14ac:dyDescent="0.2">
      <c r="A620">
        <v>88175</v>
      </c>
      <c r="B620" t="s">
        <v>1226</v>
      </c>
      <c r="C620" t="str">
        <f t="shared" si="9"/>
        <v>PMJU</v>
      </c>
      <c r="D620" t="s">
        <v>809</v>
      </c>
      <c r="E620">
        <v>6</v>
      </c>
      <c r="F620" t="s">
        <v>811</v>
      </c>
      <c r="G620">
        <v>1</v>
      </c>
      <c r="H620" t="s">
        <v>806</v>
      </c>
      <c r="I620">
        <v>1</v>
      </c>
      <c r="J620">
        <v>37.377400000000002</v>
      </c>
      <c r="K620">
        <v>1.7417</v>
      </c>
    </row>
    <row r="621" spans="1:11" x14ac:dyDescent="0.2">
      <c r="A621">
        <v>88175</v>
      </c>
      <c r="B621" t="s">
        <v>1226</v>
      </c>
      <c r="C621" t="str">
        <f t="shared" si="9"/>
        <v>PMJU</v>
      </c>
      <c r="D621" t="s">
        <v>810</v>
      </c>
      <c r="E621">
        <v>6</v>
      </c>
      <c r="F621" t="s">
        <v>811</v>
      </c>
      <c r="G621">
        <v>1</v>
      </c>
      <c r="H621" t="s">
        <v>806</v>
      </c>
      <c r="I621">
        <v>1</v>
      </c>
      <c r="J621">
        <v>36.007399999999997</v>
      </c>
      <c r="K621">
        <v>3.7122999999999999</v>
      </c>
    </row>
    <row r="622" spans="1:11" x14ac:dyDescent="0.2">
      <c r="A622">
        <v>88175</v>
      </c>
      <c r="B622" t="s">
        <v>1226</v>
      </c>
      <c r="C622" t="str">
        <f t="shared" si="9"/>
        <v>PMJU</v>
      </c>
      <c r="D622" t="s">
        <v>812</v>
      </c>
      <c r="E622">
        <v>6</v>
      </c>
      <c r="F622" t="s">
        <v>811</v>
      </c>
      <c r="G622">
        <v>1</v>
      </c>
      <c r="H622" t="s">
        <v>806</v>
      </c>
      <c r="I622">
        <v>1</v>
      </c>
      <c r="J622">
        <v>35.693600000000004</v>
      </c>
      <c r="K622">
        <v>3.6522000000000001</v>
      </c>
    </row>
    <row r="623" spans="1:11" x14ac:dyDescent="0.2">
      <c r="A623">
        <v>88119</v>
      </c>
      <c r="B623" t="s">
        <v>1251</v>
      </c>
      <c r="C623" t="str">
        <f t="shared" si="9"/>
        <v>PULU</v>
      </c>
      <c r="D623" t="s">
        <v>804</v>
      </c>
      <c r="E623">
        <v>6</v>
      </c>
      <c r="F623" t="s">
        <v>811</v>
      </c>
      <c r="G623">
        <v>1</v>
      </c>
      <c r="H623" t="s">
        <v>806</v>
      </c>
      <c r="I623">
        <v>1</v>
      </c>
      <c r="J623">
        <v>46.368600000000001</v>
      </c>
      <c r="K623">
        <v>6.9451000000000001</v>
      </c>
    </row>
    <row r="624" spans="1:11" x14ac:dyDescent="0.2">
      <c r="A624">
        <v>88119</v>
      </c>
      <c r="B624" t="s">
        <v>1251</v>
      </c>
      <c r="C624" t="str">
        <f t="shared" si="9"/>
        <v>PULU</v>
      </c>
      <c r="D624" t="s">
        <v>807</v>
      </c>
      <c r="E624">
        <v>6</v>
      </c>
      <c r="F624" t="s">
        <v>811</v>
      </c>
      <c r="G624">
        <v>1</v>
      </c>
      <c r="H624" t="s">
        <v>806</v>
      </c>
      <c r="I624">
        <v>1</v>
      </c>
      <c r="J624">
        <v>46.198799999999999</v>
      </c>
      <c r="K624">
        <v>6.8891999999999998</v>
      </c>
    </row>
    <row r="625" spans="1:11" x14ac:dyDescent="0.2">
      <c r="A625">
        <v>88179</v>
      </c>
      <c r="B625" t="s">
        <v>1252</v>
      </c>
      <c r="C625" t="str">
        <f t="shared" si="9"/>
        <v>PVBJ</v>
      </c>
      <c r="D625" t="s">
        <v>804</v>
      </c>
      <c r="E625">
        <v>6</v>
      </c>
      <c r="F625" t="s">
        <v>811</v>
      </c>
      <c r="G625">
        <v>1</v>
      </c>
      <c r="H625" t="s">
        <v>806</v>
      </c>
      <c r="I625">
        <v>1</v>
      </c>
      <c r="J625">
        <v>17.114699999999999</v>
      </c>
      <c r="K625">
        <v>1.2487999999999999</v>
      </c>
    </row>
    <row r="626" spans="1:11" x14ac:dyDescent="0.2">
      <c r="A626">
        <v>88179</v>
      </c>
      <c r="B626" t="s">
        <v>1252</v>
      </c>
      <c r="C626" t="str">
        <f t="shared" si="9"/>
        <v>PVBJ</v>
      </c>
      <c r="D626" t="s">
        <v>807</v>
      </c>
      <c r="E626">
        <v>6</v>
      </c>
      <c r="F626" t="s">
        <v>811</v>
      </c>
      <c r="G626">
        <v>1</v>
      </c>
      <c r="H626" t="s">
        <v>806</v>
      </c>
      <c r="I626">
        <v>1</v>
      </c>
      <c r="J626">
        <v>17.163399999999999</v>
      </c>
      <c r="K626">
        <v>1.2498</v>
      </c>
    </row>
    <row r="627" spans="1:11" x14ac:dyDescent="0.2">
      <c r="A627">
        <v>88107</v>
      </c>
      <c r="B627" t="s">
        <v>1271</v>
      </c>
      <c r="C627" t="str">
        <f t="shared" si="9"/>
        <v>SCTY</v>
      </c>
      <c r="D627" t="s">
        <v>804</v>
      </c>
      <c r="E627">
        <v>6</v>
      </c>
      <c r="F627" t="s">
        <v>811</v>
      </c>
      <c r="G627">
        <v>1</v>
      </c>
      <c r="H627" t="s">
        <v>806</v>
      </c>
      <c r="I627">
        <v>1</v>
      </c>
      <c r="J627">
        <v>17.130299999999998</v>
      </c>
      <c r="K627">
        <v>1.9757</v>
      </c>
    </row>
    <row r="628" spans="1:11" x14ac:dyDescent="0.2">
      <c r="A628">
        <v>88107</v>
      </c>
      <c r="B628" t="s">
        <v>1271</v>
      </c>
      <c r="C628" t="str">
        <f t="shared" si="9"/>
        <v>SCTY</v>
      </c>
      <c r="D628" t="s">
        <v>807</v>
      </c>
      <c r="E628">
        <v>6</v>
      </c>
      <c r="F628" t="s">
        <v>811</v>
      </c>
      <c r="G628">
        <v>1</v>
      </c>
      <c r="H628" t="s">
        <v>806</v>
      </c>
      <c r="I628">
        <v>1</v>
      </c>
      <c r="J628">
        <v>17.077400000000001</v>
      </c>
      <c r="K628">
        <v>1.9633</v>
      </c>
    </row>
    <row r="629" spans="1:11" x14ac:dyDescent="0.2">
      <c r="A629">
        <v>88173</v>
      </c>
      <c r="B629" t="s">
        <v>1275</v>
      </c>
      <c r="C629" t="str">
        <f t="shared" si="9"/>
        <v>SDAM</v>
      </c>
      <c r="D629" t="s">
        <v>804</v>
      </c>
      <c r="E629">
        <v>6</v>
      </c>
      <c r="F629" t="s">
        <v>811</v>
      </c>
      <c r="G629">
        <v>1</v>
      </c>
      <c r="H629" t="s">
        <v>806</v>
      </c>
      <c r="I629">
        <v>1</v>
      </c>
      <c r="J629">
        <v>27.894300000000001</v>
      </c>
      <c r="K629">
        <v>2.8414000000000001</v>
      </c>
    </row>
    <row r="630" spans="1:11" x14ac:dyDescent="0.2">
      <c r="A630">
        <v>88173</v>
      </c>
      <c r="B630" t="s">
        <v>1275</v>
      </c>
      <c r="C630" t="str">
        <f t="shared" si="9"/>
        <v>SDAM</v>
      </c>
      <c r="D630" t="s">
        <v>807</v>
      </c>
      <c r="E630">
        <v>6</v>
      </c>
      <c r="F630" t="s">
        <v>811</v>
      </c>
      <c r="G630">
        <v>1</v>
      </c>
      <c r="H630" t="s">
        <v>806</v>
      </c>
      <c r="I630">
        <v>1</v>
      </c>
      <c r="J630">
        <v>27.648800000000001</v>
      </c>
      <c r="K630">
        <v>2.9138999999999999</v>
      </c>
    </row>
    <row r="631" spans="1:11" x14ac:dyDescent="0.2">
      <c r="A631">
        <v>88122</v>
      </c>
      <c r="B631" t="s">
        <v>1281</v>
      </c>
      <c r="C631" t="str">
        <f t="shared" si="9"/>
        <v>SGBT</v>
      </c>
      <c r="D631" t="s">
        <v>804</v>
      </c>
      <c r="E631">
        <v>6</v>
      </c>
      <c r="F631" t="s">
        <v>811</v>
      </c>
      <c r="G631">
        <v>1</v>
      </c>
      <c r="H631" t="s">
        <v>806</v>
      </c>
      <c r="I631">
        <v>1</v>
      </c>
      <c r="J631">
        <v>40.1111</v>
      </c>
      <c r="K631">
        <v>5.4104999999999999</v>
      </c>
    </row>
    <row r="632" spans="1:11" x14ac:dyDescent="0.2">
      <c r="A632">
        <v>88122</v>
      </c>
      <c r="B632" t="s">
        <v>1281</v>
      </c>
      <c r="C632" t="str">
        <f t="shared" si="9"/>
        <v>SGBT</v>
      </c>
      <c r="D632" t="s">
        <v>807</v>
      </c>
      <c r="E632">
        <v>6</v>
      </c>
      <c r="F632" t="s">
        <v>811</v>
      </c>
      <c r="G632">
        <v>1</v>
      </c>
      <c r="H632" t="s">
        <v>806</v>
      </c>
      <c r="I632">
        <v>1</v>
      </c>
      <c r="J632">
        <v>39.647199999999998</v>
      </c>
      <c r="K632">
        <v>5.3608000000000002</v>
      </c>
    </row>
    <row r="633" spans="1:11" x14ac:dyDescent="0.2">
      <c r="A633">
        <v>88142</v>
      </c>
      <c r="B633" t="s">
        <v>1291</v>
      </c>
      <c r="C633" t="str">
        <f t="shared" si="9"/>
        <v>SHMS</v>
      </c>
      <c r="D633" t="s">
        <v>804</v>
      </c>
      <c r="E633">
        <v>6</v>
      </c>
      <c r="F633" t="s">
        <v>811</v>
      </c>
      <c r="G633">
        <v>40</v>
      </c>
      <c r="H633" t="s">
        <v>832</v>
      </c>
      <c r="I633">
        <v>1</v>
      </c>
      <c r="J633">
        <v>28.223500000000001</v>
      </c>
      <c r="K633">
        <v>4.2309999999999999</v>
      </c>
    </row>
    <row r="634" spans="1:11" x14ac:dyDescent="0.2">
      <c r="A634">
        <v>88142</v>
      </c>
      <c r="B634" t="s">
        <v>1291</v>
      </c>
      <c r="C634" t="str">
        <f t="shared" si="9"/>
        <v>SHMS</v>
      </c>
      <c r="D634" t="s">
        <v>807</v>
      </c>
      <c r="E634">
        <v>6</v>
      </c>
      <c r="F634" t="s">
        <v>811</v>
      </c>
      <c r="G634">
        <v>40</v>
      </c>
      <c r="H634" t="s">
        <v>832</v>
      </c>
      <c r="I634">
        <v>1</v>
      </c>
      <c r="J634">
        <v>28.113800000000001</v>
      </c>
      <c r="K634">
        <v>4.2145000000000001</v>
      </c>
    </row>
    <row r="635" spans="1:11" x14ac:dyDescent="0.2">
      <c r="A635">
        <v>88132</v>
      </c>
      <c r="B635" t="s">
        <v>1307</v>
      </c>
      <c r="C635" t="str">
        <f t="shared" si="9"/>
        <v>SMTN</v>
      </c>
      <c r="D635" t="s">
        <v>804</v>
      </c>
      <c r="E635">
        <v>6</v>
      </c>
      <c r="F635" t="s">
        <v>811</v>
      </c>
      <c r="G635">
        <v>1</v>
      </c>
      <c r="H635" t="s">
        <v>806</v>
      </c>
      <c r="I635">
        <v>1</v>
      </c>
      <c r="J635">
        <v>2.3382000000000001</v>
      </c>
      <c r="K635">
        <v>-1.3762000000000001</v>
      </c>
    </row>
    <row r="636" spans="1:11" x14ac:dyDescent="0.2">
      <c r="A636">
        <v>88132</v>
      </c>
      <c r="B636" t="s">
        <v>1307</v>
      </c>
      <c r="C636" t="str">
        <f t="shared" si="9"/>
        <v>SMTN</v>
      </c>
      <c r="D636" t="s">
        <v>807</v>
      </c>
      <c r="E636">
        <v>6</v>
      </c>
      <c r="F636" t="s">
        <v>811</v>
      </c>
      <c r="G636">
        <v>1</v>
      </c>
      <c r="H636" t="s">
        <v>806</v>
      </c>
      <c r="I636">
        <v>1</v>
      </c>
      <c r="J636">
        <v>2.3527</v>
      </c>
      <c r="K636">
        <v>-1.371</v>
      </c>
    </row>
    <row r="637" spans="1:11" x14ac:dyDescent="0.2">
      <c r="A637">
        <v>88162</v>
      </c>
      <c r="B637" t="s">
        <v>1316</v>
      </c>
      <c r="C637" t="str">
        <f t="shared" si="9"/>
        <v>SPKC</v>
      </c>
      <c r="D637" t="s">
        <v>808</v>
      </c>
      <c r="E637">
        <v>6</v>
      </c>
      <c r="F637" t="s">
        <v>811</v>
      </c>
      <c r="G637">
        <v>1</v>
      </c>
      <c r="H637" t="s">
        <v>806</v>
      </c>
      <c r="I637">
        <v>1</v>
      </c>
      <c r="J637">
        <v>49.652200000000001</v>
      </c>
      <c r="K637">
        <v>7.7248000000000001</v>
      </c>
    </row>
    <row r="638" spans="1:11" x14ac:dyDescent="0.2">
      <c r="A638">
        <v>88162</v>
      </c>
      <c r="B638" t="s">
        <v>1316</v>
      </c>
      <c r="C638" t="str">
        <f t="shared" si="9"/>
        <v>SPKC</v>
      </c>
      <c r="D638" t="s">
        <v>809</v>
      </c>
      <c r="E638">
        <v>6</v>
      </c>
      <c r="F638" t="s">
        <v>811</v>
      </c>
      <c r="G638">
        <v>1</v>
      </c>
      <c r="H638" t="s">
        <v>806</v>
      </c>
      <c r="I638">
        <v>1</v>
      </c>
      <c r="J638">
        <v>49.403599999999997</v>
      </c>
      <c r="K638">
        <v>7.6938000000000004</v>
      </c>
    </row>
    <row r="639" spans="1:11" x14ac:dyDescent="0.2">
      <c r="A639">
        <v>88162</v>
      </c>
      <c r="B639" t="s">
        <v>1316</v>
      </c>
      <c r="C639" t="str">
        <f t="shared" si="9"/>
        <v>SPKC</v>
      </c>
      <c r="D639" t="s">
        <v>810</v>
      </c>
      <c r="E639">
        <v>6</v>
      </c>
      <c r="F639" t="s">
        <v>811</v>
      </c>
      <c r="G639">
        <v>1</v>
      </c>
      <c r="H639" t="s">
        <v>806</v>
      </c>
      <c r="I639">
        <v>1</v>
      </c>
      <c r="J639">
        <v>55.768799999999999</v>
      </c>
      <c r="K639">
        <v>5.3804999999999996</v>
      </c>
    </row>
    <row r="640" spans="1:11" x14ac:dyDescent="0.2">
      <c r="A640">
        <v>51050</v>
      </c>
      <c r="B640" t="s">
        <v>1322</v>
      </c>
      <c r="C640" t="str">
        <f t="shared" si="9"/>
        <v>SRDN</v>
      </c>
      <c r="D640" t="s">
        <v>804</v>
      </c>
      <c r="E640">
        <v>6</v>
      </c>
      <c r="F640" t="s">
        <v>811</v>
      </c>
      <c r="G640">
        <v>1</v>
      </c>
      <c r="H640" t="s">
        <v>806</v>
      </c>
      <c r="I640">
        <v>1</v>
      </c>
      <c r="J640">
        <v>24.2483</v>
      </c>
      <c r="K640">
        <v>1.3731</v>
      </c>
    </row>
    <row r="641" spans="1:11" x14ac:dyDescent="0.2">
      <c r="A641">
        <v>51050</v>
      </c>
      <c r="B641" t="s">
        <v>1322</v>
      </c>
      <c r="C641" t="str">
        <f t="shared" si="9"/>
        <v>SRDN</v>
      </c>
      <c r="D641" t="s">
        <v>807</v>
      </c>
      <c r="E641">
        <v>6</v>
      </c>
      <c r="F641" t="s">
        <v>811</v>
      </c>
      <c r="G641">
        <v>1</v>
      </c>
      <c r="H641" t="s">
        <v>806</v>
      </c>
      <c r="I641">
        <v>1</v>
      </c>
      <c r="J641">
        <v>24.200600000000001</v>
      </c>
      <c r="K641">
        <v>1.3637999999999999</v>
      </c>
    </row>
    <row r="642" spans="1:11" x14ac:dyDescent="0.2">
      <c r="A642">
        <v>51130</v>
      </c>
      <c r="B642" t="s">
        <v>1323</v>
      </c>
      <c r="C642" t="str">
        <f t="shared" si="9"/>
        <v>SRDR</v>
      </c>
      <c r="D642" t="s">
        <v>804</v>
      </c>
      <c r="E642">
        <v>6</v>
      </c>
      <c r="F642" t="s">
        <v>811</v>
      </c>
      <c r="G642">
        <v>1</v>
      </c>
      <c r="H642" t="s">
        <v>806</v>
      </c>
      <c r="I642">
        <v>1</v>
      </c>
      <c r="J642">
        <v>27.853899999999999</v>
      </c>
      <c r="K642">
        <v>3.1179000000000001</v>
      </c>
    </row>
    <row r="643" spans="1:11" x14ac:dyDescent="0.2">
      <c r="A643">
        <v>51130</v>
      </c>
      <c r="B643" t="s">
        <v>1323</v>
      </c>
      <c r="C643" t="str">
        <f t="shared" ref="C643:C706" si="10">LEFT(B643,4)</f>
        <v>SRDR</v>
      </c>
      <c r="D643" t="s">
        <v>807</v>
      </c>
      <c r="E643">
        <v>6</v>
      </c>
      <c r="F643" t="s">
        <v>811</v>
      </c>
      <c r="G643">
        <v>1</v>
      </c>
      <c r="H643" t="s">
        <v>806</v>
      </c>
      <c r="I643">
        <v>1</v>
      </c>
      <c r="J643">
        <v>27.978100000000001</v>
      </c>
      <c r="K643">
        <v>3.1303000000000001</v>
      </c>
    </row>
    <row r="644" spans="1:11" x14ac:dyDescent="0.2">
      <c r="A644">
        <v>88118</v>
      </c>
      <c r="B644" t="s">
        <v>1329</v>
      </c>
      <c r="C644" t="str">
        <f t="shared" si="10"/>
        <v>SRYA</v>
      </c>
      <c r="D644" t="s">
        <v>804</v>
      </c>
      <c r="E644">
        <v>6</v>
      </c>
      <c r="F644" t="s">
        <v>811</v>
      </c>
      <c r="G644">
        <v>1</v>
      </c>
      <c r="H644" t="s">
        <v>806</v>
      </c>
      <c r="I644">
        <v>1</v>
      </c>
      <c r="J644">
        <v>8.7136999999999993</v>
      </c>
      <c r="K644">
        <v>1.1825000000000001</v>
      </c>
    </row>
    <row r="645" spans="1:11" x14ac:dyDescent="0.2">
      <c r="A645">
        <v>88118</v>
      </c>
      <c r="B645" t="s">
        <v>1329</v>
      </c>
      <c r="C645" t="str">
        <f t="shared" si="10"/>
        <v>SRYA</v>
      </c>
      <c r="D645" t="s">
        <v>807</v>
      </c>
      <c r="E645">
        <v>6</v>
      </c>
      <c r="F645" t="s">
        <v>811</v>
      </c>
      <c r="G645">
        <v>1</v>
      </c>
      <c r="H645" t="s">
        <v>806</v>
      </c>
      <c r="I645">
        <v>1</v>
      </c>
      <c r="J645">
        <v>8.6618999999999993</v>
      </c>
      <c r="K645">
        <v>1.1732</v>
      </c>
    </row>
    <row r="646" spans="1:11" x14ac:dyDescent="0.2">
      <c r="A646">
        <v>88118</v>
      </c>
      <c r="B646" t="s">
        <v>1329</v>
      </c>
      <c r="C646" t="str">
        <f t="shared" si="10"/>
        <v>SRYA</v>
      </c>
      <c r="D646" t="s">
        <v>808</v>
      </c>
      <c r="E646">
        <v>6</v>
      </c>
      <c r="F646" t="s">
        <v>811</v>
      </c>
      <c r="G646">
        <v>1</v>
      </c>
      <c r="H646" t="s">
        <v>806</v>
      </c>
      <c r="I646">
        <v>1</v>
      </c>
      <c r="J646">
        <v>36.332500000000003</v>
      </c>
      <c r="K646">
        <v>5.6040999999999999</v>
      </c>
    </row>
    <row r="647" spans="1:11" x14ac:dyDescent="0.2">
      <c r="A647">
        <v>88118</v>
      </c>
      <c r="B647" t="s">
        <v>1329</v>
      </c>
      <c r="C647" t="str">
        <f t="shared" si="10"/>
        <v>SRYA</v>
      </c>
      <c r="D647" t="s">
        <v>809</v>
      </c>
      <c r="E647">
        <v>6</v>
      </c>
      <c r="F647" t="s">
        <v>811</v>
      </c>
      <c r="G647">
        <v>1</v>
      </c>
      <c r="H647" t="s">
        <v>806</v>
      </c>
      <c r="I647">
        <v>1</v>
      </c>
      <c r="J647">
        <v>36.578000000000003</v>
      </c>
      <c r="K647">
        <v>5.6683000000000003</v>
      </c>
    </row>
    <row r="648" spans="1:11" x14ac:dyDescent="0.2">
      <c r="A648">
        <v>88127</v>
      </c>
      <c r="B648" t="s">
        <v>1382</v>
      </c>
      <c r="C648" t="str">
        <f t="shared" si="10"/>
        <v>TMWT</v>
      </c>
      <c r="D648" t="s">
        <v>804</v>
      </c>
      <c r="E648">
        <v>6</v>
      </c>
      <c r="F648" t="s">
        <v>811</v>
      </c>
      <c r="G648">
        <v>1</v>
      </c>
      <c r="H648" t="s">
        <v>806</v>
      </c>
      <c r="I648">
        <v>1</v>
      </c>
      <c r="J648">
        <v>12.7439</v>
      </c>
      <c r="K648">
        <v>-1.1929000000000001</v>
      </c>
    </row>
    <row r="649" spans="1:11" x14ac:dyDescent="0.2">
      <c r="A649">
        <v>88127</v>
      </c>
      <c r="B649" t="s">
        <v>1382</v>
      </c>
      <c r="C649" t="str">
        <f t="shared" si="10"/>
        <v>TMWT</v>
      </c>
      <c r="D649" t="s">
        <v>807</v>
      </c>
      <c r="E649">
        <v>6</v>
      </c>
      <c r="F649" t="s">
        <v>811</v>
      </c>
      <c r="G649">
        <v>1</v>
      </c>
      <c r="H649" t="s">
        <v>806</v>
      </c>
      <c r="I649">
        <v>1</v>
      </c>
      <c r="J649">
        <v>12.843299999999999</v>
      </c>
      <c r="K649">
        <v>-1.1929000000000001</v>
      </c>
    </row>
    <row r="650" spans="1:11" x14ac:dyDescent="0.2">
      <c r="A650">
        <v>88134</v>
      </c>
      <c r="B650" t="s">
        <v>1383</v>
      </c>
      <c r="C650" t="str">
        <f t="shared" si="10"/>
        <v>TNHQ</v>
      </c>
      <c r="D650" t="s">
        <v>804</v>
      </c>
      <c r="E650">
        <v>6</v>
      </c>
      <c r="F650" t="s">
        <v>811</v>
      </c>
      <c r="G650">
        <v>1</v>
      </c>
      <c r="H650" t="s">
        <v>806</v>
      </c>
      <c r="I650">
        <v>1</v>
      </c>
      <c r="J650">
        <v>22.903199999999998</v>
      </c>
      <c r="K650">
        <v>1.8608</v>
      </c>
    </row>
    <row r="651" spans="1:11" x14ac:dyDescent="0.2">
      <c r="A651">
        <v>88134</v>
      </c>
      <c r="B651" t="s">
        <v>1383</v>
      </c>
      <c r="C651" t="str">
        <f t="shared" si="10"/>
        <v>TNHQ</v>
      </c>
      <c r="D651" t="s">
        <v>807</v>
      </c>
      <c r="E651">
        <v>6</v>
      </c>
      <c r="F651" t="s">
        <v>811</v>
      </c>
      <c r="G651">
        <v>1</v>
      </c>
      <c r="H651" t="s">
        <v>806</v>
      </c>
      <c r="I651">
        <v>1</v>
      </c>
      <c r="J651">
        <v>23.099900000000002</v>
      </c>
      <c r="K651">
        <v>1.8587</v>
      </c>
    </row>
    <row r="652" spans="1:11" x14ac:dyDescent="0.2">
      <c r="A652">
        <v>88137</v>
      </c>
      <c r="B652" t="s">
        <v>1395</v>
      </c>
      <c r="C652" t="str">
        <f t="shared" si="10"/>
        <v>TWSA</v>
      </c>
      <c r="D652" t="s">
        <v>804</v>
      </c>
      <c r="E652">
        <v>6</v>
      </c>
      <c r="F652" t="s">
        <v>811</v>
      </c>
      <c r="G652">
        <v>1</v>
      </c>
      <c r="H652" t="s">
        <v>806</v>
      </c>
      <c r="I652">
        <v>1</v>
      </c>
      <c r="J652">
        <v>25.645199999999999</v>
      </c>
      <c r="K652">
        <v>3.0226000000000002</v>
      </c>
    </row>
    <row r="653" spans="1:11" x14ac:dyDescent="0.2">
      <c r="A653">
        <v>88137</v>
      </c>
      <c r="B653" t="s">
        <v>1395</v>
      </c>
      <c r="C653" t="str">
        <f t="shared" si="10"/>
        <v>TWSA</v>
      </c>
      <c r="D653" t="s">
        <v>807</v>
      </c>
      <c r="E653">
        <v>6</v>
      </c>
      <c r="F653" t="s">
        <v>811</v>
      </c>
      <c r="G653">
        <v>1</v>
      </c>
      <c r="H653" t="s">
        <v>806</v>
      </c>
      <c r="I653">
        <v>1</v>
      </c>
      <c r="J653">
        <v>25.611999999999998</v>
      </c>
      <c r="K653">
        <v>3.0081000000000002</v>
      </c>
    </row>
    <row r="654" spans="1:11" x14ac:dyDescent="0.2">
      <c r="A654">
        <v>88160</v>
      </c>
      <c r="B654" t="s">
        <v>1406</v>
      </c>
      <c r="C654" t="str">
        <f t="shared" si="10"/>
        <v>VCTY</v>
      </c>
      <c r="D654" t="s">
        <v>804</v>
      </c>
      <c r="E654">
        <v>6</v>
      </c>
      <c r="F654" t="s">
        <v>811</v>
      </c>
      <c r="G654">
        <v>1</v>
      </c>
      <c r="H654" t="s">
        <v>806</v>
      </c>
      <c r="I654">
        <v>1</v>
      </c>
      <c r="J654">
        <v>0</v>
      </c>
      <c r="K654">
        <v>0</v>
      </c>
    </row>
    <row r="655" spans="1:11" x14ac:dyDescent="0.2">
      <c r="A655">
        <v>88160</v>
      </c>
      <c r="B655" t="s">
        <v>1406</v>
      </c>
      <c r="C655" t="str">
        <f t="shared" si="10"/>
        <v>VCTY</v>
      </c>
      <c r="D655" t="s">
        <v>807</v>
      </c>
      <c r="E655">
        <v>6</v>
      </c>
      <c r="F655" t="s">
        <v>811</v>
      </c>
      <c r="G655">
        <v>1</v>
      </c>
      <c r="H655" t="s">
        <v>806</v>
      </c>
      <c r="I655">
        <v>1</v>
      </c>
      <c r="J655">
        <v>0</v>
      </c>
      <c r="K655">
        <v>0</v>
      </c>
    </row>
    <row r="656" spans="1:11" x14ac:dyDescent="0.2">
      <c r="A656">
        <v>88160</v>
      </c>
      <c r="B656" t="s">
        <v>1406</v>
      </c>
      <c r="C656" t="str">
        <f t="shared" si="10"/>
        <v>VCTY</v>
      </c>
      <c r="D656" t="s">
        <v>808</v>
      </c>
      <c r="E656">
        <v>6</v>
      </c>
      <c r="F656" t="s">
        <v>811</v>
      </c>
      <c r="G656">
        <v>1</v>
      </c>
      <c r="H656" t="s">
        <v>806</v>
      </c>
      <c r="I656">
        <v>1</v>
      </c>
      <c r="J656">
        <v>26.267499999999998</v>
      </c>
      <c r="K656">
        <v>4.6638999999999999</v>
      </c>
    </row>
    <row r="657" spans="1:11" x14ac:dyDescent="0.2">
      <c r="A657">
        <v>88160</v>
      </c>
      <c r="B657" t="s">
        <v>1406</v>
      </c>
      <c r="C657" t="str">
        <f t="shared" si="10"/>
        <v>VCTY</v>
      </c>
      <c r="D657" t="s">
        <v>809</v>
      </c>
      <c r="E657">
        <v>6</v>
      </c>
      <c r="F657" t="s">
        <v>811</v>
      </c>
      <c r="G657">
        <v>1</v>
      </c>
      <c r="H657" t="s">
        <v>806</v>
      </c>
      <c r="I657">
        <v>1</v>
      </c>
      <c r="J657">
        <v>26.574000000000002</v>
      </c>
      <c r="K657">
        <v>4.7167000000000003</v>
      </c>
    </row>
    <row r="658" spans="1:11" x14ac:dyDescent="0.2">
      <c r="A658">
        <v>88159</v>
      </c>
      <c r="B658" t="s">
        <v>1410</v>
      </c>
      <c r="C658" t="str">
        <f t="shared" si="10"/>
        <v>WMJU</v>
      </c>
      <c r="D658" t="s">
        <v>804</v>
      </c>
      <c r="E658">
        <v>6</v>
      </c>
      <c r="F658" t="s">
        <v>811</v>
      </c>
      <c r="G658">
        <v>1</v>
      </c>
      <c r="H658" t="s">
        <v>806</v>
      </c>
      <c r="I658">
        <v>1</v>
      </c>
      <c r="J658">
        <v>48.024299999999997</v>
      </c>
      <c r="K658">
        <v>7.7538</v>
      </c>
    </row>
    <row r="659" spans="1:11" x14ac:dyDescent="0.2">
      <c r="A659">
        <v>88159</v>
      </c>
      <c r="B659" t="s">
        <v>1410</v>
      </c>
      <c r="C659" t="str">
        <f t="shared" si="10"/>
        <v>WMJU</v>
      </c>
      <c r="D659" t="s">
        <v>807</v>
      </c>
      <c r="E659">
        <v>6</v>
      </c>
      <c r="F659" t="s">
        <v>811</v>
      </c>
      <c r="G659">
        <v>1</v>
      </c>
      <c r="H659" t="s">
        <v>806</v>
      </c>
      <c r="I659">
        <v>1</v>
      </c>
      <c r="J659">
        <v>48.085500000000003</v>
      </c>
      <c r="K659">
        <v>7.7621000000000002</v>
      </c>
    </row>
    <row r="660" spans="1:11" x14ac:dyDescent="0.2">
      <c r="A660">
        <v>96152</v>
      </c>
      <c r="B660" t="s">
        <v>829</v>
      </c>
      <c r="C660" t="str">
        <f t="shared" si="10"/>
        <v>AMID</v>
      </c>
      <c r="D660" t="s">
        <v>804</v>
      </c>
      <c r="E660">
        <v>7</v>
      </c>
      <c r="F660" t="s">
        <v>830</v>
      </c>
      <c r="G660">
        <v>1</v>
      </c>
      <c r="H660" t="s">
        <v>806</v>
      </c>
      <c r="I660">
        <v>1</v>
      </c>
      <c r="J660">
        <v>6.7225000000000001</v>
      </c>
      <c r="K660">
        <v>1.3233999999999999</v>
      </c>
    </row>
    <row r="661" spans="1:11" x14ac:dyDescent="0.2">
      <c r="A661">
        <v>96152</v>
      </c>
      <c r="B661" t="s">
        <v>829</v>
      </c>
      <c r="C661" t="str">
        <f t="shared" si="10"/>
        <v>AMID</v>
      </c>
      <c r="D661" t="s">
        <v>807</v>
      </c>
      <c r="E661">
        <v>7</v>
      </c>
      <c r="F661" t="s">
        <v>830</v>
      </c>
      <c r="G661">
        <v>1</v>
      </c>
      <c r="H661" t="s">
        <v>806</v>
      </c>
      <c r="I661">
        <v>1</v>
      </c>
      <c r="J661">
        <v>7.4691000000000001</v>
      </c>
      <c r="K661">
        <v>2.0813999999999999</v>
      </c>
    </row>
    <row r="662" spans="1:11" x14ac:dyDescent="0.2">
      <c r="A662">
        <v>96152</v>
      </c>
      <c r="B662" t="s">
        <v>829</v>
      </c>
      <c r="C662" t="str">
        <f t="shared" si="10"/>
        <v>AMID</v>
      </c>
      <c r="D662" t="s">
        <v>808</v>
      </c>
      <c r="E662">
        <v>7</v>
      </c>
      <c r="F662" t="s">
        <v>830</v>
      </c>
      <c r="G662">
        <v>1</v>
      </c>
      <c r="H662" t="s">
        <v>806</v>
      </c>
      <c r="I662">
        <v>1</v>
      </c>
      <c r="J662">
        <v>31.955500000000001</v>
      </c>
      <c r="K662">
        <v>4.9268999999999998</v>
      </c>
    </row>
    <row r="663" spans="1:11" x14ac:dyDescent="0.2">
      <c r="A663">
        <v>96152</v>
      </c>
      <c r="B663" t="s">
        <v>829</v>
      </c>
      <c r="C663" t="str">
        <f t="shared" si="10"/>
        <v>AMID</v>
      </c>
      <c r="D663" t="s">
        <v>809</v>
      </c>
      <c r="E663">
        <v>7</v>
      </c>
      <c r="F663" t="s">
        <v>830</v>
      </c>
      <c r="G663">
        <v>1</v>
      </c>
      <c r="H663" t="s">
        <v>806</v>
      </c>
      <c r="I663">
        <v>1</v>
      </c>
      <c r="J663">
        <v>31.603400000000001</v>
      </c>
      <c r="K663">
        <v>4.9145000000000003</v>
      </c>
    </row>
    <row r="664" spans="1:11" x14ac:dyDescent="0.2">
      <c r="A664">
        <v>96138</v>
      </c>
      <c r="B664" t="s">
        <v>850</v>
      </c>
      <c r="C664" t="str">
        <f t="shared" si="10"/>
        <v>BAHA</v>
      </c>
      <c r="D664" t="s">
        <v>804</v>
      </c>
      <c r="E664">
        <v>7</v>
      </c>
      <c r="F664" t="s">
        <v>830</v>
      </c>
      <c r="G664">
        <v>1</v>
      </c>
      <c r="H664" t="s">
        <v>806</v>
      </c>
      <c r="I664">
        <v>1</v>
      </c>
      <c r="J664">
        <v>12.4001</v>
      </c>
      <c r="K664">
        <v>0.74870000000000003</v>
      </c>
    </row>
    <row r="665" spans="1:11" x14ac:dyDescent="0.2">
      <c r="A665">
        <v>96138</v>
      </c>
      <c r="B665" t="s">
        <v>850</v>
      </c>
      <c r="C665" t="str">
        <f t="shared" si="10"/>
        <v>BAHA</v>
      </c>
      <c r="D665" t="s">
        <v>807</v>
      </c>
      <c r="E665">
        <v>7</v>
      </c>
      <c r="F665" t="s">
        <v>830</v>
      </c>
      <c r="G665">
        <v>1</v>
      </c>
      <c r="H665" t="s">
        <v>806</v>
      </c>
      <c r="I665">
        <v>1</v>
      </c>
      <c r="J665">
        <v>12.3835</v>
      </c>
      <c r="K665">
        <v>0.7611</v>
      </c>
    </row>
    <row r="666" spans="1:11" x14ac:dyDescent="0.2">
      <c r="A666">
        <v>96138</v>
      </c>
      <c r="B666" t="s">
        <v>850</v>
      </c>
      <c r="C666" t="str">
        <f t="shared" si="10"/>
        <v>BAHA</v>
      </c>
      <c r="D666" t="s">
        <v>808</v>
      </c>
      <c r="E666">
        <v>7</v>
      </c>
      <c r="F666" t="s">
        <v>830</v>
      </c>
      <c r="G666">
        <v>1</v>
      </c>
      <c r="H666" t="s">
        <v>806</v>
      </c>
      <c r="I666">
        <v>1</v>
      </c>
      <c r="J666">
        <v>5.4177</v>
      </c>
      <c r="K666">
        <v>-2.4157999999999999</v>
      </c>
    </row>
    <row r="667" spans="1:11" x14ac:dyDescent="0.2">
      <c r="A667">
        <v>96138</v>
      </c>
      <c r="B667" t="s">
        <v>850</v>
      </c>
      <c r="C667" t="str">
        <f t="shared" si="10"/>
        <v>BAHA</v>
      </c>
      <c r="D667" t="s">
        <v>809</v>
      </c>
      <c r="E667">
        <v>7</v>
      </c>
      <c r="F667" t="s">
        <v>830</v>
      </c>
      <c r="G667">
        <v>1</v>
      </c>
      <c r="H667" t="s">
        <v>806</v>
      </c>
      <c r="I667">
        <v>1</v>
      </c>
      <c r="J667">
        <v>5.4673999999999996</v>
      </c>
      <c r="K667">
        <v>-2.4314</v>
      </c>
    </row>
    <row r="668" spans="1:11" x14ac:dyDescent="0.2">
      <c r="A668">
        <v>96146</v>
      </c>
      <c r="B668" t="s">
        <v>856</v>
      </c>
      <c r="C668" t="str">
        <f t="shared" si="10"/>
        <v>BBNL</v>
      </c>
      <c r="D668" t="s">
        <v>804</v>
      </c>
      <c r="E668">
        <v>7</v>
      </c>
      <c r="F668" t="s">
        <v>830</v>
      </c>
      <c r="G668">
        <v>1</v>
      </c>
      <c r="H668" t="s">
        <v>806</v>
      </c>
      <c r="I668">
        <v>1</v>
      </c>
      <c r="J668">
        <v>1.1059000000000001</v>
      </c>
      <c r="K668">
        <v>-0.49080000000000001</v>
      </c>
    </row>
    <row r="669" spans="1:11" x14ac:dyDescent="0.2">
      <c r="A669">
        <v>96146</v>
      </c>
      <c r="B669" t="s">
        <v>856</v>
      </c>
      <c r="C669" t="str">
        <f t="shared" si="10"/>
        <v>BBNL</v>
      </c>
      <c r="D669" t="s">
        <v>807</v>
      </c>
      <c r="E669">
        <v>7</v>
      </c>
      <c r="F669" t="s">
        <v>830</v>
      </c>
      <c r="G669">
        <v>1</v>
      </c>
      <c r="H669" t="s">
        <v>806</v>
      </c>
      <c r="I669">
        <v>1</v>
      </c>
      <c r="J669">
        <v>2.1</v>
      </c>
      <c r="K669">
        <v>-0.17810000000000001</v>
      </c>
    </row>
    <row r="670" spans="1:11" x14ac:dyDescent="0.2">
      <c r="A670">
        <v>96192</v>
      </c>
      <c r="B670" t="s">
        <v>880</v>
      </c>
      <c r="C670" t="str">
        <f t="shared" si="10"/>
        <v>BKPY</v>
      </c>
      <c r="D670" t="s">
        <v>804</v>
      </c>
      <c r="E670">
        <v>7</v>
      </c>
      <c r="F670" t="s">
        <v>830</v>
      </c>
      <c r="G670">
        <v>1</v>
      </c>
      <c r="H670" t="s">
        <v>806</v>
      </c>
      <c r="I670">
        <v>1</v>
      </c>
      <c r="J670">
        <v>9.4189000000000007</v>
      </c>
      <c r="K670">
        <v>1.9447000000000001</v>
      </c>
    </row>
    <row r="671" spans="1:11" x14ac:dyDescent="0.2">
      <c r="A671">
        <v>96192</v>
      </c>
      <c r="B671" t="s">
        <v>880</v>
      </c>
      <c r="C671" t="str">
        <f t="shared" si="10"/>
        <v>BKPY</v>
      </c>
      <c r="D671" t="s">
        <v>807</v>
      </c>
      <c r="E671">
        <v>7</v>
      </c>
      <c r="F671" t="s">
        <v>830</v>
      </c>
      <c r="G671">
        <v>1</v>
      </c>
      <c r="H671" t="s">
        <v>806</v>
      </c>
      <c r="I671">
        <v>1</v>
      </c>
      <c r="J671">
        <v>12.909599999999999</v>
      </c>
      <c r="K671">
        <v>1.8629</v>
      </c>
    </row>
    <row r="672" spans="1:11" x14ac:dyDescent="0.2">
      <c r="A672">
        <v>96176</v>
      </c>
      <c r="B672" t="s">
        <v>934</v>
      </c>
      <c r="C672" t="str">
        <f t="shared" si="10"/>
        <v>CMBG</v>
      </c>
      <c r="D672" t="s">
        <v>809</v>
      </c>
      <c r="E672">
        <v>7</v>
      </c>
      <c r="F672" t="s">
        <v>830</v>
      </c>
      <c r="G672">
        <v>1</v>
      </c>
      <c r="H672" t="s">
        <v>806</v>
      </c>
      <c r="I672">
        <v>1</v>
      </c>
      <c r="J672">
        <v>18.732199999999999</v>
      </c>
      <c r="K672">
        <v>1.8743000000000001</v>
      </c>
    </row>
    <row r="673" spans="1:11" x14ac:dyDescent="0.2">
      <c r="A673">
        <v>96140</v>
      </c>
      <c r="B673" t="s">
        <v>973</v>
      </c>
      <c r="C673" t="str">
        <f t="shared" si="10"/>
        <v>GMAS</v>
      </c>
      <c r="D673" t="s">
        <v>804</v>
      </c>
      <c r="E673">
        <v>7</v>
      </c>
      <c r="F673" t="s">
        <v>830</v>
      </c>
      <c r="G673">
        <v>1</v>
      </c>
      <c r="H673" t="s">
        <v>806</v>
      </c>
      <c r="I673">
        <v>1</v>
      </c>
      <c r="J673">
        <v>13.185</v>
      </c>
      <c r="K673">
        <v>2.0316000000000001</v>
      </c>
    </row>
    <row r="674" spans="1:11" x14ac:dyDescent="0.2">
      <c r="A674">
        <v>96140</v>
      </c>
      <c r="B674" t="s">
        <v>973</v>
      </c>
      <c r="C674" t="str">
        <f t="shared" si="10"/>
        <v>GMAS</v>
      </c>
      <c r="D674" t="s">
        <v>807</v>
      </c>
      <c r="E674">
        <v>7</v>
      </c>
      <c r="F674" t="s">
        <v>830</v>
      </c>
      <c r="G674">
        <v>1</v>
      </c>
      <c r="H674" t="s">
        <v>806</v>
      </c>
      <c r="I674">
        <v>1</v>
      </c>
      <c r="J674">
        <v>8.3408999999999995</v>
      </c>
      <c r="K674">
        <v>1.7138</v>
      </c>
    </row>
    <row r="675" spans="1:11" x14ac:dyDescent="0.2">
      <c r="A675">
        <v>96112</v>
      </c>
      <c r="B675" t="s">
        <v>1054</v>
      </c>
      <c r="C675" t="str">
        <f t="shared" si="10"/>
        <v>KKWG</v>
      </c>
      <c r="D675" t="s">
        <v>804</v>
      </c>
      <c r="E675">
        <v>7</v>
      </c>
      <c r="F675" t="s">
        <v>830</v>
      </c>
      <c r="G675">
        <v>1</v>
      </c>
      <c r="H675" t="s">
        <v>806</v>
      </c>
      <c r="I675">
        <v>1</v>
      </c>
      <c r="J675">
        <v>4.9931999999999999</v>
      </c>
      <c r="K675">
        <v>-1.1296999999999999</v>
      </c>
    </row>
    <row r="676" spans="1:11" x14ac:dyDescent="0.2">
      <c r="A676">
        <v>96112</v>
      </c>
      <c r="B676" t="s">
        <v>1054</v>
      </c>
      <c r="C676" t="str">
        <f t="shared" si="10"/>
        <v>KKWG</v>
      </c>
      <c r="D676" t="s">
        <v>807</v>
      </c>
      <c r="E676">
        <v>7</v>
      </c>
      <c r="F676" t="s">
        <v>830</v>
      </c>
      <c r="G676">
        <v>1</v>
      </c>
      <c r="H676" t="s">
        <v>806</v>
      </c>
      <c r="I676">
        <v>1</v>
      </c>
      <c r="J676">
        <v>5.0065999999999997</v>
      </c>
      <c r="K676">
        <v>-1.1504000000000001</v>
      </c>
    </row>
    <row r="677" spans="1:11" x14ac:dyDescent="0.2">
      <c r="A677">
        <v>96132</v>
      </c>
      <c r="B677" t="s">
        <v>1057</v>
      </c>
      <c r="C677" t="str">
        <f t="shared" si="10"/>
        <v>KLAT</v>
      </c>
      <c r="D677" t="s">
        <v>804</v>
      </c>
      <c r="E677">
        <v>7</v>
      </c>
      <c r="F677" t="s">
        <v>830</v>
      </c>
      <c r="G677">
        <v>1</v>
      </c>
      <c r="H677" t="s">
        <v>806</v>
      </c>
      <c r="I677">
        <v>1</v>
      </c>
      <c r="J677">
        <v>13.741099999999999</v>
      </c>
      <c r="K677">
        <v>1.8277000000000001</v>
      </c>
    </row>
    <row r="678" spans="1:11" x14ac:dyDescent="0.2">
      <c r="A678">
        <v>96132</v>
      </c>
      <c r="B678" t="s">
        <v>1057</v>
      </c>
      <c r="C678" t="str">
        <f t="shared" si="10"/>
        <v>KLAT</v>
      </c>
      <c r="D678" t="s">
        <v>807</v>
      </c>
      <c r="E678">
        <v>7</v>
      </c>
      <c r="F678" t="s">
        <v>830</v>
      </c>
      <c r="G678">
        <v>1</v>
      </c>
      <c r="H678" t="s">
        <v>806</v>
      </c>
      <c r="I678">
        <v>1</v>
      </c>
      <c r="J678">
        <v>9.5855999999999995</v>
      </c>
      <c r="K678">
        <v>1.2145999999999999</v>
      </c>
    </row>
    <row r="679" spans="1:11" x14ac:dyDescent="0.2">
      <c r="A679">
        <v>96137</v>
      </c>
      <c r="B679" t="s">
        <v>1077</v>
      </c>
      <c r="C679" t="str">
        <f t="shared" si="10"/>
        <v>KPLH</v>
      </c>
      <c r="D679" t="s">
        <v>804</v>
      </c>
      <c r="E679">
        <v>7</v>
      </c>
      <c r="F679" t="s">
        <v>830</v>
      </c>
      <c r="G679">
        <v>1</v>
      </c>
      <c r="H679" t="s">
        <v>806</v>
      </c>
      <c r="I679">
        <v>1</v>
      </c>
      <c r="J679">
        <v>15.5283</v>
      </c>
      <c r="K679">
        <v>0.14699999999999999</v>
      </c>
    </row>
    <row r="680" spans="1:11" x14ac:dyDescent="0.2">
      <c r="A680">
        <v>96137</v>
      </c>
      <c r="B680" t="s">
        <v>1077</v>
      </c>
      <c r="C680" t="str">
        <f t="shared" si="10"/>
        <v>KPLH</v>
      </c>
      <c r="D680" t="s">
        <v>807</v>
      </c>
      <c r="E680">
        <v>7</v>
      </c>
      <c r="F680" t="s">
        <v>830</v>
      </c>
      <c r="G680">
        <v>1</v>
      </c>
      <c r="H680" t="s">
        <v>806</v>
      </c>
      <c r="I680">
        <v>1</v>
      </c>
      <c r="J680">
        <v>12.6579</v>
      </c>
      <c r="K680">
        <v>-0.46179999999999999</v>
      </c>
    </row>
    <row r="681" spans="1:11" x14ac:dyDescent="0.2">
      <c r="A681">
        <v>96134</v>
      </c>
      <c r="B681" t="s">
        <v>1124</v>
      </c>
      <c r="C681" t="str">
        <f t="shared" si="10"/>
        <v>LKUT</v>
      </c>
      <c r="D681" t="s">
        <v>804</v>
      </c>
      <c r="E681">
        <v>7</v>
      </c>
      <c r="F681" t="s">
        <v>830</v>
      </c>
      <c r="G681">
        <v>1</v>
      </c>
      <c r="H681" t="s">
        <v>806</v>
      </c>
      <c r="I681">
        <v>1</v>
      </c>
      <c r="J681">
        <v>12.0335</v>
      </c>
      <c r="K681">
        <v>0.57679999999999998</v>
      </c>
    </row>
    <row r="682" spans="1:11" x14ac:dyDescent="0.2">
      <c r="A682">
        <v>96134</v>
      </c>
      <c r="B682" t="s">
        <v>1124</v>
      </c>
      <c r="C682" t="str">
        <f t="shared" si="10"/>
        <v>LKUT</v>
      </c>
      <c r="D682" t="s">
        <v>807</v>
      </c>
      <c r="E682">
        <v>7</v>
      </c>
      <c r="F682" t="s">
        <v>830</v>
      </c>
      <c r="G682">
        <v>1</v>
      </c>
      <c r="H682" t="s">
        <v>806</v>
      </c>
      <c r="I682">
        <v>1</v>
      </c>
      <c r="J682">
        <v>0</v>
      </c>
      <c r="K682">
        <v>0</v>
      </c>
    </row>
    <row r="683" spans="1:11" x14ac:dyDescent="0.2">
      <c r="A683">
        <v>96134</v>
      </c>
      <c r="B683" t="s">
        <v>1124</v>
      </c>
      <c r="C683" t="str">
        <f t="shared" si="10"/>
        <v>LKUT</v>
      </c>
      <c r="D683" t="s">
        <v>808</v>
      </c>
      <c r="E683">
        <v>7</v>
      </c>
      <c r="F683" t="s">
        <v>830</v>
      </c>
      <c r="G683">
        <v>1</v>
      </c>
      <c r="H683" t="s">
        <v>806</v>
      </c>
      <c r="I683">
        <v>1</v>
      </c>
      <c r="J683">
        <v>14.010300000000001</v>
      </c>
      <c r="K683">
        <v>1.7293000000000001</v>
      </c>
    </row>
    <row r="684" spans="1:11" x14ac:dyDescent="0.2">
      <c r="A684">
        <v>96134</v>
      </c>
      <c r="B684" t="s">
        <v>1124</v>
      </c>
      <c r="C684" t="str">
        <f t="shared" si="10"/>
        <v>LKUT</v>
      </c>
      <c r="D684" t="s">
        <v>809</v>
      </c>
      <c r="E684">
        <v>7</v>
      </c>
      <c r="F684" t="s">
        <v>830</v>
      </c>
      <c r="G684">
        <v>1</v>
      </c>
      <c r="H684" t="s">
        <v>806</v>
      </c>
      <c r="I684">
        <v>1</v>
      </c>
      <c r="J684">
        <v>14.062099999999999</v>
      </c>
      <c r="K684">
        <v>1.7189000000000001</v>
      </c>
    </row>
    <row r="685" spans="1:11" x14ac:dyDescent="0.2">
      <c r="A685">
        <v>96156</v>
      </c>
      <c r="B685" t="s">
        <v>1162</v>
      </c>
      <c r="C685" t="str">
        <f t="shared" si="10"/>
        <v>MTIN</v>
      </c>
      <c r="D685" t="s">
        <v>808</v>
      </c>
      <c r="E685">
        <v>7</v>
      </c>
      <c r="F685" t="s">
        <v>830</v>
      </c>
      <c r="G685">
        <v>1</v>
      </c>
      <c r="H685" t="s">
        <v>806</v>
      </c>
      <c r="I685">
        <v>1</v>
      </c>
      <c r="J685">
        <v>0</v>
      </c>
      <c r="K685">
        <v>0</v>
      </c>
    </row>
    <row r="686" spans="1:11" x14ac:dyDescent="0.2">
      <c r="A686">
        <v>96156</v>
      </c>
      <c r="B686" t="s">
        <v>1162</v>
      </c>
      <c r="C686" t="str">
        <f t="shared" si="10"/>
        <v>MTIN</v>
      </c>
      <c r="D686" t="s">
        <v>809</v>
      </c>
      <c r="E686">
        <v>7</v>
      </c>
      <c r="F686" t="s">
        <v>830</v>
      </c>
      <c r="G686">
        <v>1</v>
      </c>
      <c r="H686" t="s">
        <v>806</v>
      </c>
      <c r="I686">
        <v>1</v>
      </c>
      <c r="J686">
        <v>19.993400000000001</v>
      </c>
      <c r="K686">
        <v>2.2936000000000001</v>
      </c>
    </row>
    <row r="687" spans="1:11" x14ac:dyDescent="0.2">
      <c r="A687">
        <v>96125</v>
      </c>
      <c r="B687" t="s">
        <v>1175</v>
      </c>
      <c r="C687" t="str">
        <f t="shared" si="10"/>
        <v>NLAI</v>
      </c>
      <c r="D687" t="s">
        <v>804</v>
      </c>
      <c r="E687">
        <v>7</v>
      </c>
      <c r="F687" t="s">
        <v>830</v>
      </c>
      <c r="G687">
        <v>1</v>
      </c>
      <c r="H687" t="s">
        <v>806</v>
      </c>
      <c r="I687">
        <v>1</v>
      </c>
      <c r="J687">
        <v>9.9376999999999995</v>
      </c>
      <c r="K687">
        <v>1.8825000000000001</v>
      </c>
    </row>
    <row r="688" spans="1:11" x14ac:dyDescent="0.2">
      <c r="A688">
        <v>96125</v>
      </c>
      <c r="B688" t="s">
        <v>1175</v>
      </c>
      <c r="C688" t="str">
        <f t="shared" si="10"/>
        <v>NLAI</v>
      </c>
      <c r="D688" t="s">
        <v>807</v>
      </c>
      <c r="E688">
        <v>7</v>
      </c>
      <c r="F688" t="s">
        <v>830</v>
      </c>
      <c r="G688">
        <v>1</v>
      </c>
      <c r="H688" t="s">
        <v>806</v>
      </c>
      <c r="I688">
        <v>1</v>
      </c>
      <c r="J688">
        <v>5.0034999999999998</v>
      </c>
      <c r="K688">
        <v>0.80979999999999996</v>
      </c>
    </row>
    <row r="689" spans="1:11" x14ac:dyDescent="0.2">
      <c r="A689">
        <v>96136</v>
      </c>
      <c r="B689" t="s">
        <v>1190</v>
      </c>
      <c r="C689" t="str">
        <f t="shared" si="10"/>
        <v>PBSR</v>
      </c>
      <c r="D689" t="s">
        <v>804</v>
      </c>
      <c r="E689">
        <v>7</v>
      </c>
      <c r="F689" t="s">
        <v>830</v>
      </c>
      <c r="G689">
        <v>1</v>
      </c>
      <c r="H689" t="s">
        <v>806</v>
      </c>
      <c r="I689">
        <v>1</v>
      </c>
      <c r="J689">
        <v>13.222300000000001</v>
      </c>
      <c r="K689">
        <v>-1.7210000000000001</v>
      </c>
    </row>
    <row r="690" spans="1:11" x14ac:dyDescent="0.2">
      <c r="A690">
        <v>96136</v>
      </c>
      <c r="B690" t="s">
        <v>1190</v>
      </c>
      <c r="C690" t="str">
        <f t="shared" si="10"/>
        <v>PBSR</v>
      </c>
      <c r="D690" t="s">
        <v>807</v>
      </c>
      <c r="E690">
        <v>7</v>
      </c>
      <c r="F690" t="s">
        <v>830</v>
      </c>
      <c r="G690">
        <v>1</v>
      </c>
      <c r="H690" t="s">
        <v>806</v>
      </c>
      <c r="I690">
        <v>1</v>
      </c>
      <c r="J690">
        <v>12.3825</v>
      </c>
      <c r="K690">
        <v>-0.2185</v>
      </c>
    </row>
    <row r="691" spans="1:11" x14ac:dyDescent="0.2">
      <c r="A691">
        <v>96188</v>
      </c>
      <c r="B691" t="s">
        <v>1213</v>
      </c>
      <c r="C691" t="str">
        <f t="shared" si="10"/>
        <v>PJAM</v>
      </c>
      <c r="D691" t="s">
        <v>804</v>
      </c>
      <c r="E691">
        <v>7</v>
      </c>
      <c r="F691" t="s">
        <v>830</v>
      </c>
      <c r="G691">
        <v>1</v>
      </c>
      <c r="H691" t="s">
        <v>806</v>
      </c>
      <c r="I691">
        <v>1</v>
      </c>
      <c r="J691">
        <v>7.5716000000000001</v>
      </c>
      <c r="K691">
        <v>-0.36349999999999999</v>
      </c>
    </row>
    <row r="692" spans="1:11" x14ac:dyDescent="0.2">
      <c r="A692">
        <v>96188</v>
      </c>
      <c r="B692" t="s">
        <v>1213</v>
      </c>
      <c r="C692" t="str">
        <f t="shared" si="10"/>
        <v>PJAM</v>
      </c>
      <c r="D692" t="s">
        <v>807</v>
      </c>
      <c r="E692">
        <v>7</v>
      </c>
      <c r="F692" t="s">
        <v>830</v>
      </c>
      <c r="G692">
        <v>1</v>
      </c>
      <c r="H692" t="s">
        <v>806</v>
      </c>
      <c r="I692">
        <v>1</v>
      </c>
      <c r="J692">
        <v>7.1501000000000001</v>
      </c>
      <c r="K692">
        <v>0.86260000000000003</v>
      </c>
    </row>
    <row r="693" spans="1:11" x14ac:dyDescent="0.2">
      <c r="A693">
        <v>96188</v>
      </c>
      <c r="B693" t="s">
        <v>1213</v>
      </c>
      <c r="C693" t="str">
        <f t="shared" si="10"/>
        <v>PJAM</v>
      </c>
      <c r="D693" t="s">
        <v>808</v>
      </c>
      <c r="E693">
        <v>7</v>
      </c>
      <c r="F693" t="s">
        <v>830</v>
      </c>
      <c r="G693">
        <v>1</v>
      </c>
      <c r="H693" t="s">
        <v>806</v>
      </c>
      <c r="I693">
        <v>1</v>
      </c>
      <c r="J693">
        <v>2.7751000000000001</v>
      </c>
      <c r="K693">
        <v>-3.1375999999999999</v>
      </c>
    </row>
    <row r="694" spans="1:11" x14ac:dyDescent="0.2">
      <c r="A694">
        <v>96188</v>
      </c>
      <c r="B694" t="s">
        <v>1213</v>
      </c>
      <c r="C694" t="str">
        <f t="shared" si="10"/>
        <v>PJAM</v>
      </c>
      <c r="D694" t="s">
        <v>809</v>
      </c>
      <c r="E694">
        <v>7</v>
      </c>
      <c r="F694" t="s">
        <v>830</v>
      </c>
      <c r="G694">
        <v>1</v>
      </c>
      <c r="H694" t="s">
        <v>806</v>
      </c>
      <c r="I694">
        <v>1</v>
      </c>
      <c r="J694">
        <v>2.9615</v>
      </c>
      <c r="K694">
        <v>2.2780999999999998</v>
      </c>
    </row>
    <row r="695" spans="1:11" x14ac:dyDescent="0.2">
      <c r="A695">
        <v>96158</v>
      </c>
      <c r="B695" t="s">
        <v>1242</v>
      </c>
      <c r="C695" t="str">
        <f t="shared" si="10"/>
        <v>PROI</v>
      </c>
      <c r="D695" t="s">
        <v>804</v>
      </c>
      <c r="E695">
        <v>7</v>
      </c>
      <c r="F695" t="s">
        <v>830</v>
      </c>
      <c r="G695">
        <v>1</v>
      </c>
      <c r="H695" t="s">
        <v>806</v>
      </c>
      <c r="I695">
        <v>1</v>
      </c>
      <c r="J695">
        <v>12.248900000000001</v>
      </c>
      <c r="K695">
        <v>1.5274000000000001</v>
      </c>
    </row>
    <row r="696" spans="1:11" x14ac:dyDescent="0.2">
      <c r="A696">
        <v>96158</v>
      </c>
      <c r="B696" t="s">
        <v>1242</v>
      </c>
      <c r="C696" t="str">
        <f t="shared" si="10"/>
        <v>PROI</v>
      </c>
      <c r="D696" t="s">
        <v>807</v>
      </c>
      <c r="E696">
        <v>7</v>
      </c>
      <c r="F696" t="s">
        <v>830</v>
      </c>
      <c r="G696">
        <v>1</v>
      </c>
      <c r="H696" t="s">
        <v>806</v>
      </c>
      <c r="I696">
        <v>1</v>
      </c>
      <c r="J696">
        <v>15.4734</v>
      </c>
      <c r="K696">
        <v>2.7968999999999999</v>
      </c>
    </row>
    <row r="697" spans="1:11" x14ac:dyDescent="0.2">
      <c r="A697">
        <v>96158</v>
      </c>
      <c r="B697" t="s">
        <v>1242</v>
      </c>
      <c r="C697" t="str">
        <f t="shared" si="10"/>
        <v>PROI</v>
      </c>
      <c r="D697" t="s">
        <v>808</v>
      </c>
      <c r="E697">
        <v>7</v>
      </c>
      <c r="F697" t="s">
        <v>830</v>
      </c>
      <c r="G697">
        <v>1</v>
      </c>
      <c r="H697" t="s">
        <v>806</v>
      </c>
      <c r="I697">
        <v>1</v>
      </c>
      <c r="J697">
        <v>27.262599999999999</v>
      </c>
      <c r="K697">
        <v>3.3229000000000002</v>
      </c>
    </row>
    <row r="698" spans="1:11" x14ac:dyDescent="0.2">
      <c r="A698">
        <v>96158</v>
      </c>
      <c r="B698" t="s">
        <v>1242</v>
      </c>
      <c r="C698" t="str">
        <f t="shared" si="10"/>
        <v>PROI</v>
      </c>
      <c r="D698" t="s">
        <v>809</v>
      </c>
      <c r="E698">
        <v>7</v>
      </c>
      <c r="F698" t="s">
        <v>830</v>
      </c>
      <c r="G698">
        <v>1</v>
      </c>
      <c r="H698" t="s">
        <v>806</v>
      </c>
      <c r="I698">
        <v>1</v>
      </c>
      <c r="J698">
        <v>27.339200000000002</v>
      </c>
      <c r="K698">
        <v>3.0194999999999999</v>
      </c>
    </row>
    <row r="699" spans="1:11" x14ac:dyDescent="0.2">
      <c r="A699">
        <v>96117</v>
      </c>
      <c r="B699" t="s">
        <v>1256</v>
      </c>
      <c r="C699" t="str">
        <f t="shared" si="10"/>
        <v>RASA</v>
      </c>
      <c r="D699" t="s">
        <v>804</v>
      </c>
      <c r="E699">
        <v>7</v>
      </c>
      <c r="F699" t="s">
        <v>830</v>
      </c>
      <c r="G699">
        <v>1</v>
      </c>
      <c r="H699" t="s">
        <v>806</v>
      </c>
      <c r="I699">
        <v>1</v>
      </c>
      <c r="J699">
        <v>9.6850000000000005</v>
      </c>
      <c r="K699">
        <v>1.1721999999999999</v>
      </c>
    </row>
    <row r="700" spans="1:11" x14ac:dyDescent="0.2">
      <c r="A700">
        <v>96117</v>
      </c>
      <c r="B700" t="s">
        <v>1256</v>
      </c>
      <c r="C700" t="str">
        <f t="shared" si="10"/>
        <v>RASA</v>
      </c>
      <c r="D700" t="s">
        <v>807</v>
      </c>
      <c r="E700">
        <v>7</v>
      </c>
      <c r="F700" t="s">
        <v>830</v>
      </c>
      <c r="G700">
        <v>1</v>
      </c>
      <c r="H700" t="s">
        <v>806</v>
      </c>
      <c r="I700">
        <v>1</v>
      </c>
      <c r="J700">
        <v>9.6725999999999992</v>
      </c>
      <c r="K700">
        <v>1.0583</v>
      </c>
    </row>
    <row r="701" spans="1:11" x14ac:dyDescent="0.2">
      <c r="A701">
        <v>96142</v>
      </c>
      <c r="B701" t="s">
        <v>1263</v>
      </c>
      <c r="C701" t="str">
        <f t="shared" si="10"/>
        <v>RTAU</v>
      </c>
      <c r="D701" t="s">
        <v>804</v>
      </c>
      <c r="E701">
        <v>7</v>
      </c>
      <c r="F701" t="s">
        <v>830</v>
      </c>
      <c r="G701">
        <v>1</v>
      </c>
      <c r="H701" t="s">
        <v>806</v>
      </c>
      <c r="I701">
        <v>1</v>
      </c>
      <c r="J701">
        <v>8.7706999999999997</v>
      </c>
      <c r="K701">
        <v>1.109</v>
      </c>
    </row>
    <row r="702" spans="1:11" x14ac:dyDescent="0.2">
      <c r="A702">
        <v>96142</v>
      </c>
      <c r="B702" t="s">
        <v>1263</v>
      </c>
      <c r="C702" t="str">
        <f t="shared" si="10"/>
        <v>RTAU</v>
      </c>
      <c r="D702" t="s">
        <v>807</v>
      </c>
      <c r="E702">
        <v>7</v>
      </c>
      <c r="F702" t="s">
        <v>830</v>
      </c>
      <c r="G702">
        <v>1</v>
      </c>
      <c r="H702" t="s">
        <v>806</v>
      </c>
      <c r="I702">
        <v>1</v>
      </c>
      <c r="J702">
        <v>8.7727000000000004</v>
      </c>
      <c r="K702">
        <v>1.1017999999999999</v>
      </c>
    </row>
    <row r="703" spans="1:11" x14ac:dyDescent="0.2">
      <c r="A703">
        <v>96149</v>
      </c>
      <c r="B703" t="s">
        <v>1268</v>
      </c>
      <c r="C703" t="str">
        <f t="shared" si="10"/>
        <v>SBAN</v>
      </c>
      <c r="D703" t="s">
        <v>804</v>
      </c>
      <c r="E703">
        <v>7</v>
      </c>
      <c r="F703" t="s">
        <v>830</v>
      </c>
      <c r="G703">
        <v>1</v>
      </c>
      <c r="H703" t="s">
        <v>806</v>
      </c>
      <c r="I703">
        <v>1</v>
      </c>
      <c r="J703">
        <v>13.019299999999999</v>
      </c>
      <c r="K703">
        <v>1.839</v>
      </c>
    </row>
    <row r="704" spans="1:11" x14ac:dyDescent="0.2">
      <c r="A704">
        <v>96149</v>
      </c>
      <c r="B704" t="s">
        <v>1268</v>
      </c>
      <c r="C704" t="str">
        <f t="shared" si="10"/>
        <v>SBAN</v>
      </c>
      <c r="D704" t="s">
        <v>807</v>
      </c>
      <c r="E704">
        <v>7</v>
      </c>
      <c r="F704" t="s">
        <v>830</v>
      </c>
      <c r="G704">
        <v>1</v>
      </c>
      <c r="H704" t="s">
        <v>806</v>
      </c>
      <c r="I704">
        <v>1</v>
      </c>
      <c r="J704">
        <v>17.2773</v>
      </c>
      <c r="K704">
        <v>2.1859000000000002</v>
      </c>
    </row>
    <row r="705" spans="1:11" x14ac:dyDescent="0.2">
      <c r="A705">
        <v>96150</v>
      </c>
      <c r="B705" t="s">
        <v>1278</v>
      </c>
      <c r="C705" t="str">
        <f t="shared" si="10"/>
        <v>SDYN</v>
      </c>
      <c r="D705" t="s">
        <v>804</v>
      </c>
      <c r="E705">
        <v>7</v>
      </c>
      <c r="F705" t="s">
        <v>830</v>
      </c>
      <c r="G705">
        <v>40</v>
      </c>
      <c r="H705" t="s">
        <v>832</v>
      </c>
      <c r="I705">
        <v>1</v>
      </c>
      <c r="J705">
        <v>44.7532</v>
      </c>
      <c r="K705">
        <v>5.4383999999999997</v>
      </c>
    </row>
    <row r="706" spans="1:11" x14ac:dyDescent="0.2">
      <c r="A706">
        <v>96150</v>
      </c>
      <c r="B706" t="s">
        <v>1278</v>
      </c>
      <c r="C706" t="str">
        <f t="shared" si="10"/>
        <v>SDYN</v>
      </c>
      <c r="D706" t="s">
        <v>807</v>
      </c>
      <c r="E706">
        <v>7</v>
      </c>
      <c r="F706" t="s">
        <v>830</v>
      </c>
      <c r="G706">
        <v>40</v>
      </c>
      <c r="H706" t="s">
        <v>832</v>
      </c>
      <c r="I706">
        <v>1</v>
      </c>
      <c r="J706">
        <v>45.031799999999997</v>
      </c>
      <c r="K706">
        <v>5.4673999999999996</v>
      </c>
    </row>
    <row r="707" spans="1:11" x14ac:dyDescent="0.2">
      <c r="A707">
        <v>51079</v>
      </c>
      <c r="B707" t="s">
        <v>1303</v>
      </c>
      <c r="C707" t="str">
        <f t="shared" ref="C707:C770" si="11">LEFT(B707,4)</f>
        <v>SLTI</v>
      </c>
      <c r="D707" t="s">
        <v>804</v>
      </c>
      <c r="E707">
        <v>7</v>
      </c>
      <c r="F707" t="s">
        <v>830</v>
      </c>
      <c r="G707">
        <v>1</v>
      </c>
      <c r="H707" t="s">
        <v>806</v>
      </c>
      <c r="I707">
        <v>1</v>
      </c>
      <c r="J707">
        <v>12.6455</v>
      </c>
      <c r="K707">
        <v>0.36449999999999999</v>
      </c>
    </row>
    <row r="708" spans="1:11" x14ac:dyDescent="0.2">
      <c r="A708">
        <v>51079</v>
      </c>
      <c r="B708" t="s">
        <v>1303</v>
      </c>
      <c r="C708" t="str">
        <f t="shared" si="11"/>
        <v>SLTI</v>
      </c>
      <c r="D708" t="s">
        <v>807</v>
      </c>
      <c r="E708">
        <v>7</v>
      </c>
      <c r="F708" t="s">
        <v>830</v>
      </c>
      <c r="G708">
        <v>1</v>
      </c>
      <c r="H708" t="s">
        <v>806</v>
      </c>
      <c r="I708">
        <v>1</v>
      </c>
      <c r="J708">
        <v>15.605</v>
      </c>
      <c r="K708">
        <v>1.7396</v>
      </c>
    </row>
    <row r="709" spans="1:11" x14ac:dyDescent="0.2">
      <c r="A709">
        <v>51079</v>
      </c>
      <c r="B709" t="s">
        <v>1303</v>
      </c>
      <c r="C709" t="str">
        <f t="shared" si="11"/>
        <v>SLTI</v>
      </c>
      <c r="D709" t="s">
        <v>808</v>
      </c>
      <c r="E709">
        <v>7</v>
      </c>
      <c r="F709" t="s">
        <v>830</v>
      </c>
      <c r="G709">
        <v>40</v>
      </c>
      <c r="H709" t="s">
        <v>832</v>
      </c>
      <c r="I709">
        <v>1</v>
      </c>
      <c r="J709">
        <v>4.0281000000000002</v>
      </c>
      <c r="K709">
        <v>-0.55920000000000003</v>
      </c>
    </row>
    <row r="710" spans="1:11" x14ac:dyDescent="0.2">
      <c r="A710">
        <v>51079</v>
      </c>
      <c r="B710" t="s">
        <v>1303</v>
      </c>
      <c r="C710" t="str">
        <f t="shared" si="11"/>
        <v>SLTI</v>
      </c>
      <c r="D710" t="s">
        <v>809</v>
      </c>
      <c r="E710">
        <v>7</v>
      </c>
      <c r="F710" t="s">
        <v>830</v>
      </c>
      <c r="G710">
        <v>40</v>
      </c>
      <c r="H710" t="s">
        <v>832</v>
      </c>
      <c r="I710">
        <v>1</v>
      </c>
      <c r="J710">
        <v>4.0281000000000002</v>
      </c>
      <c r="K710">
        <v>-0.55920000000000003</v>
      </c>
    </row>
    <row r="711" spans="1:11" x14ac:dyDescent="0.2">
      <c r="A711">
        <v>96133</v>
      </c>
      <c r="B711" t="s">
        <v>1305</v>
      </c>
      <c r="C711" t="str">
        <f t="shared" si="11"/>
        <v>SMRK</v>
      </c>
      <c r="D711" t="s">
        <v>804</v>
      </c>
      <c r="E711">
        <v>7</v>
      </c>
      <c r="F711" t="s">
        <v>830</v>
      </c>
      <c r="G711">
        <v>1</v>
      </c>
      <c r="H711" t="s">
        <v>806</v>
      </c>
      <c r="I711">
        <v>1</v>
      </c>
      <c r="J711">
        <v>11.5406</v>
      </c>
      <c r="K711">
        <v>1.8534999999999999</v>
      </c>
    </row>
    <row r="712" spans="1:11" x14ac:dyDescent="0.2">
      <c r="A712">
        <v>96133</v>
      </c>
      <c r="B712" t="s">
        <v>1305</v>
      </c>
      <c r="C712" t="str">
        <f t="shared" si="11"/>
        <v>SMRK</v>
      </c>
      <c r="D712" t="s">
        <v>807</v>
      </c>
      <c r="E712">
        <v>7</v>
      </c>
      <c r="F712" t="s">
        <v>830</v>
      </c>
      <c r="G712">
        <v>1</v>
      </c>
      <c r="H712" t="s">
        <v>806</v>
      </c>
      <c r="I712">
        <v>1</v>
      </c>
      <c r="J712">
        <v>10.801299999999999</v>
      </c>
      <c r="K712">
        <v>2.3713000000000002</v>
      </c>
    </row>
    <row r="713" spans="1:11" x14ac:dyDescent="0.2">
      <c r="A713">
        <v>96143</v>
      </c>
      <c r="B713" t="s">
        <v>1310</v>
      </c>
      <c r="C713" t="str">
        <f t="shared" si="11"/>
        <v>SNWG</v>
      </c>
      <c r="D713" t="s">
        <v>804</v>
      </c>
      <c r="E713">
        <v>7</v>
      </c>
      <c r="F713" t="s">
        <v>830</v>
      </c>
      <c r="G713">
        <v>1</v>
      </c>
      <c r="H713" t="s">
        <v>806</v>
      </c>
      <c r="I713">
        <v>1</v>
      </c>
      <c r="J713">
        <v>2.7027000000000001</v>
      </c>
      <c r="K713">
        <v>-0.94230000000000003</v>
      </c>
    </row>
    <row r="714" spans="1:11" x14ac:dyDescent="0.2">
      <c r="A714">
        <v>96143</v>
      </c>
      <c r="B714" t="s">
        <v>1310</v>
      </c>
      <c r="C714" t="str">
        <f t="shared" si="11"/>
        <v>SNWG</v>
      </c>
      <c r="D714" t="s">
        <v>807</v>
      </c>
      <c r="E714">
        <v>7</v>
      </c>
      <c r="F714" t="s">
        <v>830</v>
      </c>
      <c r="G714">
        <v>1</v>
      </c>
      <c r="H714" t="s">
        <v>806</v>
      </c>
      <c r="I714">
        <v>1</v>
      </c>
      <c r="J714">
        <v>2.6922999999999999</v>
      </c>
      <c r="K714">
        <v>-0.92159999999999997</v>
      </c>
    </row>
    <row r="715" spans="1:11" x14ac:dyDescent="0.2">
      <c r="A715">
        <v>96139</v>
      </c>
      <c r="B715" t="s">
        <v>1318</v>
      </c>
      <c r="C715" t="str">
        <f t="shared" si="11"/>
        <v>SPTG</v>
      </c>
      <c r="D715" t="s">
        <v>804</v>
      </c>
      <c r="E715">
        <v>7</v>
      </c>
      <c r="F715" t="s">
        <v>830</v>
      </c>
      <c r="G715">
        <v>1</v>
      </c>
      <c r="H715" t="s">
        <v>806</v>
      </c>
      <c r="I715">
        <v>1</v>
      </c>
      <c r="J715">
        <v>6.0275999999999996</v>
      </c>
      <c r="K715">
        <v>-0.78590000000000004</v>
      </c>
    </row>
    <row r="716" spans="1:11" x14ac:dyDescent="0.2">
      <c r="A716">
        <v>96139</v>
      </c>
      <c r="B716" t="s">
        <v>1318</v>
      </c>
      <c r="C716" t="str">
        <f t="shared" si="11"/>
        <v>SPTG</v>
      </c>
      <c r="D716" t="s">
        <v>807</v>
      </c>
      <c r="E716">
        <v>7</v>
      </c>
      <c r="F716" t="s">
        <v>830</v>
      </c>
      <c r="G716">
        <v>1</v>
      </c>
      <c r="H716" t="s">
        <v>806</v>
      </c>
      <c r="I716">
        <v>1</v>
      </c>
      <c r="J716">
        <v>6.0991</v>
      </c>
      <c r="K716">
        <v>-0.77769999999999995</v>
      </c>
    </row>
    <row r="717" spans="1:11" x14ac:dyDescent="0.2">
      <c r="A717">
        <v>96139</v>
      </c>
      <c r="B717" t="s">
        <v>1318</v>
      </c>
      <c r="C717" t="str">
        <f t="shared" si="11"/>
        <v>SPTG</v>
      </c>
      <c r="D717" t="s">
        <v>808</v>
      </c>
      <c r="E717">
        <v>7</v>
      </c>
      <c r="F717" t="s">
        <v>830</v>
      </c>
      <c r="G717">
        <v>1</v>
      </c>
      <c r="H717" t="s">
        <v>806</v>
      </c>
      <c r="I717">
        <v>1</v>
      </c>
      <c r="J717">
        <v>0</v>
      </c>
      <c r="K717">
        <v>0</v>
      </c>
    </row>
    <row r="718" spans="1:11" x14ac:dyDescent="0.2">
      <c r="A718">
        <v>96139</v>
      </c>
      <c r="B718" t="s">
        <v>1318</v>
      </c>
      <c r="C718" t="str">
        <f t="shared" si="11"/>
        <v>SPTG</v>
      </c>
      <c r="D718" t="s">
        <v>809</v>
      </c>
      <c r="E718">
        <v>7</v>
      </c>
      <c r="F718" t="s">
        <v>830</v>
      </c>
      <c r="G718">
        <v>1</v>
      </c>
      <c r="H718" t="s">
        <v>806</v>
      </c>
      <c r="I718">
        <v>1</v>
      </c>
      <c r="J718">
        <v>0</v>
      </c>
      <c r="K718">
        <v>0</v>
      </c>
    </row>
    <row r="719" spans="1:11" x14ac:dyDescent="0.2">
      <c r="A719">
        <v>96190</v>
      </c>
      <c r="B719" t="s">
        <v>1340</v>
      </c>
      <c r="C719" t="str">
        <f t="shared" si="11"/>
        <v>STRA</v>
      </c>
      <c r="D719" t="s">
        <v>804</v>
      </c>
      <c r="E719">
        <v>7</v>
      </c>
      <c r="F719" t="s">
        <v>830</v>
      </c>
      <c r="G719">
        <v>1</v>
      </c>
      <c r="H719" t="s">
        <v>806</v>
      </c>
      <c r="I719">
        <v>1</v>
      </c>
      <c r="J719">
        <v>13.0794</v>
      </c>
      <c r="K719">
        <v>1.3845000000000001</v>
      </c>
    </row>
    <row r="720" spans="1:11" x14ac:dyDescent="0.2">
      <c r="A720">
        <v>96190</v>
      </c>
      <c r="B720" t="s">
        <v>1340</v>
      </c>
      <c r="C720" t="str">
        <f t="shared" si="11"/>
        <v>STRA</v>
      </c>
      <c r="D720" t="s">
        <v>807</v>
      </c>
      <c r="E720">
        <v>7</v>
      </c>
      <c r="F720" t="s">
        <v>830</v>
      </c>
      <c r="G720">
        <v>1</v>
      </c>
      <c r="H720" t="s">
        <v>806</v>
      </c>
      <c r="I720">
        <v>1</v>
      </c>
      <c r="J720">
        <v>6.9969000000000001</v>
      </c>
      <c r="K720">
        <v>1.3533999999999999</v>
      </c>
    </row>
    <row r="721" spans="1:11" x14ac:dyDescent="0.2">
      <c r="A721">
        <v>96131</v>
      </c>
      <c r="B721" t="s">
        <v>1361</v>
      </c>
      <c r="C721" t="str">
        <f t="shared" si="11"/>
        <v>TJGS</v>
      </c>
      <c r="D721" t="s">
        <v>804</v>
      </c>
      <c r="E721">
        <v>7</v>
      </c>
      <c r="F721" t="s">
        <v>830</v>
      </c>
      <c r="G721">
        <v>1</v>
      </c>
      <c r="H721" t="s">
        <v>806</v>
      </c>
      <c r="I721">
        <v>1</v>
      </c>
      <c r="J721">
        <v>11.1792</v>
      </c>
      <c r="K721">
        <v>1.2829999999999999</v>
      </c>
    </row>
    <row r="722" spans="1:11" x14ac:dyDescent="0.2">
      <c r="A722">
        <v>96131</v>
      </c>
      <c r="B722" t="s">
        <v>1361</v>
      </c>
      <c r="C722" t="str">
        <f t="shared" si="11"/>
        <v>TJGS</v>
      </c>
      <c r="D722" t="s">
        <v>807</v>
      </c>
      <c r="E722">
        <v>7</v>
      </c>
      <c r="F722" t="s">
        <v>830</v>
      </c>
      <c r="G722">
        <v>1</v>
      </c>
      <c r="H722" t="s">
        <v>806</v>
      </c>
      <c r="I722">
        <v>1</v>
      </c>
      <c r="J722">
        <v>11.411199999999999</v>
      </c>
      <c r="K722">
        <v>-0.12939999999999999</v>
      </c>
    </row>
    <row r="723" spans="1:11" x14ac:dyDescent="0.2">
      <c r="A723">
        <v>96915</v>
      </c>
      <c r="B723" t="s">
        <v>1362</v>
      </c>
      <c r="C723" t="str">
        <f t="shared" si="11"/>
        <v>TJGS</v>
      </c>
      <c r="D723" t="s">
        <v>869</v>
      </c>
      <c r="E723">
        <v>7</v>
      </c>
      <c r="F723" t="s">
        <v>830</v>
      </c>
      <c r="G723">
        <v>1</v>
      </c>
      <c r="H723" t="s">
        <v>806</v>
      </c>
      <c r="I723">
        <v>1</v>
      </c>
      <c r="J723">
        <v>0</v>
      </c>
      <c r="K723">
        <v>0</v>
      </c>
    </row>
    <row r="724" spans="1:11" x14ac:dyDescent="0.2">
      <c r="A724">
        <v>96135</v>
      </c>
      <c r="B724" t="s">
        <v>1363</v>
      </c>
      <c r="C724" t="str">
        <f t="shared" si="11"/>
        <v>TJID</v>
      </c>
      <c r="D724" t="s">
        <v>804</v>
      </c>
      <c r="E724">
        <v>7</v>
      </c>
      <c r="F724" t="s">
        <v>830</v>
      </c>
      <c r="G724">
        <v>1</v>
      </c>
      <c r="H724" t="s">
        <v>806</v>
      </c>
      <c r="I724">
        <v>1</v>
      </c>
      <c r="J724">
        <v>11.1275</v>
      </c>
      <c r="K724">
        <v>1.4963</v>
      </c>
    </row>
    <row r="725" spans="1:11" x14ac:dyDescent="0.2">
      <c r="A725">
        <v>96135</v>
      </c>
      <c r="B725" t="s">
        <v>1363</v>
      </c>
      <c r="C725" t="str">
        <f t="shared" si="11"/>
        <v>TJID</v>
      </c>
      <c r="D725" t="s">
        <v>807</v>
      </c>
      <c r="E725">
        <v>7</v>
      </c>
      <c r="F725" t="s">
        <v>830</v>
      </c>
      <c r="G725">
        <v>1</v>
      </c>
      <c r="H725" t="s">
        <v>806</v>
      </c>
      <c r="I725">
        <v>1</v>
      </c>
      <c r="J725">
        <v>7.8615000000000004</v>
      </c>
      <c r="K725">
        <v>1.8784000000000001</v>
      </c>
    </row>
    <row r="726" spans="1:11" x14ac:dyDescent="0.2">
      <c r="A726">
        <v>96135</v>
      </c>
      <c r="B726" t="s">
        <v>1363</v>
      </c>
      <c r="C726" t="str">
        <f t="shared" si="11"/>
        <v>TJID</v>
      </c>
      <c r="D726" t="s">
        <v>808</v>
      </c>
      <c r="E726">
        <v>7</v>
      </c>
      <c r="F726" t="s">
        <v>830</v>
      </c>
      <c r="G726">
        <v>1</v>
      </c>
      <c r="H726" t="s">
        <v>806</v>
      </c>
      <c r="I726">
        <v>1</v>
      </c>
      <c r="J726">
        <v>19.967500000000001</v>
      </c>
      <c r="K726">
        <v>3.2018</v>
      </c>
    </row>
    <row r="727" spans="1:11" x14ac:dyDescent="0.2">
      <c r="A727">
        <v>96135</v>
      </c>
      <c r="B727" t="s">
        <v>1363</v>
      </c>
      <c r="C727" t="str">
        <f t="shared" si="11"/>
        <v>TJID</v>
      </c>
      <c r="D727" t="s">
        <v>809</v>
      </c>
      <c r="E727">
        <v>7</v>
      </c>
      <c r="F727" t="s">
        <v>830</v>
      </c>
      <c r="G727">
        <v>1</v>
      </c>
      <c r="H727" t="s">
        <v>806</v>
      </c>
      <c r="I727">
        <v>1</v>
      </c>
      <c r="J727">
        <v>19.9893</v>
      </c>
      <c r="K727">
        <v>3.1966000000000001</v>
      </c>
    </row>
    <row r="728" spans="1:11" x14ac:dyDescent="0.2">
      <c r="A728">
        <v>96144</v>
      </c>
      <c r="B728" t="s">
        <v>1370</v>
      </c>
      <c r="C728" t="str">
        <f t="shared" si="11"/>
        <v>TKMG</v>
      </c>
      <c r="D728" t="s">
        <v>804</v>
      </c>
      <c r="E728">
        <v>7</v>
      </c>
      <c r="F728" t="s">
        <v>830</v>
      </c>
      <c r="G728">
        <v>1</v>
      </c>
      <c r="H728" t="s">
        <v>806</v>
      </c>
      <c r="I728">
        <v>1</v>
      </c>
      <c r="J728">
        <v>6.8529</v>
      </c>
      <c r="K728">
        <v>0.41420000000000001</v>
      </c>
    </row>
    <row r="729" spans="1:11" x14ac:dyDescent="0.2">
      <c r="A729">
        <v>96144</v>
      </c>
      <c r="B729" t="s">
        <v>1370</v>
      </c>
      <c r="C729" t="str">
        <f t="shared" si="11"/>
        <v>TKMG</v>
      </c>
      <c r="D729" t="s">
        <v>807</v>
      </c>
      <c r="E729">
        <v>7</v>
      </c>
      <c r="F729" t="s">
        <v>830</v>
      </c>
      <c r="G729">
        <v>1</v>
      </c>
      <c r="H729" t="s">
        <v>806</v>
      </c>
      <c r="I729">
        <v>1</v>
      </c>
      <c r="J729">
        <v>6.827</v>
      </c>
      <c r="K729">
        <v>0.39560000000000001</v>
      </c>
    </row>
    <row r="730" spans="1:11" x14ac:dyDescent="0.2">
      <c r="A730">
        <v>96129</v>
      </c>
      <c r="B730" t="s">
        <v>1392</v>
      </c>
      <c r="C730" t="str">
        <f t="shared" si="11"/>
        <v>TTJF</v>
      </c>
      <c r="D730" t="s">
        <v>804</v>
      </c>
      <c r="E730">
        <v>7</v>
      </c>
      <c r="F730" t="s">
        <v>830</v>
      </c>
      <c r="G730">
        <v>1</v>
      </c>
      <c r="H730" t="s">
        <v>806</v>
      </c>
      <c r="I730">
        <v>1</v>
      </c>
      <c r="J730">
        <v>14.867699999999999</v>
      </c>
      <c r="K730">
        <v>2.5535000000000001</v>
      </c>
    </row>
    <row r="731" spans="1:11" x14ac:dyDescent="0.2">
      <c r="A731">
        <v>96129</v>
      </c>
      <c r="B731" t="s">
        <v>1392</v>
      </c>
      <c r="C731" t="str">
        <f t="shared" si="11"/>
        <v>TTJF</v>
      </c>
      <c r="D731" t="s">
        <v>807</v>
      </c>
      <c r="E731">
        <v>7</v>
      </c>
      <c r="F731" t="s">
        <v>830</v>
      </c>
      <c r="G731">
        <v>1</v>
      </c>
      <c r="H731" t="s">
        <v>806</v>
      </c>
      <c r="I731">
        <v>1</v>
      </c>
      <c r="J731">
        <v>14.902900000000001</v>
      </c>
      <c r="K731">
        <v>2.5411000000000001</v>
      </c>
    </row>
    <row r="732" spans="1:11" x14ac:dyDescent="0.2">
      <c r="A732">
        <v>96165</v>
      </c>
      <c r="B732" t="s">
        <v>814</v>
      </c>
      <c r="C732" t="str">
        <f t="shared" si="11"/>
        <v>AFMS</v>
      </c>
      <c r="D732" t="s">
        <v>804</v>
      </c>
      <c r="E732">
        <v>8</v>
      </c>
      <c r="F732" t="s">
        <v>815</v>
      </c>
      <c r="G732">
        <v>1</v>
      </c>
      <c r="H732" t="s">
        <v>806</v>
      </c>
      <c r="I732">
        <v>1</v>
      </c>
      <c r="J732">
        <v>5.1318999999999999</v>
      </c>
      <c r="K732">
        <v>-0.66269999999999996</v>
      </c>
    </row>
    <row r="733" spans="1:11" x14ac:dyDescent="0.2">
      <c r="A733">
        <v>96165</v>
      </c>
      <c r="B733" t="s">
        <v>814</v>
      </c>
      <c r="C733" t="str">
        <f t="shared" si="11"/>
        <v>AFMS</v>
      </c>
      <c r="D733" t="s">
        <v>807</v>
      </c>
      <c r="E733">
        <v>8</v>
      </c>
      <c r="F733" t="s">
        <v>815</v>
      </c>
      <c r="G733">
        <v>1</v>
      </c>
      <c r="H733" t="s">
        <v>806</v>
      </c>
      <c r="I733">
        <v>1</v>
      </c>
      <c r="J733">
        <v>8.0852000000000004</v>
      </c>
      <c r="K733">
        <v>0.62129999999999996</v>
      </c>
    </row>
    <row r="734" spans="1:11" x14ac:dyDescent="0.2">
      <c r="A734">
        <v>96105</v>
      </c>
      <c r="B734" t="s">
        <v>821</v>
      </c>
      <c r="C734" t="str">
        <f t="shared" si="11"/>
        <v>AKRH</v>
      </c>
      <c r="D734" t="s">
        <v>804</v>
      </c>
      <c r="E734">
        <v>8</v>
      </c>
      <c r="F734" t="s">
        <v>815</v>
      </c>
      <c r="G734">
        <v>1</v>
      </c>
      <c r="H734" t="s">
        <v>806</v>
      </c>
      <c r="I734">
        <v>1</v>
      </c>
      <c r="J734">
        <v>12.127800000000001</v>
      </c>
      <c r="K734">
        <v>2.3464</v>
      </c>
    </row>
    <row r="735" spans="1:11" x14ac:dyDescent="0.2">
      <c r="A735">
        <v>96105</v>
      </c>
      <c r="B735" t="s">
        <v>821</v>
      </c>
      <c r="C735" t="str">
        <f t="shared" si="11"/>
        <v>AKRH</v>
      </c>
      <c r="D735" t="s">
        <v>807</v>
      </c>
      <c r="E735">
        <v>8</v>
      </c>
      <c r="F735" t="s">
        <v>815</v>
      </c>
      <c r="G735">
        <v>1</v>
      </c>
      <c r="H735" t="s">
        <v>806</v>
      </c>
      <c r="I735">
        <v>1</v>
      </c>
      <c r="J735">
        <v>8.5356000000000005</v>
      </c>
      <c r="K735">
        <v>1.3233999999999999</v>
      </c>
    </row>
    <row r="736" spans="1:11" x14ac:dyDescent="0.2">
      <c r="A736">
        <v>96107</v>
      </c>
      <c r="B736" t="s">
        <v>855</v>
      </c>
      <c r="C736" t="str">
        <f t="shared" si="11"/>
        <v>BBDM</v>
      </c>
      <c r="D736" t="s">
        <v>804</v>
      </c>
      <c r="E736">
        <v>8</v>
      </c>
      <c r="F736" t="s">
        <v>815</v>
      </c>
      <c r="G736">
        <v>1</v>
      </c>
      <c r="H736" t="s">
        <v>806</v>
      </c>
      <c r="I736">
        <v>1</v>
      </c>
      <c r="J736">
        <v>13.961600000000001</v>
      </c>
      <c r="K736">
        <v>3.0194999999999999</v>
      </c>
    </row>
    <row r="737" spans="1:11" x14ac:dyDescent="0.2">
      <c r="A737">
        <v>96107</v>
      </c>
      <c r="B737" t="s">
        <v>855</v>
      </c>
      <c r="C737" t="str">
        <f t="shared" si="11"/>
        <v>BBDM</v>
      </c>
      <c r="D737" t="s">
        <v>807</v>
      </c>
      <c r="E737">
        <v>8</v>
      </c>
      <c r="F737" t="s">
        <v>815</v>
      </c>
      <c r="G737">
        <v>1</v>
      </c>
      <c r="H737" t="s">
        <v>806</v>
      </c>
      <c r="I737">
        <v>1</v>
      </c>
      <c r="J737">
        <v>14.7621</v>
      </c>
      <c r="K737">
        <v>4.5686</v>
      </c>
    </row>
    <row r="738" spans="1:11" x14ac:dyDescent="0.2">
      <c r="A738">
        <v>96107</v>
      </c>
      <c r="B738" t="s">
        <v>855</v>
      </c>
      <c r="C738" t="str">
        <f t="shared" si="11"/>
        <v>BBDM</v>
      </c>
      <c r="D738" t="s">
        <v>808</v>
      </c>
      <c r="E738">
        <v>8</v>
      </c>
      <c r="F738" t="s">
        <v>815</v>
      </c>
      <c r="G738">
        <v>1</v>
      </c>
      <c r="H738" t="s">
        <v>806</v>
      </c>
      <c r="I738">
        <v>1</v>
      </c>
      <c r="J738">
        <v>9.4260999999999999</v>
      </c>
      <c r="K738">
        <v>2.0005999999999999</v>
      </c>
    </row>
    <row r="739" spans="1:11" x14ac:dyDescent="0.2">
      <c r="A739">
        <v>96107</v>
      </c>
      <c r="B739" t="s">
        <v>855</v>
      </c>
      <c r="C739" t="str">
        <f t="shared" si="11"/>
        <v>BBDM</v>
      </c>
      <c r="D739" t="s">
        <v>809</v>
      </c>
      <c r="E739">
        <v>8</v>
      </c>
      <c r="F739" t="s">
        <v>815</v>
      </c>
      <c r="G739">
        <v>1</v>
      </c>
      <c r="H739" t="s">
        <v>806</v>
      </c>
      <c r="I739">
        <v>1</v>
      </c>
      <c r="J739">
        <v>7.3272000000000004</v>
      </c>
      <c r="K739">
        <v>2.4468999999999999</v>
      </c>
    </row>
    <row r="740" spans="1:11" x14ac:dyDescent="0.2">
      <c r="A740">
        <v>96111</v>
      </c>
      <c r="B740" t="s">
        <v>889</v>
      </c>
      <c r="C740" t="str">
        <f t="shared" si="11"/>
        <v>BMKA</v>
      </c>
      <c r="D740" t="s">
        <v>804</v>
      </c>
      <c r="E740">
        <v>8</v>
      </c>
      <c r="F740" t="s">
        <v>815</v>
      </c>
      <c r="G740">
        <v>1</v>
      </c>
      <c r="H740" t="s">
        <v>806</v>
      </c>
      <c r="I740">
        <v>1</v>
      </c>
      <c r="J740">
        <v>5.6828000000000003</v>
      </c>
      <c r="K740">
        <v>0.31169999999999998</v>
      </c>
    </row>
    <row r="741" spans="1:11" x14ac:dyDescent="0.2">
      <c r="A741">
        <v>96111</v>
      </c>
      <c r="B741" t="s">
        <v>889</v>
      </c>
      <c r="C741" t="str">
        <f t="shared" si="11"/>
        <v>BMKA</v>
      </c>
      <c r="D741" t="s">
        <v>807</v>
      </c>
      <c r="E741">
        <v>8</v>
      </c>
      <c r="F741" t="s">
        <v>815</v>
      </c>
      <c r="G741">
        <v>1</v>
      </c>
      <c r="H741" t="s">
        <v>806</v>
      </c>
      <c r="I741">
        <v>1</v>
      </c>
      <c r="J741">
        <v>8.8483000000000001</v>
      </c>
      <c r="K741">
        <v>1.4641999999999999</v>
      </c>
    </row>
    <row r="742" spans="1:11" x14ac:dyDescent="0.2">
      <c r="A742">
        <v>96101</v>
      </c>
      <c r="B742" t="s">
        <v>899</v>
      </c>
      <c r="C742" t="str">
        <f t="shared" si="11"/>
        <v>BRBI</v>
      </c>
      <c r="D742" t="s">
        <v>804</v>
      </c>
      <c r="E742">
        <v>8</v>
      </c>
      <c r="F742" t="s">
        <v>815</v>
      </c>
      <c r="G742">
        <v>1</v>
      </c>
      <c r="H742" t="s">
        <v>806</v>
      </c>
      <c r="I742">
        <v>1</v>
      </c>
      <c r="J742">
        <v>6.6623999999999999</v>
      </c>
      <c r="K742">
        <v>0.62129999999999996</v>
      </c>
    </row>
    <row r="743" spans="1:11" x14ac:dyDescent="0.2">
      <c r="A743">
        <v>96101</v>
      </c>
      <c r="B743" t="s">
        <v>899</v>
      </c>
      <c r="C743" t="str">
        <f t="shared" si="11"/>
        <v>BRBI</v>
      </c>
      <c r="D743" t="s">
        <v>807</v>
      </c>
      <c r="E743">
        <v>8</v>
      </c>
      <c r="F743" t="s">
        <v>815</v>
      </c>
      <c r="G743">
        <v>1</v>
      </c>
      <c r="H743" t="s">
        <v>806</v>
      </c>
      <c r="I743">
        <v>1</v>
      </c>
      <c r="J743">
        <v>9.1227</v>
      </c>
      <c r="K743">
        <v>1.6185</v>
      </c>
    </row>
    <row r="744" spans="1:11" x14ac:dyDescent="0.2">
      <c r="A744">
        <v>96101</v>
      </c>
      <c r="B744" t="s">
        <v>899</v>
      </c>
      <c r="C744" t="str">
        <f t="shared" si="11"/>
        <v>BRBI</v>
      </c>
      <c r="D744" t="s">
        <v>808</v>
      </c>
      <c r="E744">
        <v>8</v>
      </c>
      <c r="F744" t="s">
        <v>815</v>
      </c>
      <c r="G744">
        <v>1</v>
      </c>
      <c r="H744" t="s">
        <v>806</v>
      </c>
      <c r="I744">
        <v>1</v>
      </c>
      <c r="J744">
        <v>10.1531</v>
      </c>
      <c r="K744">
        <v>0.62439999999999996</v>
      </c>
    </row>
    <row r="745" spans="1:11" x14ac:dyDescent="0.2">
      <c r="A745">
        <v>96101</v>
      </c>
      <c r="B745" t="s">
        <v>899</v>
      </c>
      <c r="C745" t="str">
        <f t="shared" si="11"/>
        <v>BRBI</v>
      </c>
      <c r="D745" t="s">
        <v>809</v>
      </c>
      <c r="E745">
        <v>8</v>
      </c>
      <c r="F745" t="s">
        <v>815</v>
      </c>
      <c r="G745">
        <v>1</v>
      </c>
      <c r="H745" t="s">
        <v>806</v>
      </c>
      <c r="I745">
        <v>1</v>
      </c>
      <c r="J745">
        <v>10.1313</v>
      </c>
      <c r="K745">
        <v>0.62649999999999995</v>
      </c>
    </row>
    <row r="746" spans="1:11" x14ac:dyDescent="0.2">
      <c r="A746">
        <v>96122</v>
      </c>
      <c r="B746" t="s">
        <v>920</v>
      </c>
      <c r="C746" t="str">
        <f t="shared" si="11"/>
        <v>BVTA</v>
      </c>
      <c r="D746" t="s">
        <v>804</v>
      </c>
      <c r="E746">
        <v>8</v>
      </c>
      <c r="F746" t="s">
        <v>815</v>
      </c>
      <c r="G746">
        <v>1</v>
      </c>
      <c r="H746" t="s">
        <v>806</v>
      </c>
      <c r="I746">
        <v>1</v>
      </c>
      <c r="J746">
        <v>3.3694999999999999</v>
      </c>
      <c r="K746">
        <v>0.77349999999999997</v>
      </c>
    </row>
    <row r="747" spans="1:11" x14ac:dyDescent="0.2">
      <c r="A747">
        <v>96122</v>
      </c>
      <c r="B747" t="s">
        <v>920</v>
      </c>
      <c r="C747" t="str">
        <f t="shared" si="11"/>
        <v>BVTA</v>
      </c>
      <c r="D747" t="s">
        <v>807</v>
      </c>
      <c r="E747">
        <v>8</v>
      </c>
      <c r="F747" t="s">
        <v>815</v>
      </c>
      <c r="G747">
        <v>1</v>
      </c>
      <c r="H747" t="s">
        <v>806</v>
      </c>
      <c r="I747">
        <v>1</v>
      </c>
      <c r="J747">
        <v>8.5501000000000005</v>
      </c>
      <c r="K747">
        <v>1.2209000000000001</v>
      </c>
    </row>
    <row r="748" spans="1:11" x14ac:dyDescent="0.2">
      <c r="A748">
        <v>96191</v>
      </c>
      <c r="B748" t="s">
        <v>928</v>
      </c>
      <c r="C748" t="str">
        <f t="shared" si="11"/>
        <v>CHNG</v>
      </c>
      <c r="D748" t="s">
        <v>804</v>
      </c>
      <c r="E748">
        <v>8</v>
      </c>
      <c r="F748" t="s">
        <v>815</v>
      </c>
      <c r="G748">
        <v>1</v>
      </c>
      <c r="H748" t="s">
        <v>806</v>
      </c>
      <c r="I748">
        <v>1</v>
      </c>
      <c r="J748">
        <v>7.3437999999999999</v>
      </c>
      <c r="K748">
        <v>1.6102000000000001</v>
      </c>
    </row>
    <row r="749" spans="1:11" x14ac:dyDescent="0.2">
      <c r="A749">
        <v>96191</v>
      </c>
      <c r="B749" t="s">
        <v>928</v>
      </c>
      <c r="C749" t="str">
        <f t="shared" si="11"/>
        <v>CHNG</v>
      </c>
      <c r="D749" t="s">
        <v>807</v>
      </c>
      <c r="E749">
        <v>8</v>
      </c>
      <c r="F749" t="s">
        <v>815</v>
      </c>
      <c r="G749">
        <v>1</v>
      </c>
      <c r="H749" t="s">
        <v>806</v>
      </c>
      <c r="I749">
        <v>1</v>
      </c>
      <c r="J749">
        <v>10.6045</v>
      </c>
      <c r="K749">
        <v>0.48559999999999998</v>
      </c>
    </row>
    <row r="750" spans="1:11" x14ac:dyDescent="0.2">
      <c r="A750">
        <v>96191</v>
      </c>
      <c r="B750" t="s">
        <v>928</v>
      </c>
      <c r="C750" t="str">
        <f t="shared" si="11"/>
        <v>CHNG</v>
      </c>
      <c r="D750" t="s">
        <v>808</v>
      </c>
      <c r="E750">
        <v>8</v>
      </c>
      <c r="F750" t="s">
        <v>815</v>
      </c>
      <c r="G750">
        <v>1</v>
      </c>
      <c r="H750" t="s">
        <v>806</v>
      </c>
      <c r="I750">
        <v>1</v>
      </c>
      <c r="J750">
        <v>31.840599999999998</v>
      </c>
      <c r="K750">
        <v>4.1730999999999998</v>
      </c>
    </row>
    <row r="751" spans="1:11" x14ac:dyDescent="0.2">
      <c r="A751">
        <v>96191</v>
      </c>
      <c r="B751" t="s">
        <v>928</v>
      </c>
      <c r="C751" t="str">
        <f t="shared" si="11"/>
        <v>CHNG</v>
      </c>
      <c r="D751" t="s">
        <v>809</v>
      </c>
      <c r="E751">
        <v>8</v>
      </c>
      <c r="F751" t="s">
        <v>815</v>
      </c>
      <c r="G751">
        <v>1</v>
      </c>
      <c r="H751" t="s">
        <v>806</v>
      </c>
      <c r="I751">
        <v>1</v>
      </c>
      <c r="J751">
        <v>31.850899999999999</v>
      </c>
      <c r="K751">
        <v>4.1792999999999996</v>
      </c>
    </row>
    <row r="752" spans="1:11" x14ac:dyDescent="0.2">
      <c r="A752">
        <v>96921</v>
      </c>
      <c r="B752" t="s">
        <v>952</v>
      </c>
      <c r="C752" t="str">
        <f t="shared" si="11"/>
        <v>EMPP</v>
      </c>
      <c r="D752" t="s">
        <v>869</v>
      </c>
      <c r="E752">
        <v>8</v>
      </c>
      <c r="F752" t="s">
        <v>815</v>
      </c>
      <c r="G752">
        <v>1</v>
      </c>
      <c r="H752" t="s">
        <v>806</v>
      </c>
      <c r="I752">
        <v>1</v>
      </c>
      <c r="J752">
        <v>0</v>
      </c>
      <c r="K752">
        <v>0</v>
      </c>
    </row>
    <row r="753" spans="1:11" x14ac:dyDescent="0.2">
      <c r="A753">
        <v>96922</v>
      </c>
      <c r="B753" t="s">
        <v>953</v>
      </c>
      <c r="C753" t="str">
        <f t="shared" si="11"/>
        <v>EMPP</v>
      </c>
      <c r="D753" t="s">
        <v>869</v>
      </c>
      <c r="E753">
        <v>8</v>
      </c>
      <c r="F753" t="s">
        <v>815</v>
      </c>
      <c r="G753">
        <v>1</v>
      </c>
      <c r="H753" t="s">
        <v>806</v>
      </c>
      <c r="I753">
        <v>1</v>
      </c>
      <c r="J753">
        <v>0</v>
      </c>
      <c r="K753">
        <v>0</v>
      </c>
    </row>
    <row r="754" spans="1:11" x14ac:dyDescent="0.2">
      <c r="A754">
        <v>96923</v>
      </c>
      <c r="B754" t="s">
        <v>954</v>
      </c>
      <c r="C754" t="str">
        <f t="shared" si="11"/>
        <v>EMPP</v>
      </c>
      <c r="D754" t="s">
        <v>869</v>
      </c>
      <c r="E754">
        <v>8</v>
      </c>
      <c r="F754" t="s">
        <v>815</v>
      </c>
      <c r="G754">
        <v>1</v>
      </c>
      <c r="H754" t="s">
        <v>806</v>
      </c>
      <c r="I754">
        <v>1</v>
      </c>
      <c r="J754">
        <v>0</v>
      </c>
      <c r="K754">
        <v>0</v>
      </c>
    </row>
    <row r="755" spans="1:11" x14ac:dyDescent="0.2">
      <c r="A755">
        <v>96106</v>
      </c>
      <c r="B755" t="s">
        <v>993</v>
      </c>
      <c r="C755" t="str">
        <f t="shared" si="11"/>
        <v>HPGH</v>
      </c>
      <c r="D755" t="s">
        <v>804</v>
      </c>
      <c r="E755">
        <v>8</v>
      </c>
      <c r="F755" t="s">
        <v>815</v>
      </c>
      <c r="G755">
        <v>40</v>
      </c>
      <c r="H755" t="s">
        <v>832</v>
      </c>
      <c r="I755">
        <v>1</v>
      </c>
      <c r="J755">
        <v>5.9893000000000001</v>
      </c>
      <c r="K755">
        <v>0.32719999999999999</v>
      </c>
    </row>
    <row r="756" spans="1:11" x14ac:dyDescent="0.2">
      <c r="A756">
        <v>96106</v>
      </c>
      <c r="B756" t="s">
        <v>993</v>
      </c>
      <c r="C756" t="str">
        <f t="shared" si="11"/>
        <v>HPGH</v>
      </c>
      <c r="D756" t="s">
        <v>807</v>
      </c>
      <c r="E756">
        <v>8</v>
      </c>
      <c r="F756" t="s">
        <v>815</v>
      </c>
      <c r="G756">
        <v>40</v>
      </c>
      <c r="H756" t="s">
        <v>832</v>
      </c>
      <c r="I756">
        <v>1</v>
      </c>
      <c r="J756">
        <v>6.0110999999999999</v>
      </c>
      <c r="K756">
        <v>0.33029999999999998</v>
      </c>
    </row>
    <row r="757" spans="1:11" x14ac:dyDescent="0.2">
      <c r="A757">
        <v>96109</v>
      </c>
      <c r="B757" t="s">
        <v>1019</v>
      </c>
      <c r="C757" t="str">
        <f t="shared" si="11"/>
        <v>JSIN</v>
      </c>
      <c r="D757" t="s">
        <v>804</v>
      </c>
      <c r="E757">
        <v>8</v>
      </c>
      <c r="F757" t="s">
        <v>815</v>
      </c>
      <c r="G757">
        <v>1</v>
      </c>
      <c r="H757" t="s">
        <v>806</v>
      </c>
      <c r="I757">
        <v>1</v>
      </c>
      <c r="J757">
        <v>6.1726000000000001</v>
      </c>
      <c r="K757">
        <v>-0.40799999999999997</v>
      </c>
    </row>
    <row r="758" spans="1:11" x14ac:dyDescent="0.2">
      <c r="A758">
        <v>96109</v>
      </c>
      <c r="B758" t="s">
        <v>1019</v>
      </c>
      <c r="C758" t="str">
        <f t="shared" si="11"/>
        <v>JSIN</v>
      </c>
      <c r="D758" t="s">
        <v>807</v>
      </c>
      <c r="E758">
        <v>8</v>
      </c>
      <c r="F758" t="s">
        <v>815</v>
      </c>
      <c r="G758">
        <v>1</v>
      </c>
      <c r="H758" t="s">
        <v>806</v>
      </c>
      <c r="I758">
        <v>1</v>
      </c>
      <c r="J758">
        <v>11.8078</v>
      </c>
      <c r="K758">
        <v>0.49080000000000001</v>
      </c>
    </row>
    <row r="759" spans="1:11" x14ac:dyDescent="0.2">
      <c r="A759">
        <v>96109</v>
      </c>
      <c r="B759" t="s">
        <v>1019</v>
      </c>
      <c r="C759" t="str">
        <f t="shared" si="11"/>
        <v>JSIN</v>
      </c>
      <c r="D759" t="s">
        <v>808</v>
      </c>
      <c r="E759">
        <v>8</v>
      </c>
      <c r="F759" t="s">
        <v>815</v>
      </c>
      <c r="G759">
        <v>1</v>
      </c>
      <c r="H759" t="s">
        <v>806</v>
      </c>
      <c r="I759">
        <v>1</v>
      </c>
      <c r="J759">
        <v>8.6235999999999997</v>
      </c>
      <c r="K759">
        <v>-3.1065</v>
      </c>
    </row>
    <row r="760" spans="1:11" x14ac:dyDescent="0.2">
      <c r="A760">
        <v>96109</v>
      </c>
      <c r="B760" t="s">
        <v>1019</v>
      </c>
      <c r="C760" t="str">
        <f t="shared" si="11"/>
        <v>JSIN</v>
      </c>
      <c r="D760" t="s">
        <v>809</v>
      </c>
      <c r="E760">
        <v>8</v>
      </c>
      <c r="F760" t="s">
        <v>815</v>
      </c>
      <c r="G760">
        <v>1</v>
      </c>
      <c r="H760" t="s">
        <v>806</v>
      </c>
      <c r="I760">
        <v>1</v>
      </c>
      <c r="J760">
        <v>8.7034000000000002</v>
      </c>
      <c r="K760">
        <v>-3.1406999999999998</v>
      </c>
    </row>
    <row r="761" spans="1:11" x14ac:dyDescent="0.2">
      <c r="A761">
        <v>96118</v>
      </c>
      <c r="B761" t="s">
        <v>1038</v>
      </c>
      <c r="C761" t="str">
        <f t="shared" si="11"/>
        <v>KGDK</v>
      </c>
      <c r="D761" t="s">
        <v>804</v>
      </c>
      <c r="E761">
        <v>8</v>
      </c>
      <c r="F761" t="s">
        <v>815</v>
      </c>
      <c r="G761">
        <v>1</v>
      </c>
      <c r="H761" t="s">
        <v>806</v>
      </c>
      <c r="I761">
        <v>1</v>
      </c>
      <c r="J761">
        <v>0</v>
      </c>
      <c r="K761">
        <v>0</v>
      </c>
    </row>
    <row r="762" spans="1:11" x14ac:dyDescent="0.2">
      <c r="A762">
        <v>96118</v>
      </c>
      <c r="B762" t="s">
        <v>1038</v>
      </c>
      <c r="C762" t="str">
        <f t="shared" si="11"/>
        <v>KGDK</v>
      </c>
      <c r="D762" t="s">
        <v>807</v>
      </c>
      <c r="E762">
        <v>8</v>
      </c>
      <c r="F762" t="s">
        <v>815</v>
      </c>
      <c r="G762">
        <v>1</v>
      </c>
      <c r="H762" t="s">
        <v>806</v>
      </c>
      <c r="I762">
        <v>1</v>
      </c>
      <c r="J762">
        <v>7.7972999999999999</v>
      </c>
      <c r="K762">
        <v>-0.44009999999999999</v>
      </c>
    </row>
    <row r="763" spans="1:11" x14ac:dyDescent="0.2">
      <c r="A763">
        <v>96126</v>
      </c>
      <c r="B763" t="s">
        <v>1068</v>
      </c>
      <c r="C763" t="str">
        <f t="shared" si="11"/>
        <v>KLMK</v>
      </c>
      <c r="D763" t="s">
        <v>804</v>
      </c>
      <c r="E763">
        <v>8</v>
      </c>
      <c r="F763" t="s">
        <v>815</v>
      </c>
      <c r="G763">
        <v>1</v>
      </c>
      <c r="H763" t="s">
        <v>806</v>
      </c>
      <c r="I763">
        <v>1</v>
      </c>
      <c r="J763">
        <v>9.7606000000000002</v>
      </c>
      <c r="K763">
        <v>1.4382999999999999</v>
      </c>
    </row>
    <row r="764" spans="1:11" x14ac:dyDescent="0.2">
      <c r="A764">
        <v>96126</v>
      </c>
      <c r="B764" t="s">
        <v>1068</v>
      </c>
      <c r="C764" t="str">
        <f t="shared" si="11"/>
        <v>KLMK</v>
      </c>
      <c r="D764" t="s">
        <v>807</v>
      </c>
      <c r="E764">
        <v>8</v>
      </c>
      <c r="F764" t="s">
        <v>815</v>
      </c>
      <c r="G764">
        <v>1</v>
      </c>
      <c r="H764" t="s">
        <v>806</v>
      </c>
      <c r="I764">
        <v>1</v>
      </c>
      <c r="J764">
        <v>8.0769000000000002</v>
      </c>
      <c r="K764">
        <v>0.1046</v>
      </c>
    </row>
    <row r="765" spans="1:11" x14ac:dyDescent="0.2">
      <c r="A765">
        <v>96126</v>
      </c>
      <c r="B765" t="s">
        <v>1068</v>
      </c>
      <c r="C765" t="str">
        <f t="shared" si="11"/>
        <v>KLMK</v>
      </c>
      <c r="D765" t="s">
        <v>808</v>
      </c>
      <c r="E765">
        <v>8</v>
      </c>
      <c r="F765" t="s">
        <v>815</v>
      </c>
      <c r="G765">
        <v>40</v>
      </c>
      <c r="H765" t="s">
        <v>832</v>
      </c>
      <c r="I765">
        <v>1</v>
      </c>
      <c r="J765">
        <v>2.5991</v>
      </c>
      <c r="K765">
        <v>-0.78700000000000003</v>
      </c>
    </row>
    <row r="766" spans="1:11" x14ac:dyDescent="0.2">
      <c r="A766">
        <v>96126</v>
      </c>
      <c r="B766" t="s">
        <v>1068</v>
      </c>
      <c r="C766" t="str">
        <f t="shared" si="11"/>
        <v>KLMK</v>
      </c>
      <c r="D766" t="s">
        <v>809</v>
      </c>
      <c r="E766">
        <v>8</v>
      </c>
      <c r="F766" t="s">
        <v>815</v>
      </c>
      <c r="G766">
        <v>40</v>
      </c>
      <c r="H766" t="s">
        <v>832</v>
      </c>
      <c r="I766">
        <v>1</v>
      </c>
      <c r="J766">
        <v>2.6301999999999999</v>
      </c>
      <c r="K766">
        <v>-0.79730000000000001</v>
      </c>
    </row>
    <row r="767" spans="1:11" x14ac:dyDescent="0.2">
      <c r="A767">
        <v>96102</v>
      </c>
      <c r="B767" t="s">
        <v>1084</v>
      </c>
      <c r="C767" t="str">
        <f t="shared" si="11"/>
        <v>KRPH</v>
      </c>
      <c r="D767" t="s">
        <v>804</v>
      </c>
      <c r="E767">
        <v>8</v>
      </c>
      <c r="F767" t="s">
        <v>815</v>
      </c>
      <c r="G767">
        <v>1</v>
      </c>
      <c r="H767" t="s">
        <v>806</v>
      </c>
      <c r="I767">
        <v>1</v>
      </c>
      <c r="J767">
        <v>10.596299999999999</v>
      </c>
      <c r="K767">
        <v>0.11600000000000001</v>
      </c>
    </row>
    <row r="768" spans="1:11" x14ac:dyDescent="0.2">
      <c r="A768">
        <v>96102</v>
      </c>
      <c r="B768" t="s">
        <v>1084</v>
      </c>
      <c r="C768" t="str">
        <f t="shared" si="11"/>
        <v>KRPH</v>
      </c>
      <c r="D768" t="s">
        <v>807</v>
      </c>
      <c r="E768">
        <v>8</v>
      </c>
      <c r="F768" t="s">
        <v>815</v>
      </c>
      <c r="G768">
        <v>1</v>
      </c>
      <c r="H768" t="s">
        <v>806</v>
      </c>
      <c r="I768">
        <v>1</v>
      </c>
      <c r="J768">
        <v>11.997299999999999</v>
      </c>
      <c r="K768">
        <v>0.42770000000000002</v>
      </c>
    </row>
    <row r="769" spans="1:11" x14ac:dyDescent="0.2">
      <c r="A769">
        <v>96405</v>
      </c>
      <c r="B769" t="s">
        <v>1134</v>
      </c>
      <c r="C769" t="str">
        <f t="shared" si="11"/>
        <v>MCOP</v>
      </c>
      <c r="D769" t="s">
        <v>804</v>
      </c>
      <c r="E769">
        <v>8</v>
      </c>
      <c r="F769" t="s">
        <v>815</v>
      </c>
      <c r="G769">
        <v>1</v>
      </c>
      <c r="H769" t="s">
        <v>806</v>
      </c>
      <c r="I769">
        <v>1</v>
      </c>
      <c r="J769">
        <v>13.2057</v>
      </c>
      <c r="K769">
        <v>2.0234000000000001</v>
      </c>
    </row>
    <row r="770" spans="1:11" x14ac:dyDescent="0.2">
      <c r="A770">
        <v>96405</v>
      </c>
      <c r="B770" t="s">
        <v>1134</v>
      </c>
      <c r="C770" t="str">
        <f t="shared" si="11"/>
        <v>MCOP</v>
      </c>
      <c r="D770" t="s">
        <v>807</v>
      </c>
      <c r="E770">
        <v>8</v>
      </c>
      <c r="F770" t="s">
        <v>815</v>
      </c>
      <c r="G770">
        <v>1</v>
      </c>
      <c r="H770" t="s">
        <v>806</v>
      </c>
      <c r="I770">
        <v>1</v>
      </c>
      <c r="J770">
        <v>10.4834</v>
      </c>
      <c r="K770">
        <v>0.82940000000000003</v>
      </c>
    </row>
    <row r="771" spans="1:11" x14ac:dyDescent="0.2">
      <c r="A771">
        <v>96405</v>
      </c>
      <c r="B771" t="s">
        <v>1134</v>
      </c>
      <c r="C771" t="str">
        <f t="shared" ref="C771:C834" si="12">LEFT(B771,4)</f>
        <v>MCOP</v>
      </c>
      <c r="D771" t="s">
        <v>808</v>
      </c>
      <c r="E771">
        <v>8</v>
      </c>
      <c r="F771" t="s">
        <v>815</v>
      </c>
      <c r="G771">
        <v>1</v>
      </c>
      <c r="H771" t="s">
        <v>806</v>
      </c>
      <c r="I771">
        <v>1</v>
      </c>
      <c r="J771">
        <v>37.673499999999997</v>
      </c>
      <c r="K771">
        <v>-0.54159999999999997</v>
      </c>
    </row>
    <row r="772" spans="1:11" x14ac:dyDescent="0.2">
      <c r="A772">
        <v>96405</v>
      </c>
      <c r="B772" t="s">
        <v>1134</v>
      </c>
      <c r="C772" t="str">
        <f t="shared" si="12"/>
        <v>MCOP</v>
      </c>
      <c r="D772" t="s">
        <v>809</v>
      </c>
      <c r="E772">
        <v>8</v>
      </c>
      <c r="F772" t="s">
        <v>815</v>
      </c>
      <c r="G772">
        <v>1</v>
      </c>
      <c r="H772" t="s">
        <v>806</v>
      </c>
      <c r="I772">
        <v>1</v>
      </c>
      <c r="J772">
        <v>37.733600000000003</v>
      </c>
      <c r="K772">
        <v>-0.67620000000000002</v>
      </c>
    </row>
    <row r="773" spans="1:11" x14ac:dyDescent="0.2">
      <c r="A773">
        <v>96198</v>
      </c>
      <c r="B773" t="s">
        <v>1141</v>
      </c>
      <c r="C773" t="str">
        <f t="shared" si="12"/>
        <v>MFDR</v>
      </c>
      <c r="D773" t="s">
        <v>823</v>
      </c>
      <c r="E773">
        <v>8</v>
      </c>
      <c r="F773" t="s">
        <v>815</v>
      </c>
      <c r="G773">
        <v>1</v>
      </c>
      <c r="H773" t="s">
        <v>806</v>
      </c>
      <c r="I773">
        <v>1</v>
      </c>
      <c r="J773">
        <v>0</v>
      </c>
      <c r="K773">
        <v>0</v>
      </c>
    </row>
    <row r="774" spans="1:11" x14ac:dyDescent="0.2">
      <c r="A774">
        <v>96120</v>
      </c>
      <c r="B774" t="s">
        <v>1147</v>
      </c>
      <c r="C774" t="str">
        <f t="shared" si="12"/>
        <v>MJYA</v>
      </c>
      <c r="D774" t="s">
        <v>804</v>
      </c>
      <c r="E774">
        <v>8</v>
      </c>
      <c r="F774" t="s">
        <v>815</v>
      </c>
      <c r="G774">
        <v>1</v>
      </c>
      <c r="H774" t="s">
        <v>806</v>
      </c>
      <c r="I774">
        <v>1</v>
      </c>
      <c r="J774">
        <v>5.6154999999999999</v>
      </c>
      <c r="K774">
        <v>0.86360000000000003</v>
      </c>
    </row>
    <row r="775" spans="1:11" x14ac:dyDescent="0.2">
      <c r="A775">
        <v>96120</v>
      </c>
      <c r="B775" t="s">
        <v>1147</v>
      </c>
      <c r="C775" t="str">
        <f t="shared" si="12"/>
        <v>MJYA</v>
      </c>
      <c r="D775" t="s">
        <v>807</v>
      </c>
      <c r="E775">
        <v>8</v>
      </c>
      <c r="F775" t="s">
        <v>815</v>
      </c>
      <c r="G775">
        <v>1</v>
      </c>
      <c r="H775" t="s">
        <v>806</v>
      </c>
      <c r="I775">
        <v>1</v>
      </c>
      <c r="J775">
        <v>16.3764</v>
      </c>
      <c r="K775">
        <v>1.7043999999999999</v>
      </c>
    </row>
    <row r="776" spans="1:11" x14ac:dyDescent="0.2">
      <c r="A776">
        <v>96121</v>
      </c>
      <c r="B776" t="s">
        <v>1151</v>
      </c>
      <c r="C776" t="str">
        <f t="shared" si="12"/>
        <v>MMAU</v>
      </c>
      <c r="D776" t="s">
        <v>804</v>
      </c>
      <c r="E776">
        <v>8</v>
      </c>
      <c r="F776" t="s">
        <v>815</v>
      </c>
      <c r="G776">
        <v>1</v>
      </c>
      <c r="H776" t="s">
        <v>806</v>
      </c>
      <c r="I776">
        <v>1</v>
      </c>
      <c r="J776">
        <v>12.2479</v>
      </c>
      <c r="K776">
        <v>0.53120000000000001</v>
      </c>
    </row>
    <row r="777" spans="1:11" x14ac:dyDescent="0.2">
      <c r="A777">
        <v>96121</v>
      </c>
      <c r="B777" t="s">
        <v>1151</v>
      </c>
      <c r="C777" t="str">
        <f t="shared" si="12"/>
        <v>MMAU</v>
      </c>
      <c r="D777" t="s">
        <v>807</v>
      </c>
      <c r="E777">
        <v>8</v>
      </c>
      <c r="F777" t="s">
        <v>815</v>
      </c>
      <c r="G777">
        <v>1</v>
      </c>
      <c r="H777" t="s">
        <v>806</v>
      </c>
      <c r="I777">
        <v>1</v>
      </c>
      <c r="J777">
        <v>10.8727</v>
      </c>
      <c r="K777">
        <v>0.54569999999999996</v>
      </c>
    </row>
    <row r="778" spans="1:11" x14ac:dyDescent="0.2">
      <c r="A778">
        <v>96108</v>
      </c>
      <c r="B778" t="s">
        <v>1153</v>
      </c>
      <c r="C778" t="str">
        <f t="shared" si="12"/>
        <v>MMKA</v>
      </c>
      <c r="D778" t="s">
        <v>804</v>
      </c>
      <c r="E778">
        <v>8</v>
      </c>
      <c r="F778" t="s">
        <v>815</v>
      </c>
      <c r="G778">
        <v>1</v>
      </c>
      <c r="H778" t="s">
        <v>806</v>
      </c>
      <c r="I778">
        <v>1</v>
      </c>
      <c r="J778">
        <v>9.3722999999999992</v>
      </c>
      <c r="K778">
        <v>2.8454999999999999</v>
      </c>
    </row>
    <row r="779" spans="1:11" x14ac:dyDescent="0.2">
      <c r="A779">
        <v>96108</v>
      </c>
      <c r="B779" t="s">
        <v>1153</v>
      </c>
      <c r="C779" t="str">
        <f t="shared" si="12"/>
        <v>MMKA</v>
      </c>
      <c r="D779" t="s">
        <v>807</v>
      </c>
      <c r="E779">
        <v>8</v>
      </c>
      <c r="F779" t="s">
        <v>815</v>
      </c>
      <c r="G779">
        <v>1</v>
      </c>
      <c r="H779" t="s">
        <v>806</v>
      </c>
      <c r="I779">
        <v>1</v>
      </c>
      <c r="J779">
        <v>7.0092999999999996</v>
      </c>
      <c r="K779">
        <v>1.9395</v>
      </c>
    </row>
    <row r="780" spans="1:11" x14ac:dyDescent="0.2">
      <c r="A780">
        <v>96177</v>
      </c>
      <c r="B780" t="s">
        <v>1156</v>
      </c>
      <c r="C780" t="str">
        <f t="shared" si="12"/>
        <v>MPSS</v>
      </c>
      <c r="D780" t="s">
        <v>804</v>
      </c>
      <c r="E780">
        <v>8</v>
      </c>
      <c r="F780" t="s">
        <v>815</v>
      </c>
      <c r="G780">
        <v>1</v>
      </c>
      <c r="H780" t="s">
        <v>806</v>
      </c>
      <c r="I780">
        <v>1</v>
      </c>
      <c r="J780">
        <v>2.9428999999999998</v>
      </c>
      <c r="K780">
        <v>0.31890000000000002</v>
      </c>
    </row>
    <row r="781" spans="1:11" x14ac:dyDescent="0.2">
      <c r="A781">
        <v>96177</v>
      </c>
      <c r="B781" t="s">
        <v>1156</v>
      </c>
      <c r="C781" t="str">
        <f t="shared" si="12"/>
        <v>MPSS</v>
      </c>
      <c r="D781" t="s">
        <v>807</v>
      </c>
      <c r="E781">
        <v>8</v>
      </c>
      <c r="F781" t="s">
        <v>815</v>
      </c>
      <c r="G781">
        <v>1</v>
      </c>
      <c r="H781" t="s">
        <v>806</v>
      </c>
      <c r="I781">
        <v>1</v>
      </c>
      <c r="J781">
        <v>6.0121000000000002</v>
      </c>
      <c r="K781">
        <v>0.73519999999999996</v>
      </c>
    </row>
    <row r="782" spans="1:11" x14ac:dyDescent="0.2">
      <c r="A782">
        <v>96173</v>
      </c>
      <c r="B782" t="s">
        <v>1164</v>
      </c>
      <c r="C782" t="str">
        <f t="shared" si="12"/>
        <v>MTNH</v>
      </c>
      <c r="D782" t="s">
        <v>804</v>
      </c>
      <c r="E782">
        <v>8</v>
      </c>
      <c r="F782" t="s">
        <v>815</v>
      </c>
      <c r="G782">
        <v>1</v>
      </c>
      <c r="H782" t="s">
        <v>806</v>
      </c>
      <c r="I782">
        <v>1</v>
      </c>
      <c r="J782">
        <v>6.2285000000000004</v>
      </c>
      <c r="K782">
        <v>0.65549999999999997</v>
      </c>
    </row>
    <row r="783" spans="1:11" x14ac:dyDescent="0.2">
      <c r="A783">
        <v>96173</v>
      </c>
      <c r="B783" t="s">
        <v>1164</v>
      </c>
      <c r="C783" t="str">
        <f t="shared" si="12"/>
        <v>MTNH</v>
      </c>
      <c r="D783" t="s">
        <v>807</v>
      </c>
      <c r="E783">
        <v>8</v>
      </c>
      <c r="F783" t="s">
        <v>815</v>
      </c>
      <c r="G783">
        <v>1</v>
      </c>
      <c r="H783" t="s">
        <v>806</v>
      </c>
      <c r="I783">
        <v>1</v>
      </c>
      <c r="J783">
        <v>6.2450999999999999</v>
      </c>
      <c r="K783">
        <v>0.60270000000000001</v>
      </c>
    </row>
    <row r="784" spans="1:11" x14ac:dyDescent="0.2">
      <c r="A784">
        <v>96173</v>
      </c>
      <c r="B784" t="s">
        <v>1164</v>
      </c>
      <c r="C784" t="str">
        <f t="shared" si="12"/>
        <v>MTNH</v>
      </c>
      <c r="D784" t="s">
        <v>808</v>
      </c>
      <c r="E784">
        <v>8</v>
      </c>
      <c r="F784" t="s">
        <v>815</v>
      </c>
      <c r="G784">
        <v>1</v>
      </c>
      <c r="H784" t="s">
        <v>806</v>
      </c>
      <c r="I784">
        <v>1</v>
      </c>
      <c r="J784">
        <v>2.8092999999999999</v>
      </c>
      <c r="K784">
        <v>0.28170000000000001</v>
      </c>
    </row>
    <row r="785" spans="1:11" x14ac:dyDescent="0.2">
      <c r="A785">
        <v>96173</v>
      </c>
      <c r="B785" t="s">
        <v>1164</v>
      </c>
      <c r="C785" t="str">
        <f t="shared" si="12"/>
        <v>MTNH</v>
      </c>
      <c r="D785" t="s">
        <v>810</v>
      </c>
      <c r="E785">
        <v>8</v>
      </c>
      <c r="F785" t="s">
        <v>815</v>
      </c>
      <c r="G785">
        <v>1</v>
      </c>
      <c r="H785" t="s">
        <v>806</v>
      </c>
      <c r="I785">
        <v>1</v>
      </c>
      <c r="J785">
        <v>11.380100000000001</v>
      </c>
      <c r="K785">
        <v>-0.82840000000000003</v>
      </c>
    </row>
    <row r="786" spans="1:11" x14ac:dyDescent="0.2">
      <c r="A786">
        <v>96173</v>
      </c>
      <c r="B786" t="s">
        <v>1164</v>
      </c>
      <c r="C786" t="str">
        <f t="shared" si="12"/>
        <v>MTNH</v>
      </c>
      <c r="D786" t="s">
        <v>812</v>
      </c>
      <c r="E786">
        <v>8</v>
      </c>
      <c r="F786" t="s">
        <v>815</v>
      </c>
      <c r="G786">
        <v>1</v>
      </c>
      <c r="H786" t="s">
        <v>806</v>
      </c>
      <c r="I786">
        <v>1</v>
      </c>
      <c r="J786">
        <v>11.4733</v>
      </c>
      <c r="K786">
        <v>-0.84909999999999997</v>
      </c>
    </row>
    <row r="787" spans="1:11" x14ac:dyDescent="0.2">
      <c r="A787">
        <v>196105</v>
      </c>
      <c r="B787" t="s">
        <v>1184</v>
      </c>
      <c r="C787" t="str">
        <f t="shared" si="12"/>
        <v>OZNA</v>
      </c>
      <c r="D787" t="s">
        <v>804</v>
      </c>
      <c r="E787">
        <v>8</v>
      </c>
      <c r="F787" t="s">
        <v>815</v>
      </c>
      <c r="G787">
        <v>1</v>
      </c>
      <c r="H787" t="s">
        <v>806</v>
      </c>
      <c r="I787">
        <v>1</v>
      </c>
      <c r="J787">
        <v>8.5563000000000002</v>
      </c>
      <c r="K787">
        <v>-2.1541999999999999</v>
      </c>
    </row>
    <row r="788" spans="1:11" x14ac:dyDescent="0.2">
      <c r="A788">
        <v>196105</v>
      </c>
      <c r="B788" t="s">
        <v>1184</v>
      </c>
      <c r="C788" t="str">
        <f t="shared" si="12"/>
        <v>OZNA</v>
      </c>
      <c r="D788" t="s">
        <v>807</v>
      </c>
      <c r="E788">
        <v>8</v>
      </c>
      <c r="F788" t="s">
        <v>815</v>
      </c>
      <c r="G788">
        <v>1</v>
      </c>
      <c r="H788" t="s">
        <v>806</v>
      </c>
      <c r="I788">
        <v>1</v>
      </c>
      <c r="J788">
        <v>8.5563000000000002</v>
      </c>
      <c r="K788">
        <v>-2.1541999999999999</v>
      </c>
    </row>
    <row r="789" spans="1:11" x14ac:dyDescent="0.2">
      <c r="A789">
        <v>96123</v>
      </c>
      <c r="B789" t="s">
        <v>1200</v>
      </c>
      <c r="C789" t="str">
        <f t="shared" si="12"/>
        <v>PGAD</v>
      </c>
      <c r="D789" t="s">
        <v>804</v>
      </c>
      <c r="E789">
        <v>8</v>
      </c>
      <c r="F789" t="s">
        <v>815</v>
      </c>
      <c r="G789">
        <v>1</v>
      </c>
      <c r="H789" t="s">
        <v>806</v>
      </c>
      <c r="I789">
        <v>1</v>
      </c>
      <c r="J789">
        <v>20.805199999999999</v>
      </c>
      <c r="K789">
        <v>-0.59640000000000004</v>
      </c>
    </row>
    <row r="790" spans="1:11" x14ac:dyDescent="0.2">
      <c r="A790">
        <v>96123</v>
      </c>
      <c r="B790" t="s">
        <v>1200</v>
      </c>
      <c r="C790" t="str">
        <f t="shared" si="12"/>
        <v>PGAD</v>
      </c>
      <c r="D790" t="s">
        <v>807</v>
      </c>
      <c r="E790">
        <v>8</v>
      </c>
      <c r="F790" t="s">
        <v>815</v>
      </c>
      <c r="G790">
        <v>1</v>
      </c>
      <c r="H790" t="s">
        <v>806</v>
      </c>
      <c r="I790">
        <v>1</v>
      </c>
      <c r="J790">
        <v>20.885999999999999</v>
      </c>
      <c r="K790">
        <v>-0.62649999999999995</v>
      </c>
    </row>
    <row r="791" spans="1:11" x14ac:dyDescent="0.2">
      <c r="A791">
        <v>96147</v>
      </c>
      <c r="B791" t="s">
        <v>1235</v>
      </c>
      <c r="C791" t="str">
        <f t="shared" si="12"/>
        <v>PPJG</v>
      </c>
      <c r="D791" t="s">
        <v>804</v>
      </c>
      <c r="E791">
        <v>8</v>
      </c>
      <c r="F791" t="s">
        <v>815</v>
      </c>
      <c r="G791">
        <v>1</v>
      </c>
      <c r="H791" t="s">
        <v>806</v>
      </c>
      <c r="I791">
        <v>1</v>
      </c>
      <c r="J791">
        <v>0</v>
      </c>
      <c r="K791">
        <v>0</v>
      </c>
    </row>
    <row r="792" spans="1:11" x14ac:dyDescent="0.2">
      <c r="A792">
        <v>96147</v>
      </c>
      <c r="B792" t="s">
        <v>1235</v>
      </c>
      <c r="C792" t="str">
        <f t="shared" si="12"/>
        <v>PPJG</v>
      </c>
      <c r="D792" t="s">
        <v>807</v>
      </c>
      <c r="E792">
        <v>8</v>
      </c>
      <c r="F792" t="s">
        <v>815</v>
      </c>
      <c r="G792">
        <v>1</v>
      </c>
      <c r="H792" t="s">
        <v>806</v>
      </c>
      <c r="I792">
        <v>1</v>
      </c>
      <c r="J792">
        <v>10.589</v>
      </c>
      <c r="K792">
        <v>0.2268</v>
      </c>
    </row>
    <row r="793" spans="1:11" x14ac:dyDescent="0.2">
      <c r="A793">
        <v>96189</v>
      </c>
      <c r="B793" t="s">
        <v>1351</v>
      </c>
      <c r="C793" t="str">
        <f t="shared" si="12"/>
        <v>TGBU</v>
      </c>
      <c r="D793" t="s">
        <v>804</v>
      </c>
      <c r="E793">
        <v>8</v>
      </c>
      <c r="F793" t="s">
        <v>815</v>
      </c>
      <c r="G793">
        <v>1</v>
      </c>
      <c r="H793" t="s">
        <v>806</v>
      </c>
      <c r="I793">
        <v>1</v>
      </c>
      <c r="J793">
        <v>3.7267999999999999</v>
      </c>
      <c r="K793">
        <v>0.58509999999999995</v>
      </c>
    </row>
    <row r="794" spans="1:11" x14ac:dyDescent="0.2">
      <c r="A794">
        <v>96189</v>
      </c>
      <c r="B794" t="s">
        <v>1351</v>
      </c>
      <c r="C794" t="str">
        <f t="shared" si="12"/>
        <v>TGBU</v>
      </c>
      <c r="D794" t="s">
        <v>807</v>
      </c>
      <c r="E794">
        <v>8</v>
      </c>
      <c r="F794" t="s">
        <v>815</v>
      </c>
      <c r="G794">
        <v>1</v>
      </c>
      <c r="H794" t="s">
        <v>806</v>
      </c>
      <c r="I794">
        <v>1</v>
      </c>
      <c r="J794">
        <v>3.6387</v>
      </c>
      <c r="K794">
        <v>0.55089999999999995</v>
      </c>
    </row>
    <row r="795" spans="1:11" x14ac:dyDescent="0.2">
      <c r="A795">
        <v>96189</v>
      </c>
      <c r="B795" t="s">
        <v>1351</v>
      </c>
      <c r="C795" t="str">
        <f t="shared" si="12"/>
        <v>TGBU</v>
      </c>
      <c r="D795" t="s">
        <v>808</v>
      </c>
      <c r="E795">
        <v>8</v>
      </c>
      <c r="F795" t="s">
        <v>815</v>
      </c>
      <c r="G795">
        <v>1</v>
      </c>
      <c r="H795" t="s">
        <v>806</v>
      </c>
      <c r="I795">
        <v>1</v>
      </c>
      <c r="J795">
        <v>16.782299999999999</v>
      </c>
      <c r="K795">
        <v>4.9806999999999997</v>
      </c>
    </row>
    <row r="796" spans="1:11" x14ac:dyDescent="0.2">
      <c r="A796">
        <v>96189</v>
      </c>
      <c r="B796" t="s">
        <v>1351</v>
      </c>
      <c r="C796" t="str">
        <f t="shared" si="12"/>
        <v>TGBU</v>
      </c>
      <c r="D796" t="s">
        <v>809</v>
      </c>
      <c r="E796">
        <v>8</v>
      </c>
      <c r="F796" t="s">
        <v>815</v>
      </c>
      <c r="G796">
        <v>1</v>
      </c>
      <c r="H796" t="s">
        <v>806</v>
      </c>
      <c r="I796">
        <v>1</v>
      </c>
      <c r="J796">
        <v>16.861000000000001</v>
      </c>
      <c r="K796">
        <v>4.9973000000000001</v>
      </c>
    </row>
    <row r="797" spans="1:11" x14ac:dyDescent="0.2">
      <c r="A797">
        <v>97117</v>
      </c>
      <c r="B797" t="s">
        <v>1368</v>
      </c>
      <c r="C797" t="str">
        <f t="shared" si="12"/>
        <v>TKID</v>
      </c>
      <c r="D797" t="s">
        <v>804</v>
      </c>
      <c r="E797">
        <v>8</v>
      </c>
      <c r="F797" t="s">
        <v>815</v>
      </c>
      <c r="G797">
        <v>1</v>
      </c>
      <c r="H797" t="s">
        <v>806</v>
      </c>
      <c r="I797">
        <v>1</v>
      </c>
      <c r="J797">
        <v>8.4725000000000001</v>
      </c>
      <c r="K797">
        <v>0.53539999999999999</v>
      </c>
    </row>
    <row r="798" spans="1:11" x14ac:dyDescent="0.2">
      <c r="A798">
        <v>97117</v>
      </c>
      <c r="B798" t="s">
        <v>1368</v>
      </c>
      <c r="C798" t="str">
        <f t="shared" si="12"/>
        <v>TKID</v>
      </c>
      <c r="D798" t="s">
        <v>807</v>
      </c>
      <c r="E798">
        <v>8</v>
      </c>
      <c r="F798" t="s">
        <v>815</v>
      </c>
      <c r="G798">
        <v>1</v>
      </c>
      <c r="H798" t="s">
        <v>806</v>
      </c>
      <c r="I798">
        <v>1</v>
      </c>
      <c r="J798">
        <v>8.3957999999999995</v>
      </c>
      <c r="K798">
        <v>0.54159999999999997</v>
      </c>
    </row>
    <row r="799" spans="1:11" x14ac:dyDescent="0.2">
      <c r="A799">
        <v>96110</v>
      </c>
      <c r="B799" t="s">
        <v>1375</v>
      </c>
      <c r="C799" t="str">
        <f t="shared" si="12"/>
        <v>TMAS</v>
      </c>
      <c r="D799" t="s">
        <v>804</v>
      </c>
      <c r="E799">
        <v>8</v>
      </c>
      <c r="F799" t="s">
        <v>815</v>
      </c>
      <c r="G799">
        <v>1</v>
      </c>
      <c r="H799" t="s">
        <v>806</v>
      </c>
      <c r="I799">
        <v>1</v>
      </c>
      <c r="J799">
        <v>12.9779</v>
      </c>
      <c r="K799">
        <v>1.2384999999999999</v>
      </c>
    </row>
    <row r="800" spans="1:11" x14ac:dyDescent="0.2">
      <c r="A800">
        <v>96110</v>
      </c>
      <c r="B800" t="s">
        <v>1375</v>
      </c>
      <c r="C800" t="str">
        <f t="shared" si="12"/>
        <v>TMAS</v>
      </c>
      <c r="D800" t="s">
        <v>807</v>
      </c>
      <c r="E800">
        <v>8</v>
      </c>
      <c r="F800" t="s">
        <v>815</v>
      </c>
      <c r="G800">
        <v>1</v>
      </c>
      <c r="H800" t="s">
        <v>806</v>
      </c>
      <c r="I800">
        <v>1</v>
      </c>
      <c r="J800">
        <v>15.171099999999999</v>
      </c>
      <c r="K800">
        <v>1.5210999999999999</v>
      </c>
    </row>
    <row r="801" spans="1:11" x14ac:dyDescent="0.2">
      <c r="A801">
        <v>96113</v>
      </c>
      <c r="B801" t="s">
        <v>1400</v>
      </c>
      <c r="C801" t="str">
        <f t="shared" si="12"/>
        <v>UPSR</v>
      </c>
      <c r="D801" t="s">
        <v>804</v>
      </c>
      <c r="E801">
        <v>8</v>
      </c>
      <c r="F801" t="s">
        <v>815</v>
      </c>
      <c r="G801">
        <v>1</v>
      </c>
      <c r="H801" t="s">
        <v>806</v>
      </c>
      <c r="I801">
        <v>1</v>
      </c>
      <c r="J801">
        <v>7.2423000000000002</v>
      </c>
      <c r="K801">
        <v>0.61719999999999997</v>
      </c>
    </row>
    <row r="802" spans="1:11" x14ac:dyDescent="0.2">
      <c r="A802">
        <v>96113</v>
      </c>
      <c r="B802" t="s">
        <v>1400</v>
      </c>
      <c r="C802" t="str">
        <f t="shared" si="12"/>
        <v>UPSR</v>
      </c>
      <c r="D802" t="s">
        <v>807</v>
      </c>
      <c r="E802">
        <v>8</v>
      </c>
      <c r="F802" t="s">
        <v>815</v>
      </c>
      <c r="G802">
        <v>1</v>
      </c>
      <c r="H802" t="s">
        <v>806</v>
      </c>
      <c r="I802">
        <v>1</v>
      </c>
      <c r="J802">
        <v>11.6318</v>
      </c>
      <c r="K802">
        <v>1.0862000000000001</v>
      </c>
    </row>
    <row r="803" spans="1:11" x14ac:dyDescent="0.2">
      <c r="A803">
        <v>96113</v>
      </c>
      <c r="B803" t="s">
        <v>1400</v>
      </c>
      <c r="C803" t="str">
        <f t="shared" si="12"/>
        <v>UPSR</v>
      </c>
      <c r="D803" t="s">
        <v>808</v>
      </c>
      <c r="E803">
        <v>8</v>
      </c>
      <c r="F803" t="s">
        <v>815</v>
      </c>
      <c r="G803">
        <v>1</v>
      </c>
      <c r="H803" t="s">
        <v>806</v>
      </c>
      <c r="I803">
        <v>1</v>
      </c>
      <c r="J803">
        <v>25.654499999999999</v>
      </c>
      <c r="K803">
        <v>3.4472</v>
      </c>
    </row>
    <row r="804" spans="1:11" x14ac:dyDescent="0.2">
      <c r="A804">
        <v>96113</v>
      </c>
      <c r="B804" t="s">
        <v>1400</v>
      </c>
      <c r="C804" t="str">
        <f t="shared" si="12"/>
        <v>UPSR</v>
      </c>
      <c r="D804" t="s">
        <v>809</v>
      </c>
      <c r="E804">
        <v>8</v>
      </c>
      <c r="F804" t="s">
        <v>815</v>
      </c>
      <c r="G804">
        <v>1</v>
      </c>
      <c r="H804" t="s">
        <v>806</v>
      </c>
      <c r="I804">
        <v>1</v>
      </c>
      <c r="J804">
        <v>25.642099999999999</v>
      </c>
      <c r="K804">
        <v>3.3778000000000001</v>
      </c>
    </row>
    <row r="805" spans="1:11" x14ac:dyDescent="0.2">
      <c r="A805">
        <v>96195</v>
      </c>
      <c r="B805" t="s">
        <v>1414</v>
      </c>
      <c r="C805" t="str">
        <f t="shared" si="12"/>
        <v>ZRNA</v>
      </c>
      <c r="D805" t="s">
        <v>804</v>
      </c>
      <c r="E805">
        <v>8</v>
      </c>
      <c r="F805" t="s">
        <v>815</v>
      </c>
      <c r="G805">
        <v>1</v>
      </c>
      <c r="H805" t="s">
        <v>806</v>
      </c>
      <c r="I805">
        <v>1</v>
      </c>
      <c r="J805">
        <v>6.7297000000000002</v>
      </c>
      <c r="K805">
        <v>0.49909999999999999</v>
      </c>
    </row>
    <row r="806" spans="1:11" x14ac:dyDescent="0.2">
      <c r="A806">
        <v>96195</v>
      </c>
      <c r="B806" t="s">
        <v>1414</v>
      </c>
      <c r="C806" t="str">
        <f t="shared" si="12"/>
        <v>ZRNA</v>
      </c>
      <c r="D806" t="s">
        <v>807</v>
      </c>
      <c r="E806">
        <v>8</v>
      </c>
      <c r="F806" t="s">
        <v>815</v>
      </c>
      <c r="G806">
        <v>1</v>
      </c>
      <c r="H806" t="s">
        <v>806</v>
      </c>
      <c r="I806">
        <v>1</v>
      </c>
      <c r="J806">
        <v>6.7473000000000001</v>
      </c>
      <c r="K806">
        <v>0.52190000000000003</v>
      </c>
    </row>
    <row r="807" spans="1:11" x14ac:dyDescent="0.2">
      <c r="A807">
        <v>97122</v>
      </c>
      <c r="B807" t="s">
        <v>816</v>
      </c>
      <c r="C807" t="str">
        <f t="shared" si="12"/>
        <v>AHMJ</v>
      </c>
      <c r="D807" t="s">
        <v>804</v>
      </c>
      <c r="E807">
        <v>9</v>
      </c>
      <c r="F807" t="s">
        <v>817</v>
      </c>
      <c r="G807">
        <v>1</v>
      </c>
      <c r="H807" t="s">
        <v>806</v>
      </c>
      <c r="I807">
        <v>1</v>
      </c>
      <c r="J807">
        <v>12.032500000000001</v>
      </c>
      <c r="K807">
        <v>0.96299999999999997</v>
      </c>
    </row>
    <row r="808" spans="1:11" x14ac:dyDescent="0.2">
      <c r="A808">
        <v>97122</v>
      </c>
      <c r="B808" t="s">
        <v>816</v>
      </c>
      <c r="C808" t="str">
        <f t="shared" si="12"/>
        <v>AHMJ</v>
      </c>
      <c r="D808" t="s">
        <v>807</v>
      </c>
      <c r="E808">
        <v>9</v>
      </c>
      <c r="F808" t="s">
        <v>817</v>
      </c>
      <c r="G808">
        <v>1</v>
      </c>
      <c r="H808" t="s">
        <v>806</v>
      </c>
      <c r="I808">
        <v>1</v>
      </c>
      <c r="J808">
        <v>12.168100000000001</v>
      </c>
      <c r="K808">
        <v>-0.2402</v>
      </c>
    </row>
    <row r="809" spans="1:11" x14ac:dyDescent="0.2">
      <c r="A809">
        <v>97164</v>
      </c>
      <c r="B809" t="s">
        <v>864</v>
      </c>
      <c r="C809" t="str">
        <f t="shared" si="12"/>
        <v>BBTU</v>
      </c>
      <c r="D809" t="s">
        <v>804</v>
      </c>
      <c r="E809">
        <v>9</v>
      </c>
      <c r="F809" t="s">
        <v>817</v>
      </c>
      <c r="G809">
        <v>1</v>
      </c>
      <c r="H809" t="s">
        <v>806</v>
      </c>
      <c r="I809">
        <v>1</v>
      </c>
      <c r="J809">
        <v>12.747</v>
      </c>
      <c r="K809">
        <v>2.4127000000000001</v>
      </c>
    </row>
    <row r="810" spans="1:11" x14ac:dyDescent="0.2">
      <c r="A810">
        <v>97164</v>
      </c>
      <c r="B810" t="s">
        <v>864</v>
      </c>
      <c r="C810" t="str">
        <f t="shared" si="12"/>
        <v>BBTU</v>
      </c>
      <c r="D810" t="s">
        <v>807</v>
      </c>
      <c r="E810">
        <v>9</v>
      </c>
      <c r="F810" t="s">
        <v>817</v>
      </c>
      <c r="G810">
        <v>1</v>
      </c>
      <c r="H810" t="s">
        <v>806</v>
      </c>
      <c r="I810">
        <v>1</v>
      </c>
      <c r="J810">
        <v>11.659700000000001</v>
      </c>
      <c r="K810">
        <v>0.91120000000000001</v>
      </c>
    </row>
    <row r="811" spans="1:11" x14ac:dyDescent="0.2">
      <c r="A811">
        <v>297111</v>
      </c>
      <c r="B811" t="s">
        <v>865</v>
      </c>
      <c r="C811" t="str">
        <f t="shared" si="12"/>
        <v>BBTU</v>
      </c>
      <c r="D811" t="s">
        <v>848</v>
      </c>
      <c r="E811">
        <v>9</v>
      </c>
      <c r="F811" t="s">
        <v>817</v>
      </c>
      <c r="G811">
        <v>1</v>
      </c>
      <c r="H811" t="s">
        <v>806</v>
      </c>
      <c r="I811">
        <v>1</v>
      </c>
      <c r="J811">
        <v>8.5055999999999994</v>
      </c>
      <c r="K811">
        <v>2.2014999999999998</v>
      </c>
    </row>
    <row r="812" spans="1:11" x14ac:dyDescent="0.2">
      <c r="A812">
        <v>97174</v>
      </c>
      <c r="B812" t="s">
        <v>878</v>
      </c>
      <c r="C812" t="str">
        <f t="shared" si="12"/>
        <v>BKPG</v>
      </c>
      <c r="D812" t="s">
        <v>804</v>
      </c>
      <c r="E812">
        <v>9</v>
      </c>
      <c r="F812" t="s">
        <v>817</v>
      </c>
      <c r="G812">
        <v>1</v>
      </c>
      <c r="H812" t="s">
        <v>806</v>
      </c>
      <c r="I812">
        <v>1</v>
      </c>
      <c r="J812">
        <v>3.8365</v>
      </c>
      <c r="K812">
        <v>-0.7601</v>
      </c>
    </row>
    <row r="813" spans="1:11" x14ac:dyDescent="0.2">
      <c r="A813">
        <v>97174</v>
      </c>
      <c r="B813" t="s">
        <v>878</v>
      </c>
      <c r="C813" t="str">
        <f t="shared" si="12"/>
        <v>BKPG</v>
      </c>
      <c r="D813" t="s">
        <v>807</v>
      </c>
      <c r="E813">
        <v>9</v>
      </c>
      <c r="F813" t="s">
        <v>817</v>
      </c>
      <c r="G813">
        <v>1</v>
      </c>
      <c r="H813" t="s">
        <v>806</v>
      </c>
      <c r="I813">
        <v>1</v>
      </c>
      <c r="J813">
        <v>3.8426999999999998</v>
      </c>
      <c r="K813">
        <v>-0.81179999999999997</v>
      </c>
    </row>
    <row r="814" spans="1:11" x14ac:dyDescent="0.2">
      <c r="A814">
        <v>97102</v>
      </c>
      <c r="B814" t="s">
        <v>881</v>
      </c>
      <c r="C814" t="str">
        <f t="shared" si="12"/>
        <v>BKRI</v>
      </c>
      <c r="D814" t="s">
        <v>804</v>
      </c>
      <c r="E814">
        <v>9</v>
      </c>
      <c r="F814" t="s">
        <v>817</v>
      </c>
      <c r="G814">
        <v>1</v>
      </c>
      <c r="H814" t="s">
        <v>806</v>
      </c>
      <c r="I814">
        <v>1</v>
      </c>
      <c r="J814">
        <v>9.1735000000000007</v>
      </c>
      <c r="K814">
        <v>2.8496999999999999</v>
      </c>
    </row>
    <row r="815" spans="1:11" x14ac:dyDescent="0.2">
      <c r="A815">
        <v>97102</v>
      </c>
      <c r="B815" t="s">
        <v>881</v>
      </c>
      <c r="C815" t="str">
        <f t="shared" si="12"/>
        <v>BKRI</v>
      </c>
      <c r="D815" t="s">
        <v>807</v>
      </c>
      <c r="E815">
        <v>9</v>
      </c>
      <c r="F815" t="s">
        <v>817</v>
      </c>
      <c r="G815">
        <v>1</v>
      </c>
      <c r="H815" t="s">
        <v>806</v>
      </c>
      <c r="I815">
        <v>1</v>
      </c>
      <c r="J815">
        <v>9.6757000000000009</v>
      </c>
      <c r="K815">
        <v>-1.1080000000000001</v>
      </c>
    </row>
    <row r="816" spans="1:11" x14ac:dyDescent="0.2">
      <c r="A816">
        <v>97106</v>
      </c>
      <c r="B816" t="s">
        <v>897</v>
      </c>
      <c r="C816" t="str">
        <f t="shared" si="12"/>
        <v>BPHE</v>
      </c>
      <c r="D816" t="s">
        <v>804</v>
      </c>
      <c r="E816">
        <v>9</v>
      </c>
      <c r="F816" t="s">
        <v>817</v>
      </c>
      <c r="G816">
        <v>40</v>
      </c>
      <c r="H816" t="s">
        <v>832</v>
      </c>
      <c r="I816">
        <v>1</v>
      </c>
      <c r="J816">
        <v>34.987400000000001</v>
      </c>
      <c r="K816">
        <v>2.6705999999999999</v>
      </c>
    </row>
    <row r="817" spans="1:11" x14ac:dyDescent="0.2">
      <c r="A817">
        <v>97106</v>
      </c>
      <c r="B817" t="s">
        <v>897</v>
      </c>
      <c r="C817" t="str">
        <f t="shared" si="12"/>
        <v>BPHE</v>
      </c>
      <c r="D817" t="s">
        <v>807</v>
      </c>
      <c r="E817">
        <v>9</v>
      </c>
      <c r="F817" t="s">
        <v>817</v>
      </c>
      <c r="G817">
        <v>40</v>
      </c>
      <c r="H817" t="s">
        <v>832</v>
      </c>
      <c r="I817">
        <v>1</v>
      </c>
      <c r="J817">
        <v>34.894199999999998</v>
      </c>
      <c r="K817">
        <v>2.6528999999999998</v>
      </c>
    </row>
    <row r="818" spans="1:11" x14ac:dyDescent="0.2">
      <c r="A818">
        <v>97129</v>
      </c>
      <c r="B818" t="s">
        <v>898</v>
      </c>
      <c r="C818" t="str">
        <f t="shared" si="12"/>
        <v>BPHT</v>
      </c>
      <c r="D818" t="s">
        <v>804</v>
      </c>
      <c r="E818">
        <v>9</v>
      </c>
      <c r="F818" t="s">
        <v>817</v>
      </c>
      <c r="G818">
        <v>1</v>
      </c>
      <c r="H818" t="s">
        <v>806</v>
      </c>
      <c r="I818">
        <v>1</v>
      </c>
      <c r="J818">
        <v>11.055</v>
      </c>
      <c r="K818">
        <v>2.3422999999999998</v>
      </c>
    </row>
    <row r="819" spans="1:11" x14ac:dyDescent="0.2">
      <c r="A819">
        <v>97129</v>
      </c>
      <c r="B819" t="s">
        <v>898</v>
      </c>
      <c r="C819" t="str">
        <f t="shared" si="12"/>
        <v>BPHT</v>
      </c>
      <c r="D819" t="s">
        <v>807</v>
      </c>
      <c r="E819">
        <v>9</v>
      </c>
      <c r="F819" t="s">
        <v>817</v>
      </c>
      <c r="G819">
        <v>1</v>
      </c>
      <c r="H819" t="s">
        <v>806</v>
      </c>
      <c r="I819">
        <v>1</v>
      </c>
      <c r="J819">
        <v>11.890599999999999</v>
      </c>
      <c r="K819">
        <v>2.6156999999999999</v>
      </c>
    </row>
    <row r="820" spans="1:11" x14ac:dyDescent="0.2">
      <c r="A820">
        <v>97182</v>
      </c>
      <c r="B820" t="s">
        <v>905</v>
      </c>
      <c r="C820" t="str">
        <f t="shared" si="12"/>
        <v>BSPT</v>
      </c>
      <c r="D820" t="s">
        <v>804</v>
      </c>
      <c r="E820">
        <v>9</v>
      </c>
      <c r="F820" t="s">
        <v>817</v>
      </c>
      <c r="G820">
        <v>1</v>
      </c>
      <c r="H820" t="s">
        <v>806</v>
      </c>
      <c r="I820">
        <v>1</v>
      </c>
      <c r="J820">
        <v>9.7760999999999996</v>
      </c>
      <c r="K820">
        <v>1.4320999999999999</v>
      </c>
    </row>
    <row r="821" spans="1:11" x14ac:dyDescent="0.2">
      <c r="A821">
        <v>97182</v>
      </c>
      <c r="B821" t="s">
        <v>905</v>
      </c>
      <c r="C821" t="str">
        <f t="shared" si="12"/>
        <v>BSPT</v>
      </c>
      <c r="D821" t="s">
        <v>807</v>
      </c>
      <c r="E821">
        <v>9</v>
      </c>
      <c r="F821" t="s">
        <v>817</v>
      </c>
      <c r="G821">
        <v>1</v>
      </c>
      <c r="H821" t="s">
        <v>806</v>
      </c>
      <c r="I821">
        <v>1</v>
      </c>
      <c r="J821">
        <v>9.7905999999999995</v>
      </c>
      <c r="K821">
        <v>1.4145000000000001</v>
      </c>
    </row>
    <row r="822" spans="1:11" x14ac:dyDescent="0.2">
      <c r="A822">
        <v>97182</v>
      </c>
      <c r="B822" t="s">
        <v>905</v>
      </c>
      <c r="C822" t="str">
        <f t="shared" si="12"/>
        <v>BSPT</v>
      </c>
      <c r="D822" t="s">
        <v>808</v>
      </c>
      <c r="E822">
        <v>9</v>
      </c>
      <c r="F822" t="s">
        <v>817</v>
      </c>
      <c r="G822">
        <v>1</v>
      </c>
      <c r="H822" t="s">
        <v>806</v>
      </c>
      <c r="I822">
        <v>1</v>
      </c>
      <c r="J822">
        <v>15.3606</v>
      </c>
      <c r="K822">
        <v>-1.6112</v>
      </c>
    </row>
    <row r="823" spans="1:11" x14ac:dyDescent="0.2">
      <c r="A823">
        <v>97182</v>
      </c>
      <c r="B823" t="s">
        <v>905</v>
      </c>
      <c r="C823" t="str">
        <f t="shared" si="12"/>
        <v>BSPT</v>
      </c>
      <c r="D823" t="s">
        <v>809</v>
      </c>
      <c r="E823">
        <v>9</v>
      </c>
      <c r="F823" t="s">
        <v>817</v>
      </c>
      <c r="G823">
        <v>1</v>
      </c>
      <c r="H823" t="s">
        <v>806</v>
      </c>
      <c r="I823">
        <v>1</v>
      </c>
      <c r="J823">
        <v>15.5418</v>
      </c>
      <c r="K823">
        <v>-1.6215999999999999</v>
      </c>
    </row>
    <row r="824" spans="1:11" x14ac:dyDescent="0.2">
      <c r="A824">
        <v>97148</v>
      </c>
      <c r="B824" t="s">
        <v>922</v>
      </c>
      <c r="C824" t="str">
        <f t="shared" si="12"/>
        <v>CAAH</v>
      </c>
      <c r="D824" t="s">
        <v>808</v>
      </c>
      <c r="E824">
        <v>9</v>
      </c>
      <c r="F824" t="s">
        <v>817</v>
      </c>
      <c r="G824">
        <v>1</v>
      </c>
      <c r="H824" t="s">
        <v>806</v>
      </c>
      <c r="I824">
        <v>1</v>
      </c>
      <c r="J824">
        <v>9.9708000000000006</v>
      </c>
      <c r="K824">
        <v>0.86150000000000004</v>
      </c>
    </row>
    <row r="825" spans="1:11" x14ac:dyDescent="0.2">
      <c r="A825">
        <v>97148</v>
      </c>
      <c r="B825" t="s">
        <v>922</v>
      </c>
      <c r="C825" t="str">
        <f t="shared" si="12"/>
        <v>CAAH</v>
      </c>
      <c r="D825" t="s">
        <v>809</v>
      </c>
      <c r="E825">
        <v>9</v>
      </c>
      <c r="F825" t="s">
        <v>817</v>
      </c>
      <c r="G825">
        <v>1</v>
      </c>
      <c r="H825" t="s">
        <v>806</v>
      </c>
      <c r="I825">
        <v>1</v>
      </c>
      <c r="J825">
        <v>9.9108000000000001</v>
      </c>
      <c r="K825">
        <v>0.86150000000000004</v>
      </c>
    </row>
    <row r="826" spans="1:11" x14ac:dyDescent="0.2">
      <c r="A826">
        <v>97178</v>
      </c>
      <c r="B826" t="s">
        <v>926</v>
      </c>
      <c r="C826" t="str">
        <f t="shared" si="12"/>
        <v>CBRU</v>
      </c>
      <c r="D826" t="s">
        <v>804</v>
      </c>
      <c r="E826">
        <v>9</v>
      </c>
      <c r="F826" t="s">
        <v>817</v>
      </c>
      <c r="G826">
        <v>1</v>
      </c>
      <c r="H826" t="s">
        <v>806</v>
      </c>
      <c r="I826">
        <v>1</v>
      </c>
      <c r="J826">
        <v>8.9870999999999999</v>
      </c>
      <c r="K826">
        <v>0.47010000000000002</v>
      </c>
    </row>
    <row r="827" spans="1:11" x14ac:dyDescent="0.2">
      <c r="A827">
        <v>97178</v>
      </c>
      <c r="B827" t="s">
        <v>926</v>
      </c>
      <c r="C827" t="str">
        <f t="shared" si="12"/>
        <v>CBRU</v>
      </c>
      <c r="D827" t="s">
        <v>807</v>
      </c>
      <c r="E827">
        <v>9</v>
      </c>
      <c r="F827" t="s">
        <v>817</v>
      </c>
      <c r="G827">
        <v>1</v>
      </c>
      <c r="H827" t="s">
        <v>806</v>
      </c>
      <c r="I827">
        <v>1</v>
      </c>
      <c r="J827">
        <v>8.9519000000000002</v>
      </c>
      <c r="K827">
        <v>0.45669999999999999</v>
      </c>
    </row>
    <row r="828" spans="1:11" x14ac:dyDescent="0.2">
      <c r="A828">
        <v>97178</v>
      </c>
      <c r="B828" t="s">
        <v>926</v>
      </c>
      <c r="C828" t="str">
        <f t="shared" si="12"/>
        <v>CBRU</v>
      </c>
      <c r="D828" t="s">
        <v>808</v>
      </c>
      <c r="E828">
        <v>9</v>
      </c>
      <c r="F828" t="s">
        <v>817</v>
      </c>
      <c r="G828">
        <v>1</v>
      </c>
      <c r="H828" t="s">
        <v>806</v>
      </c>
      <c r="I828">
        <v>1</v>
      </c>
      <c r="J828">
        <v>24.7029</v>
      </c>
      <c r="K828">
        <v>-0.1595</v>
      </c>
    </row>
    <row r="829" spans="1:11" x14ac:dyDescent="0.2">
      <c r="A829">
        <v>97178</v>
      </c>
      <c r="B829" t="s">
        <v>926</v>
      </c>
      <c r="C829" t="str">
        <f t="shared" si="12"/>
        <v>CBRU</v>
      </c>
      <c r="D829" t="s">
        <v>809</v>
      </c>
      <c r="E829">
        <v>9</v>
      </c>
      <c r="F829" t="s">
        <v>817</v>
      </c>
      <c r="G829">
        <v>1</v>
      </c>
      <c r="H829" t="s">
        <v>806</v>
      </c>
      <c r="I829">
        <v>1</v>
      </c>
      <c r="J829">
        <v>24.4833</v>
      </c>
      <c r="K829">
        <v>-0.1595</v>
      </c>
    </row>
    <row r="830" spans="1:11" x14ac:dyDescent="0.2">
      <c r="A830">
        <v>97197</v>
      </c>
      <c r="B830" t="s">
        <v>939</v>
      </c>
      <c r="C830" t="str">
        <f t="shared" si="12"/>
        <v>DBAY</v>
      </c>
      <c r="D830" t="s">
        <v>804</v>
      </c>
      <c r="E830">
        <v>9</v>
      </c>
      <c r="F830" t="s">
        <v>817</v>
      </c>
      <c r="G830">
        <v>1</v>
      </c>
      <c r="H830" t="s">
        <v>806</v>
      </c>
      <c r="I830">
        <v>1</v>
      </c>
      <c r="J830">
        <v>0</v>
      </c>
      <c r="K830">
        <v>0</v>
      </c>
    </row>
    <row r="831" spans="1:11" x14ac:dyDescent="0.2">
      <c r="A831">
        <v>97197</v>
      </c>
      <c r="B831" t="s">
        <v>939</v>
      </c>
      <c r="C831" t="str">
        <f t="shared" si="12"/>
        <v>DBAY</v>
      </c>
      <c r="D831" t="s">
        <v>807</v>
      </c>
      <c r="E831">
        <v>9</v>
      </c>
      <c r="F831" t="s">
        <v>817</v>
      </c>
      <c r="G831">
        <v>1</v>
      </c>
      <c r="H831" t="s">
        <v>806</v>
      </c>
      <c r="I831">
        <v>1</v>
      </c>
      <c r="J831">
        <v>0</v>
      </c>
      <c r="K831">
        <v>0</v>
      </c>
    </row>
    <row r="832" spans="1:11" x14ac:dyDescent="0.2">
      <c r="A832">
        <v>97157</v>
      </c>
      <c r="B832" t="s">
        <v>946</v>
      </c>
      <c r="C832" t="str">
        <f t="shared" si="12"/>
        <v>DSRU</v>
      </c>
      <c r="D832" t="s">
        <v>804</v>
      </c>
      <c r="E832">
        <v>9</v>
      </c>
      <c r="F832" t="s">
        <v>817</v>
      </c>
      <c r="G832">
        <v>1</v>
      </c>
      <c r="H832" t="s">
        <v>806</v>
      </c>
      <c r="I832">
        <v>1</v>
      </c>
      <c r="J832">
        <v>4.4941000000000004</v>
      </c>
      <c r="K832">
        <v>-9.3200000000000005E-2</v>
      </c>
    </row>
    <row r="833" spans="1:11" x14ac:dyDescent="0.2">
      <c r="A833">
        <v>97157</v>
      </c>
      <c r="B833" t="s">
        <v>946</v>
      </c>
      <c r="C833" t="str">
        <f t="shared" si="12"/>
        <v>DSRU</v>
      </c>
      <c r="D833" t="s">
        <v>807</v>
      </c>
      <c r="E833">
        <v>9</v>
      </c>
      <c r="F833" t="s">
        <v>817</v>
      </c>
      <c r="G833">
        <v>1</v>
      </c>
      <c r="H833" t="s">
        <v>806</v>
      </c>
      <c r="I833">
        <v>1</v>
      </c>
      <c r="J833">
        <v>6.4635999999999996</v>
      </c>
      <c r="K833">
        <v>-0.67100000000000004</v>
      </c>
    </row>
    <row r="834" spans="1:11" x14ac:dyDescent="0.2">
      <c r="A834">
        <v>97176</v>
      </c>
      <c r="B834" t="s">
        <v>961</v>
      </c>
      <c r="C834" t="str">
        <f t="shared" si="12"/>
        <v>FCTR</v>
      </c>
      <c r="D834" t="s">
        <v>804</v>
      </c>
      <c r="E834">
        <v>9</v>
      </c>
      <c r="F834" t="s">
        <v>817</v>
      </c>
      <c r="G834">
        <v>1</v>
      </c>
      <c r="H834" t="s">
        <v>806</v>
      </c>
      <c r="I834">
        <v>1</v>
      </c>
      <c r="J834">
        <v>37.785299999999999</v>
      </c>
      <c r="K834">
        <v>-6.7306999999999997</v>
      </c>
    </row>
    <row r="835" spans="1:11" x14ac:dyDescent="0.2">
      <c r="A835">
        <v>97176</v>
      </c>
      <c r="B835" t="s">
        <v>961</v>
      </c>
      <c r="C835" t="str">
        <f t="shared" ref="C835:C898" si="13">LEFT(B835,4)</f>
        <v>FCTR</v>
      </c>
      <c r="D835" t="s">
        <v>807</v>
      </c>
      <c r="E835">
        <v>9</v>
      </c>
      <c r="F835" t="s">
        <v>817</v>
      </c>
      <c r="G835">
        <v>1</v>
      </c>
      <c r="H835" t="s">
        <v>806</v>
      </c>
      <c r="I835">
        <v>1</v>
      </c>
      <c r="J835">
        <v>39.121099999999998</v>
      </c>
      <c r="K835">
        <v>3.8416999999999999</v>
      </c>
    </row>
    <row r="836" spans="1:11" x14ac:dyDescent="0.2">
      <c r="A836">
        <v>97187</v>
      </c>
      <c r="B836" t="s">
        <v>976</v>
      </c>
      <c r="C836" t="str">
        <f t="shared" si="13"/>
        <v>GPTH</v>
      </c>
      <c r="D836" t="s">
        <v>804</v>
      </c>
      <c r="E836">
        <v>9</v>
      </c>
      <c r="F836" t="s">
        <v>817</v>
      </c>
      <c r="G836">
        <v>1</v>
      </c>
      <c r="H836" t="s">
        <v>806</v>
      </c>
      <c r="I836">
        <v>1</v>
      </c>
      <c r="J836">
        <v>6.9481999999999999</v>
      </c>
      <c r="K836">
        <v>-5.28E-2</v>
      </c>
    </row>
    <row r="837" spans="1:11" x14ac:dyDescent="0.2">
      <c r="A837">
        <v>97187</v>
      </c>
      <c r="B837" t="s">
        <v>976</v>
      </c>
      <c r="C837" t="str">
        <f t="shared" si="13"/>
        <v>GPTH</v>
      </c>
      <c r="D837" t="s">
        <v>807</v>
      </c>
      <c r="E837">
        <v>9</v>
      </c>
      <c r="F837" t="s">
        <v>817</v>
      </c>
      <c r="G837">
        <v>1</v>
      </c>
      <c r="H837" t="s">
        <v>806</v>
      </c>
      <c r="I837">
        <v>1</v>
      </c>
      <c r="J837">
        <v>6.9181999999999997</v>
      </c>
      <c r="K837">
        <v>-6.0100000000000001E-2</v>
      </c>
    </row>
    <row r="838" spans="1:11" x14ac:dyDescent="0.2">
      <c r="A838">
        <v>97187</v>
      </c>
      <c r="B838" t="s">
        <v>976</v>
      </c>
      <c r="C838" t="str">
        <f t="shared" si="13"/>
        <v>GPTH</v>
      </c>
      <c r="D838" t="s">
        <v>808</v>
      </c>
      <c r="E838">
        <v>9</v>
      </c>
      <c r="F838" t="s">
        <v>817</v>
      </c>
      <c r="G838">
        <v>40</v>
      </c>
      <c r="H838" t="s">
        <v>832</v>
      </c>
      <c r="I838">
        <v>1</v>
      </c>
      <c r="J838">
        <v>38.513300000000001</v>
      </c>
      <c r="K838">
        <v>-1.8763000000000001</v>
      </c>
    </row>
    <row r="839" spans="1:11" x14ac:dyDescent="0.2">
      <c r="A839">
        <v>97187</v>
      </c>
      <c r="B839" t="s">
        <v>976</v>
      </c>
      <c r="C839" t="str">
        <f t="shared" si="13"/>
        <v>GPTH</v>
      </c>
      <c r="D839" t="s">
        <v>809</v>
      </c>
      <c r="E839">
        <v>9</v>
      </c>
      <c r="F839" t="s">
        <v>817</v>
      </c>
      <c r="G839">
        <v>40</v>
      </c>
      <c r="H839" t="s">
        <v>832</v>
      </c>
      <c r="I839">
        <v>1</v>
      </c>
      <c r="J839">
        <v>38.445</v>
      </c>
      <c r="K839">
        <v>-1.8555999999999999</v>
      </c>
    </row>
    <row r="840" spans="1:11" x14ac:dyDescent="0.2">
      <c r="A840">
        <v>97105</v>
      </c>
      <c r="B840" t="s">
        <v>979</v>
      </c>
      <c r="C840" t="str">
        <f t="shared" si="13"/>
        <v>GRSK</v>
      </c>
      <c r="D840" t="s">
        <v>804</v>
      </c>
      <c r="E840">
        <v>9</v>
      </c>
      <c r="F840" t="s">
        <v>817</v>
      </c>
      <c r="G840">
        <v>1</v>
      </c>
      <c r="H840" t="s">
        <v>806</v>
      </c>
      <c r="I840">
        <v>1</v>
      </c>
      <c r="J840">
        <v>12.008699999999999</v>
      </c>
      <c r="K840">
        <v>0.40489999999999998</v>
      </c>
    </row>
    <row r="841" spans="1:11" x14ac:dyDescent="0.2">
      <c r="A841">
        <v>97105</v>
      </c>
      <c r="B841" t="s">
        <v>979</v>
      </c>
      <c r="C841" t="str">
        <f t="shared" si="13"/>
        <v>GRSK</v>
      </c>
      <c r="D841" t="s">
        <v>807</v>
      </c>
      <c r="E841">
        <v>9</v>
      </c>
      <c r="F841" t="s">
        <v>817</v>
      </c>
      <c r="G841">
        <v>1</v>
      </c>
      <c r="H841" t="s">
        <v>806</v>
      </c>
      <c r="I841">
        <v>1</v>
      </c>
      <c r="J841">
        <v>11.980700000000001</v>
      </c>
      <c r="K841">
        <v>0.437</v>
      </c>
    </row>
    <row r="842" spans="1:11" x14ac:dyDescent="0.2">
      <c r="A842">
        <v>97253</v>
      </c>
      <c r="B842" t="s">
        <v>981</v>
      </c>
      <c r="C842" t="str">
        <f t="shared" si="13"/>
        <v>GSDC</v>
      </c>
      <c r="D842" t="s">
        <v>804</v>
      </c>
      <c r="E842">
        <v>9</v>
      </c>
      <c r="F842" t="s">
        <v>817</v>
      </c>
      <c r="G842">
        <v>1</v>
      </c>
      <c r="H842" t="s">
        <v>806</v>
      </c>
      <c r="I842">
        <v>1</v>
      </c>
      <c r="J842">
        <v>0</v>
      </c>
      <c r="K842">
        <v>0</v>
      </c>
    </row>
    <row r="843" spans="1:11" x14ac:dyDescent="0.2">
      <c r="A843">
        <v>97253</v>
      </c>
      <c r="B843" t="s">
        <v>981</v>
      </c>
      <c r="C843" t="str">
        <f t="shared" si="13"/>
        <v>GSDC</v>
      </c>
      <c r="D843" t="s">
        <v>807</v>
      </c>
      <c r="E843">
        <v>9</v>
      </c>
      <c r="F843" t="s">
        <v>817</v>
      </c>
      <c r="G843">
        <v>1</v>
      </c>
      <c r="H843" t="s">
        <v>806</v>
      </c>
      <c r="I843">
        <v>1</v>
      </c>
      <c r="J843">
        <v>0</v>
      </c>
      <c r="K843">
        <v>0</v>
      </c>
    </row>
    <row r="844" spans="1:11" x14ac:dyDescent="0.2">
      <c r="A844">
        <v>97253</v>
      </c>
      <c r="B844" t="s">
        <v>981</v>
      </c>
      <c r="C844" t="str">
        <f t="shared" si="13"/>
        <v>GSDC</v>
      </c>
      <c r="D844" t="s">
        <v>808</v>
      </c>
      <c r="E844">
        <v>9</v>
      </c>
      <c r="F844" t="s">
        <v>817</v>
      </c>
      <c r="G844">
        <v>1</v>
      </c>
      <c r="H844" t="s">
        <v>806</v>
      </c>
      <c r="I844">
        <v>1</v>
      </c>
      <c r="J844">
        <v>0</v>
      </c>
      <c r="K844">
        <v>0</v>
      </c>
    </row>
    <row r="845" spans="1:11" x14ac:dyDescent="0.2">
      <c r="A845">
        <v>97253</v>
      </c>
      <c r="B845" t="s">
        <v>981</v>
      </c>
      <c r="C845" t="str">
        <f t="shared" si="13"/>
        <v>GSDC</v>
      </c>
      <c r="D845" t="s">
        <v>809</v>
      </c>
      <c r="E845">
        <v>9</v>
      </c>
      <c r="F845" t="s">
        <v>817</v>
      </c>
      <c r="G845">
        <v>1</v>
      </c>
      <c r="H845" t="s">
        <v>806</v>
      </c>
      <c r="I845">
        <v>1</v>
      </c>
      <c r="J845">
        <v>0</v>
      </c>
      <c r="K845">
        <v>0</v>
      </c>
    </row>
    <row r="846" spans="1:11" x14ac:dyDescent="0.2">
      <c r="A846">
        <v>97407</v>
      </c>
      <c r="B846" t="s">
        <v>986</v>
      </c>
      <c r="C846" t="str">
        <f t="shared" si="13"/>
        <v>GWDC</v>
      </c>
      <c r="D846" t="s">
        <v>804</v>
      </c>
      <c r="E846">
        <v>9</v>
      </c>
      <c r="F846" t="s">
        <v>817</v>
      </c>
      <c r="G846">
        <v>1</v>
      </c>
      <c r="H846" t="s">
        <v>806</v>
      </c>
      <c r="I846">
        <v>1</v>
      </c>
      <c r="J846">
        <v>30.381499999999999</v>
      </c>
      <c r="K846">
        <v>7.0827999999999998</v>
      </c>
    </row>
    <row r="847" spans="1:11" x14ac:dyDescent="0.2">
      <c r="A847">
        <v>97407</v>
      </c>
      <c r="B847" t="s">
        <v>986</v>
      </c>
      <c r="C847" t="str">
        <f t="shared" si="13"/>
        <v>GWDC</v>
      </c>
      <c r="D847" t="s">
        <v>807</v>
      </c>
      <c r="E847">
        <v>9</v>
      </c>
      <c r="F847" t="s">
        <v>817</v>
      </c>
      <c r="G847">
        <v>1</v>
      </c>
      <c r="H847" t="s">
        <v>806</v>
      </c>
      <c r="I847">
        <v>1</v>
      </c>
      <c r="J847">
        <v>27.8963</v>
      </c>
      <c r="K847">
        <v>-5.4053000000000004</v>
      </c>
    </row>
    <row r="848" spans="1:11" x14ac:dyDescent="0.2">
      <c r="A848">
        <v>97194</v>
      </c>
      <c r="B848" t="s">
        <v>1010</v>
      </c>
      <c r="C848" t="str">
        <f t="shared" si="13"/>
        <v>JBSK</v>
      </c>
      <c r="D848" t="s">
        <v>804</v>
      </c>
      <c r="E848">
        <v>9</v>
      </c>
      <c r="F848" t="s">
        <v>817</v>
      </c>
      <c r="G848">
        <v>1</v>
      </c>
      <c r="H848" t="s">
        <v>806</v>
      </c>
      <c r="I848">
        <v>1</v>
      </c>
      <c r="J848">
        <v>25.7425</v>
      </c>
      <c r="K848">
        <v>1.9208000000000001</v>
      </c>
    </row>
    <row r="849" spans="1:11" x14ac:dyDescent="0.2">
      <c r="A849">
        <v>97194</v>
      </c>
      <c r="B849" t="s">
        <v>1010</v>
      </c>
      <c r="C849" t="str">
        <f t="shared" si="13"/>
        <v>JBSK</v>
      </c>
      <c r="D849" t="s">
        <v>807</v>
      </c>
      <c r="E849">
        <v>9</v>
      </c>
      <c r="F849" t="s">
        <v>817</v>
      </c>
      <c r="G849">
        <v>1</v>
      </c>
      <c r="H849" t="s">
        <v>806</v>
      </c>
      <c r="I849">
        <v>1</v>
      </c>
      <c r="J849">
        <v>25.254799999999999</v>
      </c>
      <c r="K849">
        <v>1.8297000000000001</v>
      </c>
    </row>
    <row r="850" spans="1:11" x14ac:dyDescent="0.2">
      <c r="A850">
        <v>97150</v>
      </c>
      <c r="B850" t="s">
        <v>1016</v>
      </c>
      <c r="C850" t="str">
        <f t="shared" si="13"/>
        <v>JMTH</v>
      </c>
      <c r="D850" t="s">
        <v>804</v>
      </c>
      <c r="E850">
        <v>9</v>
      </c>
      <c r="F850" t="s">
        <v>817</v>
      </c>
      <c r="G850">
        <v>1</v>
      </c>
      <c r="H850" t="s">
        <v>806</v>
      </c>
      <c r="I850">
        <v>1</v>
      </c>
      <c r="J850">
        <v>6.3890000000000002</v>
      </c>
      <c r="K850">
        <v>-0.55089999999999995</v>
      </c>
    </row>
    <row r="851" spans="1:11" x14ac:dyDescent="0.2">
      <c r="A851">
        <v>97150</v>
      </c>
      <c r="B851" t="s">
        <v>1016</v>
      </c>
      <c r="C851" t="str">
        <f t="shared" si="13"/>
        <v>JMTH</v>
      </c>
      <c r="D851" t="s">
        <v>807</v>
      </c>
      <c r="E851">
        <v>9</v>
      </c>
      <c r="F851" t="s">
        <v>817</v>
      </c>
      <c r="G851">
        <v>1</v>
      </c>
      <c r="H851" t="s">
        <v>806</v>
      </c>
      <c r="I851">
        <v>1</v>
      </c>
      <c r="J851">
        <v>7.5384000000000002</v>
      </c>
      <c r="K851">
        <v>-0.73109999999999997</v>
      </c>
    </row>
    <row r="852" spans="1:11" x14ac:dyDescent="0.2">
      <c r="A852">
        <v>97110</v>
      </c>
      <c r="B852" t="s">
        <v>1020</v>
      </c>
      <c r="C852" t="str">
        <f t="shared" si="13"/>
        <v>JTGH</v>
      </c>
      <c r="D852" t="s">
        <v>804</v>
      </c>
      <c r="E852">
        <v>9</v>
      </c>
      <c r="F852" t="s">
        <v>817</v>
      </c>
      <c r="G852">
        <v>1</v>
      </c>
      <c r="H852" t="s">
        <v>806</v>
      </c>
      <c r="I852">
        <v>1</v>
      </c>
      <c r="J852">
        <v>12.193</v>
      </c>
      <c r="K852">
        <v>1.7821</v>
      </c>
    </row>
    <row r="853" spans="1:11" x14ac:dyDescent="0.2">
      <c r="A853">
        <v>97110</v>
      </c>
      <c r="B853" t="s">
        <v>1020</v>
      </c>
      <c r="C853" t="str">
        <f t="shared" si="13"/>
        <v>JTGH</v>
      </c>
      <c r="D853" t="s">
        <v>807</v>
      </c>
      <c r="E853">
        <v>9</v>
      </c>
      <c r="F853" t="s">
        <v>817</v>
      </c>
      <c r="G853">
        <v>1</v>
      </c>
      <c r="H853" t="s">
        <v>806</v>
      </c>
      <c r="I853">
        <v>1</v>
      </c>
      <c r="J853">
        <v>12.245799999999999</v>
      </c>
      <c r="K853">
        <v>1.7789999999999999</v>
      </c>
    </row>
    <row r="854" spans="1:11" x14ac:dyDescent="0.2">
      <c r="A854">
        <v>97173</v>
      </c>
      <c r="B854" t="s">
        <v>1024</v>
      </c>
      <c r="C854" t="str">
        <f t="shared" si="13"/>
        <v>KBEK</v>
      </c>
      <c r="D854" t="s">
        <v>804</v>
      </c>
      <c r="E854">
        <v>9</v>
      </c>
      <c r="F854" t="s">
        <v>817</v>
      </c>
      <c r="G854">
        <v>1</v>
      </c>
      <c r="H854" t="s">
        <v>806</v>
      </c>
      <c r="I854">
        <v>1</v>
      </c>
      <c r="J854">
        <v>0.23200000000000001</v>
      </c>
      <c r="K854">
        <v>4.9062000000000001</v>
      </c>
    </row>
    <row r="855" spans="1:11" x14ac:dyDescent="0.2">
      <c r="A855">
        <v>97173</v>
      </c>
      <c r="B855" t="s">
        <v>1024</v>
      </c>
      <c r="C855" t="str">
        <f t="shared" si="13"/>
        <v>KBEK</v>
      </c>
      <c r="D855" t="s">
        <v>807</v>
      </c>
      <c r="E855">
        <v>9</v>
      </c>
      <c r="F855" t="s">
        <v>817</v>
      </c>
      <c r="G855">
        <v>1</v>
      </c>
      <c r="H855" t="s">
        <v>806</v>
      </c>
      <c r="I855">
        <v>1</v>
      </c>
      <c r="J855">
        <v>0.82320000000000004</v>
      </c>
      <c r="K855">
        <v>4.4630000000000001</v>
      </c>
    </row>
    <row r="856" spans="1:11" x14ac:dyDescent="0.2">
      <c r="A856">
        <v>97168</v>
      </c>
      <c r="B856" t="s">
        <v>1053</v>
      </c>
      <c r="C856" t="str">
        <f t="shared" si="13"/>
        <v>KKUP</v>
      </c>
      <c r="D856" t="s">
        <v>804</v>
      </c>
      <c r="E856">
        <v>9</v>
      </c>
      <c r="F856" t="s">
        <v>817</v>
      </c>
      <c r="G856">
        <v>1</v>
      </c>
      <c r="H856" t="s">
        <v>806</v>
      </c>
      <c r="I856">
        <v>1</v>
      </c>
      <c r="J856">
        <v>2.6663999999999999</v>
      </c>
      <c r="K856">
        <v>6.6299999999999998E-2</v>
      </c>
    </row>
    <row r="857" spans="1:11" x14ac:dyDescent="0.2">
      <c r="A857">
        <v>97168</v>
      </c>
      <c r="B857" t="s">
        <v>1053</v>
      </c>
      <c r="C857" t="str">
        <f t="shared" si="13"/>
        <v>KKUP</v>
      </c>
      <c r="D857" t="s">
        <v>807</v>
      </c>
      <c r="E857">
        <v>9</v>
      </c>
      <c r="F857" t="s">
        <v>817</v>
      </c>
      <c r="G857">
        <v>1</v>
      </c>
      <c r="H857" t="s">
        <v>806</v>
      </c>
      <c r="I857">
        <v>1</v>
      </c>
      <c r="J857">
        <v>4.6753</v>
      </c>
      <c r="K857">
        <v>-0.1709</v>
      </c>
    </row>
    <row r="858" spans="1:11" x14ac:dyDescent="0.2">
      <c r="A858">
        <v>97112</v>
      </c>
      <c r="B858" t="s">
        <v>1055</v>
      </c>
      <c r="C858" t="str">
        <f t="shared" si="13"/>
        <v>KLAI</v>
      </c>
      <c r="D858" t="s">
        <v>804</v>
      </c>
      <c r="E858">
        <v>9</v>
      </c>
      <c r="F858" t="s">
        <v>817</v>
      </c>
      <c r="G858">
        <v>1</v>
      </c>
      <c r="H858" t="s">
        <v>806</v>
      </c>
      <c r="I858">
        <v>1</v>
      </c>
      <c r="J858">
        <v>0</v>
      </c>
      <c r="K858">
        <v>0</v>
      </c>
    </row>
    <row r="859" spans="1:11" x14ac:dyDescent="0.2">
      <c r="A859">
        <v>597112</v>
      </c>
      <c r="B859" t="s">
        <v>1056</v>
      </c>
      <c r="C859" t="str">
        <f t="shared" si="13"/>
        <v>KLAI</v>
      </c>
      <c r="D859" t="s">
        <v>807</v>
      </c>
      <c r="E859">
        <v>9</v>
      </c>
      <c r="F859" t="s">
        <v>817</v>
      </c>
      <c r="G859">
        <v>1</v>
      </c>
      <c r="H859" t="s">
        <v>806</v>
      </c>
      <c r="I859">
        <v>1</v>
      </c>
      <c r="J859">
        <v>20.135300000000001</v>
      </c>
      <c r="K859">
        <v>3.7765</v>
      </c>
    </row>
    <row r="860" spans="1:11" x14ac:dyDescent="0.2">
      <c r="A860">
        <v>97149</v>
      </c>
      <c r="B860" t="s">
        <v>1064</v>
      </c>
      <c r="C860" t="str">
        <f t="shared" si="13"/>
        <v>KLID</v>
      </c>
      <c r="D860" t="s">
        <v>804</v>
      </c>
      <c r="E860">
        <v>9</v>
      </c>
      <c r="F860" t="s">
        <v>817</v>
      </c>
      <c r="G860">
        <v>1</v>
      </c>
      <c r="H860" t="s">
        <v>806</v>
      </c>
      <c r="I860">
        <v>1</v>
      </c>
      <c r="J860">
        <v>10.126099999999999</v>
      </c>
      <c r="K860">
        <v>1.4124000000000001</v>
      </c>
    </row>
    <row r="861" spans="1:11" x14ac:dyDescent="0.2">
      <c r="A861">
        <v>97149</v>
      </c>
      <c r="B861" t="s">
        <v>1064</v>
      </c>
      <c r="C861" t="str">
        <f t="shared" si="13"/>
        <v>KLID</v>
      </c>
      <c r="D861" t="s">
        <v>807</v>
      </c>
      <c r="E861">
        <v>9</v>
      </c>
      <c r="F861" t="s">
        <v>817</v>
      </c>
      <c r="G861">
        <v>1</v>
      </c>
      <c r="H861" t="s">
        <v>806</v>
      </c>
      <c r="I861">
        <v>1</v>
      </c>
      <c r="J861">
        <v>10.852</v>
      </c>
      <c r="K861">
        <v>0.24540000000000001</v>
      </c>
    </row>
    <row r="862" spans="1:11" x14ac:dyDescent="0.2">
      <c r="A862">
        <v>97149</v>
      </c>
      <c r="B862" t="s">
        <v>1064</v>
      </c>
      <c r="C862" t="str">
        <f t="shared" si="13"/>
        <v>KLID</v>
      </c>
      <c r="D862" t="s">
        <v>808</v>
      </c>
      <c r="E862">
        <v>9</v>
      </c>
      <c r="F862" t="s">
        <v>817</v>
      </c>
      <c r="G862">
        <v>1</v>
      </c>
      <c r="H862" t="s">
        <v>806</v>
      </c>
      <c r="I862">
        <v>1</v>
      </c>
      <c r="J862">
        <v>6.3331</v>
      </c>
      <c r="K862">
        <v>-2.3800000000000002E-2</v>
      </c>
    </row>
    <row r="863" spans="1:11" x14ac:dyDescent="0.2">
      <c r="A863">
        <v>97149</v>
      </c>
      <c r="B863" t="s">
        <v>1064</v>
      </c>
      <c r="C863" t="str">
        <f t="shared" si="13"/>
        <v>KLID</v>
      </c>
      <c r="D863" t="s">
        <v>809</v>
      </c>
      <c r="E863">
        <v>9</v>
      </c>
      <c r="F863" t="s">
        <v>817</v>
      </c>
      <c r="G863">
        <v>1</v>
      </c>
      <c r="H863" t="s">
        <v>806</v>
      </c>
      <c r="I863">
        <v>1</v>
      </c>
      <c r="J863">
        <v>10.1158</v>
      </c>
      <c r="K863">
        <v>2.2305000000000001</v>
      </c>
    </row>
    <row r="864" spans="1:11" x14ac:dyDescent="0.2">
      <c r="A864">
        <v>97109</v>
      </c>
      <c r="B864" t="s">
        <v>1071</v>
      </c>
      <c r="C864" t="str">
        <f t="shared" si="13"/>
        <v>KLUG</v>
      </c>
      <c r="D864" t="s">
        <v>804</v>
      </c>
      <c r="E864">
        <v>9</v>
      </c>
      <c r="F864" t="s">
        <v>817</v>
      </c>
      <c r="G864">
        <v>1</v>
      </c>
      <c r="H864" t="s">
        <v>806</v>
      </c>
      <c r="I864">
        <v>1</v>
      </c>
      <c r="J864">
        <v>8.5646000000000004</v>
      </c>
      <c r="K864">
        <v>2.2936000000000001</v>
      </c>
    </row>
    <row r="865" spans="1:11" x14ac:dyDescent="0.2">
      <c r="A865">
        <v>97109</v>
      </c>
      <c r="B865" t="s">
        <v>1071</v>
      </c>
      <c r="C865" t="str">
        <f t="shared" si="13"/>
        <v>KLUG</v>
      </c>
      <c r="D865" t="s">
        <v>807</v>
      </c>
      <c r="E865">
        <v>9</v>
      </c>
      <c r="F865" t="s">
        <v>817</v>
      </c>
      <c r="G865">
        <v>1</v>
      </c>
      <c r="H865" t="s">
        <v>806</v>
      </c>
      <c r="I865">
        <v>1</v>
      </c>
      <c r="J865">
        <v>8.2529000000000003</v>
      </c>
      <c r="K865">
        <v>-0.91120000000000001</v>
      </c>
    </row>
    <row r="866" spans="1:11" x14ac:dyDescent="0.2">
      <c r="A866">
        <v>97109</v>
      </c>
      <c r="B866" t="s">
        <v>1071</v>
      </c>
      <c r="C866" t="str">
        <f t="shared" si="13"/>
        <v>KLUG</v>
      </c>
      <c r="D866" t="s">
        <v>808</v>
      </c>
      <c r="E866">
        <v>9</v>
      </c>
      <c r="F866" t="s">
        <v>817</v>
      </c>
      <c r="G866">
        <v>1</v>
      </c>
      <c r="H866" t="s">
        <v>806</v>
      </c>
      <c r="I866">
        <v>1</v>
      </c>
      <c r="J866">
        <v>12.4208</v>
      </c>
      <c r="K866">
        <v>-2.0057999999999998</v>
      </c>
    </row>
    <row r="867" spans="1:11" x14ac:dyDescent="0.2">
      <c r="A867">
        <v>97109</v>
      </c>
      <c r="B867" t="s">
        <v>1071</v>
      </c>
      <c r="C867" t="str">
        <f t="shared" si="13"/>
        <v>KLUG</v>
      </c>
      <c r="D867" t="s">
        <v>809</v>
      </c>
      <c r="E867">
        <v>9</v>
      </c>
      <c r="F867" t="s">
        <v>817</v>
      </c>
      <c r="G867">
        <v>1</v>
      </c>
      <c r="H867" t="s">
        <v>806</v>
      </c>
      <c r="I867">
        <v>1</v>
      </c>
      <c r="J867">
        <v>12.4125</v>
      </c>
      <c r="K867">
        <v>-1.9964</v>
      </c>
    </row>
    <row r="868" spans="1:11" x14ac:dyDescent="0.2">
      <c r="A868">
        <v>97132</v>
      </c>
      <c r="B868" t="s">
        <v>1080</v>
      </c>
      <c r="C868" t="str">
        <f t="shared" si="13"/>
        <v>KPTR</v>
      </c>
      <c r="D868" t="s">
        <v>804</v>
      </c>
      <c r="E868">
        <v>9</v>
      </c>
      <c r="F868" t="s">
        <v>817</v>
      </c>
      <c r="G868">
        <v>1</v>
      </c>
      <c r="H868" t="s">
        <v>806</v>
      </c>
      <c r="I868">
        <v>1</v>
      </c>
      <c r="J868">
        <v>11.7539</v>
      </c>
      <c r="K868">
        <v>0.75590000000000002</v>
      </c>
    </row>
    <row r="869" spans="1:11" x14ac:dyDescent="0.2">
      <c r="A869">
        <v>97132</v>
      </c>
      <c r="B869" t="s">
        <v>1080</v>
      </c>
      <c r="C869" t="str">
        <f t="shared" si="13"/>
        <v>KPTR</v>
      </c>
      <c r="D869" t="s">
        <v>807</v>
      </c>
      <c r="E869">
        <v>9</v>
      </c>
      <c r="F869" t="s">
        <v>817</v>
      </c>
      <c r="G869">
        <v>1</v>
      </c>
      <c r="H869" t="s">
        <v>806</v>
      </c>
      <c r="I869">
        <v>1</v>
      </c>
      <c r="J869">
        <v>11.748799999999999</v>
      </c>
      <c r="K869">
        <v>0.7601</v>
      </c>
    </row>
    <row r="870" spans="1:11" x14ac:dyDescent="0.2">
      <c r="A870">
        <v>97158</v>
      </c>
      <c r="B870" t="s">
        <v>1094</v>
      </c>
      <c r="C870" t="str">
        <f t="shared" si="13"/>
        <v>KSNI</v>
      </c>
      <c r="D870" t="s">
        <v>823</v>
      </c>
      <c r="E870">
        <v>9</v>
      </c>
      <c r="F870" t="s">
        <v>817</v>
      </c>
      <c r="G870">
        <v>1</v>
      </c>
      <c r="H870" t="s">
        <v>806</v>
      </c>
      <c r="I870">
        <v>1</v>
      </c>
      <c r="J870">
        <v>0</v>
      </c>
      <c r="K870">
        <v>0</v>
      </c>
    </row>
    <row r="871" spans="1:11" x14ac:dyDescent="0.2">
      <c r="A871">
        <v>97158</v>
      </c>
      <c r="B871" t="s">
        <v>1094</v>
      </c>
      <c r="C871" t="str">
        <f t="shared" si="13"/>
        <v>KSNI</v>
      </c>
      <c r="D871" t="s">
        <v>826</v>
      </c>
      <c r="E871">
        <v>9</v>
      </c>
      <c r="F871" t="s">
        <v>817</v>
      </c>
      <c r="G871">
        <v>1</v>
      </c>
      <c r="H871" t="s">
        <v>806</v>
      </c>
      <c r="I871">
        <v>1</v>
      </c>
      <c r="J871">
        <v>0</v>
      </c>
      <c r="K871">
        <v>0</v>
      </c>
    </row>
    <row r="872" spans="1:11" x14ac:dyDescent="0.2">
      <c r="A872">
        <v>97189</v>
      </c>
      <c r="B872" t="s">
        <v>1102</v>
      </c>
      <c r="C872" t="str">
        <f t="shared" si="13"/>
        <v>KTBR</v>
      </c>
      <c r="D872" t="s">
        <v>804</v>
      </c>
      <c r="E872">
        <v>9</v>
      </c>
      <c r="F872" t="s">
        <v>817</v>
      </c>
      <c r="G872">
        <v>1</v>
      </c>
      <c r="H872" t="s">
        <v>806</v>
      </c>
      <c r="I872">
        <v>1</v>
      </c>
      <c r="J872">
        <v>10.2173</v>
      </c>
      <c r="K872">
        <v>-0.26719999999999999</v>
      </c>
    </row>
    <row r="873" spans="1:11" x14ac:dyDescent="0.2">
      <c r="A873">
        <v>97189</v>
      </c>
      <c r="B873" t="s">
        <v>1102</v>
      </c>
      <c r="C873" t="str">
        <f t="shared" si="13"/>
        <v>KTBR</v>
      </c>
      <c r="D873" t="s">
        <v>807</v>
      </c>
      <c r="E873">
        <v>9</v>
      </c>
      <c r="F873" t="s">
        <v>817</v>
      </c>
      <c r="G873">
        <v>1</v>
      </c>
      <c r="H873" t="s">
        <v>806</v>
      </c>
      <c r="I873">
        <v>1</v>
      </c>
      <c r="J873">
        <v>10.707100000000001</v>
      </c>
      <c r="K873">
        <v>3.7692000000000001</v>
      </c>
    </row>
    <row r="874" spans="1:11" x14ac:dyDescent="0.2">
      <c r="A874">
        <v>97189</v>
      </c>
      <c r="B874" t="s">
        <v>1102</v>
      </c>
      <c r="C874" t="str">
        <f t="shared" si="13"/>
        <v>KTBR</v>
      </c>
      <c r="D874" t="s">
        <v>808</v>
      </c>
      <c r="E874">
        <v>9</v>
      </c>
      <c r="F874" t="s">
        <v>817</v>
      </c>
      <c r="G874">
        <v>40</v>
      </c>
      <c r="H874" t="s">
        <v>832</v>
      </c>
      <c r="I874">
        <v>1</v>
      </c>
      <c r="J874">
        <v>33.488</v>
      </c>
      <c r="K874">
        <v>1.6981999999999999</v>
      </c>
    </row>
    <row r="875" spans="1:11" x14ac:dyDescent="0.2">
      <c r="A875">
        <v>97189</v>
      </c>
      <c r="B875" t="s">
        <v>1102</v>
      </c>
      <c r="C875" t="str">
        <f t="shared" si="13"/>
        <v>KTBR</v>
      </c>
      <c r="D875" t="s">
        <v>809</v>
      </c>
      <c r="E875">
        <v>9</v>
      </c>
      <c r="F875" t="s">
        <v>817</v>
      </c>
      <c r="G875">
        <v>40</v>
      </c>
      <c r="H875" t="s">
        <v>832</v>
      </c>
      <c r="I875">
        <v>1</v>
      </c>
      <c r="J875">
        <v>33.032400000000003</v>
      </c>
      <c r="K875">
        <v>1.7603</v>
      </c>
    </row>
    <row r="876" spans="1:11" x14ac:dyDescent="0.2">
      <c r="A876">
        <v>97189</v>
      </c>
      <c r="B876" t="s">
        <v>1102</v>
      </c>
      <c r="C876" t="str">
        <f t="shared" si="13"/>
        <v>KTBR</v>
      </c>
      <c r="D876" t="s">
        <v>810</v>
      </c>
      <c r="E876">
        <v>9</v>
      </c>
      <c r="F876" t="s">
        <v>817</v>
      </c>
      <c r="G876">
        <v>40</v>
      </c>
      <c r="H876" t="s">
        <v>832</v>
      </c>
      <c r="I876">
        <v>1</v>
      </c>
      <c r="J876">
        <v>5.8598999999999997</v>
      </c>
      <c r="K876">
        <v>0.2185</v>
      </c>
    </row>
    <row r="877" spans="1:11" x14ac:dyDescent="0.2">
      <c r="A877">
        <v>97189</v>
      </c>
      <c r="B877" t="s">
        <v>1102</v>
      </c>
      <c r="C877" t="str">
        <f t="shared" si="13"/>
        <v>KTBR</v>
      </c>
      <c r="D877" t="s">
        <v>812</v>
      </c>
      <c r="E877">
        <v>9</v>
      </c>
      <c r="F877" t="s">
        <v>817</v>
      </c>
      <c r="G877">
        <v>40</v>
      </c>
      <c r="H877" t="s">
        <v>832</v>
      </c>
      <c r="I877">
        <v>1</v>
      </c>
      <c r="J877">
        <v>5.7790999999999997</v>
      </c>
      <c r="K877">
        <v>1.6993</v>
      </c>
    </row>
    <row r="878" spans="1:11" x14ac:dyDescent="0.2">
      <c r="A878">
        <v>97249</v>
      </c>
      <c r="B878" t="s">
        <v>1104</v>
      </c>
      <c r="C878" t="str">
        <f t="shared" si="13"/>
        <v>KTDC</v>
      </c>
      <c r="D878" t="s">
        <v>804</v>
      </c>
      <c r="E878">
        <v>9</v>
      </c>
      <c r="F878" t="s">
        <v>817</v>
      </c>
      <c r="G878">
        <v>1</v>
      </c>
      <c r="H878" t="s">
        <v>806</v>
      </c>
      <c r="I878">
        <v>1</v>
      </c>
      <c r="J878">
        <v>28.0517</v>
      </c>
      <c r="K878">
        <v>-2.5731999999999999</v>
      </c>
    </row>
    <row r="879" spans="1:11" x14ac:dyDescent="0.2">
      <c r="A879">
        <v>97249</v>
      </c>
      <c r="B879" t="s">
        <v>1104</v>
      </c>
      <c r="C879" t="str">
        <f t="shared" si="13"/>
        <v>KTDC</v>
      </c>
      <c r="D879" t="s">
        <v>807</v>
      </c>
      <c r="E879">
        <v>9</v>
      </c>
      <c r="F879" t="s">
        <v>817</v>
      </c>
      <c r="G879">
        <v>1</v>
      </c>
      <c r="H879" t="s">
        <v>806</v>
      </c>
      <c r="I879">
        <v>1</v>
      </c>
      <c r="J879">
        <v>22.905200000000001</v>
      </c>
      <c r="K879">
        <v>4.4577999999999998</v>
      </c>
    </row>
    <row r="880" spans="1:11" x14ac:dyDescent="0.2">
      <c r="A880">
        <v>97116</v>
      </c>
      <c r="B880" t="s">
        <v>1105</v>
      </c>
      <c r="C880" t="str">
        <f t="shared" si="13"/>
        <v>KTGI</v>
      </c>
      <c r="D880" t="s">
        <v>808</v>
      </c>
      <c r="E880">
        <v>9</v>
      </c>
      <c r="F880" t="s">
        <v>817</v>
      </c>
      <c r="G880">
        <v>1</v>
      </c>
      <c r="H880" t="s">
        <v>806</v>
      </c>
      <c r="I880">
        <v>1</v>
      </c>
      <c r="J880">
        <v>8.3232999999999997</v>
      </c>
      <c r="K880">
        <v>0.4919</v>
      </c>
    </row>
    <row r="881" spans="1:11" x14ac:dyDescent="0.2">
      <c r="A881">
        <v>97116</v>
      </c>
      <c r="B881" t="s">
        <v>1105</v>
      </c>
      <c r="C881" t="str">
        <f t="shared" si="13"/>
        <v>KTGI</v>
      </c>
      <c r="D881" t="s">
        <v>809</v>
      </c>
      <c r="E881">
        <v>9</v>
      </c>
      <c r="F881" t="s">
        <v>817</v>
      </c>
      <c r="G881">
        <v>1</v>
      </c>
      <c r="H881" t="s">
        <v>806</v>
      </c>
      <c r="I881">
        <v>1</v>
      </c>
      <c r="J881">
        <v>5.8112000000000004</v>
      </c>
      <c r="K881">
        <v>0.26200000000000001</v>
      </c>
    </row>
    <row r="882" spans="1:11" x14ac:dyDescent="0.2">
      <c r="A882">
        <v>97185</v>
      </c>
      <c r="B882" t="s">
        <v>1122</v>
      </c>
      <c r="C882" t="str">
        <f t="shared" si="13"/>
        <v>LKIN</v>
      </c>
      <c r="D882" t="s">
        <v>804</v>
      </c>
      <c r="E882">
        <v>9</v>
      </c>
      <c r="F882" t="s">
        <v>817</v>
      </c>
      <c r="G882">
        <v>1</v>
      </c>
      <c r="H882" t="s">
        <v>806</v>
      </c>
      <c r="I882">
        <v>1</v>
      </c>
      <c r="J882">
        <v>11.7415</v>
      </c>
      <c r="K882">
        <v>-0.1822</v>
      </c>
    </row>
    <row r="883" spans="1:11" x14ac:dyDescent="0.2">
      <c r="A883">
        <v>97185</v>
      </c>
      <c r="B883" t="s">
        <v>1122</v>
      </c>
      <c r="C883" t="str">
        <f t="shared" si="13"/>
        <v>LKIN</v>
      </c>
      <c r="D883" t="s">
        <v>807</v>
      </c>
      <c r="E883">
        <v>9</v>
      </c>
      <c r="F883" t="s">
        <v>817</v>
      </c>
      <c r="G883">
        <v>1</v>
      </c>
      <c r="H883" t="s">
        <v>806</v>
      </c>
      <c r="I883">
        <v>1</v>
      </c>
      <c r="J883">
        <v>11.7995</v>
      </c>
      <c r="K883">
        <v>-0.1709</v>
      </c>
    </row>
    <row r="884" spans="1:11" x14ac:dyDescent="0.2">
      <c r="A884">
        <v>97185</v>
      </c>
      <c r="B884" t="s">
        <v>1122</v>
      </c>
      <c r="C884" t="str">
        <f t="shared" si="13"/>
        <v>LKIN</v>
      </c>
      <c r="D884" t="s">
        <v>808</v>
      </c>
      <c r="E884">
        <v>9</v>
      </c>
      <c r="F884" t="s">
        <v>817</v>
      </c>
      <c r="G884">
        <v>1</v>
      </c>
      <c r="H884" t="s">
        <v>806</v>
      </c>
      <c r="I884">
        <v>1</v>
      </c>
      <c r="J884">
        <v>14.206</v>
      </c>
      <c r="K884">
        <v>0.54669999999999996</v>
      </c>
    </row>
    <row r="885" spans="1:11" x14ac:dyDescent="0.2">
      <c r="A885">
        <v>97185</v>
      </c>
      <c r="B885" t="s">
        <v>1122</v>
      </c>
      <c r="C885" t="str">
        <f t="shared" si="13"/>
        <v>LKIN</v>
      </c>
      <c r="D885" t="s">
        <v>809</v>
      </c>
      <c r="E885">
        <v>9</v>
      </c>
      <c r="F885" t="s">
        <v>817</v>
      </c>
      <c r="G885">
        <v>1</v>
      </c>
      <c r="H885" t="s">
        <v>806</v>
      </c>
      <c r="I885">
        <v>1</v>
      </c>
      <c r="J885">
        <v>14.126300000000001</v>
      </c>
      <c r="K885">
        <v>0.54669999999999996</v>
      </c>
    </row>
    <row r="886" spans="1:11" x14ac:dyDescent="0.2">
      <c r="A886">
        <v>97115</v>
      </c>
      <c r="B886" t="s">
        <v>1129</v>
      </c>
      <c r="C886" t="str">
        <f t="shared" si="13"/>
        <v>MAJD</v>
      </c>
      <c r="D886" t="s">
        <v>804</v>
      </c>
      <c r="E886">
        <v>9</v>
      </c>
      <c r="F886" t="s">
        <v>817</v>
      </c>
      <c r="G886">
        <v>1</v>
      </c>
      <c r="H886" t="s">
        <v>806</v>
      </c>
      <c r="I886">
        <v>1</v>
      </c>
      <c r="J886">
        <v>6.5547000000000004</v>
      </c>
      <c r="K886">
        <v>-4.6600000000000003E-2</v>
      </c>
    </row>
    <row r="887" spans="1:11" x14ac:dyDescent="0.2">
      <c r="A887">
        <v>97115</v>
      </c>
      <c r="B887" t="s">
        <v>1129</v>
      </c>
      <c r="C887" t="str">
        <f t="shared" si="13"/>
        <v>MAJD</v>
      </c>
      <c r="D887" t="s">
        <v>807</v>
      </c>
      <c r="E887">
        <v>9</v>
      </c>
      <c r="F887" t="s">
        <v>817</v>
      </c>
      <c r="G887">
        <v>1</v>
      </c>
      <c r="H887" t="s">
        <v>806</v>
      </c>
      <c r="I887">
        <v>1</v>
      </c>
      <c r="J887">
        <v>6.2512999999999996</v>
      </c>
      <c r="K887">
        <v>-5.4899999999999997E-2</v>
      </c>
    </row>
    <row r="888" spans="1:11" x14ac:dyDescent="0.2">
      <c r="A888">
        <v>97140</v>
      </c>
      <c r="B888" t="s">
        <v>1148</v>
      </c>
      <c r="C888" t="str">
        <f t="shared" si="13"/>
        <v>MKBL</v>
      </c>
      <c r="D888" t="s">
        <v>804</v>
      </c>
      <c r="E888">
        <v>9</v>
      </c>
      <c r="F888" t="s">
        <v>817</v>
      </c>
      <c r="G888">
        <v>1</v>
      </c>
      <c r="H888" t="s">
        <v>806</v>
      </c>
      <c r="I888">
        <v>1</v>
      </c>
      <c r="J888">
        <v>5.6528</v>
      </c>
      <c r="K888">
        <v>0.57679999999999998</v>
      </c>
    </row>
    <row r="889" spans="1:11" x14ac:dyDescent="0.2">
      <c r="A889">
        <v>97140</v>
      </c>
      <c r="B889" t="s">
        <v>1148</v>
      </c>
      <c r="C889" t="str">
        <f t="shared" si="13"/>
        <v>MKBL</v>
      </c>
      <c r="D889" t="s">
        <v>807</v>
      </c>
      <c r="E889">
        <v>9</v>
      </c>
      <c r="F889" t="s">
        <v>817</v>
      </c>
      <c r="G889">
        <v>1</v>
      </c>
      <c r="H889" t="s">
        <v>806</v>
      </c>
      <c r="I889">
        <v>1</v>
      </c>
      <c r="J889">
        <v>15.251899999999999</v>
      </c>
      <c r="K889">
        <v>2.2118000000000002</v>
      </c>
    </row>
    <row r="890" spans="1:11" x14ac:dyDescent="0.2">
      <c r="A890">
        <v>97136</v>
      </c>
      <c r="B890" t="s">
        <v>1158</v>
      </c>
      <c r="C890" t="str">
        <f t="shared" si="13"/>
        <v>MSAI</v>
      </c>
      <c r="D890" t="s">
        <v>804</v>
      </c>
      <c r="E890">
        <v>9</v>
      </c>
      <c r="F890" t="s">
        <v>817</v>
      </c>
      <c r="G890">
        <v>1</v>
      </c>
      <c r="H890" t="s">
        <v>806</v>
      </c>
      <c r="I890">
        <v>1</v>
      </c>
      <c r="J890">
        <v>11.7995</v>
      </c>
      <c r="K890">
        <v>1.5407999999999999</v>
      </c>
    </row>
    <row r="891" spans="1:11" x14ac:dyDescent="0.2">
      <c r="A891">
        <v>97136</v>
      </c>
      <c r="B891" t="s">
        <v>1158</v>
      </c>
      <c r="C891" t="str">
        <f t="shared" si="13"/>
        <v>MSAI</v>
      </c>
      <c r="D891" t="s">
        <v>807</v>
      </c>
      <c r="E891">
        <v>9</v>
      </c>
      <c r="F891" t="s">
        <v>817</v>
      </c>
      <c r="G891">
        <v>1</v>
      </c>
      <c r="H891" t="s">
        <v>806</v>
      </c>
      <c r="I891">
        <v>1</v>
      </c>
      <c r="J891">
        <v>11.7798</v>
      </c>
      <c r="K891">
        <v>1.5305</v>
      </c>
    </row>
    <row r="892" spans="1:11" x14ac:dyDescent="0.2">
      <c r="A892">
        <v>97131</v>
      </c>
      <c r="B892" t="s">
        <v>1159</v>
      </c>
      <c r="C892" t="str">
        <f t="shared" si="13"/>
        <v>MSNG</v>
      </c>
      <c r="D892" t="s">
        <v>804</v>
      </c>
      <c r="E892">
        <v>9</v>
      </c>
      <c r="F892" t="s">
        <v>817</v>
      </c>
      <c r="G892">
        <v>1</v>
      </c>
      <c r="H892" t="s">
        <v>806</v>
      </c>
      <c r="I892">
        <v>1</v>
      </c>
      <c r="J892">
        <v>2.8311000000000002</v>
      </c>
      <c r="K892">
        <v>-4.6669999999999998</v>
      </c>
    </row>
    <row r="893" spans="1:11" x14ac:dyDescent="0.2">
      <c r="A893">
        <v>97131</v>
      </c>
      <c r="B893" t="s">
        <v>1159</v>
      </c>
      <c r="C893" t="str">
        <f t="shared" si="13"/>
        <v>MSNG</v>
      </c>
      <c r="D893" t="s">
        <v>807</v>
      </c>
      <c r="E893">
        <v>9</v>
      </c>
      <c r="F893" t="s">
        <v>817</v>
      </c>
      <c r="G893">
        <v>1</v>
      </c>
      <c r="H893" t="s">
        <v>806</v>
      </c>
      <c r="I893">
        <v>1</v>
      </c>
      <c r="J893">
        <v>3.8685999999999998</v>
      </c>
      <c r="K893">
        <v>4.2020999999999997</v>
      </c>
    </row>
    <row r="894" spans="1:11" x14ac:dyDescent="0.2">
      <c r="A894">
        <v>97131</v>
      </c>
      <c r="B894" t="s">
        <v>1159</v>
      </c>
      <c r="C894" t="str">
        <f t="shared" si="13"/>
        <v>MSNG</v>
      </c>
      <c r="D894" t="s">
        <v>808</v>
      </c>
      <c r="E894">
        <v>9</v>
      </c>
      <c r="F894" t="s">
        <v>817</v>
      </c>
      <c r="G894">
        <v>1</v>
      </c>
      <c r="H894" t="s">
        <v>806</v>
      </c>
      <c r="I894">
        <v>1</v>
      </c>
      <c r="J894">
        <v>6.8384</v>
      </c>
      <c r="K894">
        <v>-1.5709</v>
      </c>
    </row>
    <row r="895" spans="1:11" x14ac:dyDescent="0.2">
      <c r="A895">
        <v>97131</v>
      </c>
      <c r="B895" t="s">
        <v>1159</v>
      </c>
      <c r="C895" t="str">
        <f t="shared" si="13"/>
        <v>MSNG</v>
      </c>
      <c r="D895" t="s">
        <v>809</v>
      </c>
      <c r="E895">
        <v>9</v>
      </c>
      <c r="F895" t="s">
        <v>817</v>
      </c>
      <c r="G895">
        <v>1</v>
      </c>
      <c r="H895" t="s">
        <v>806</v>
      </c>
      <c r="I895">
        <v>1</v>
      </c>
      <c r="J895">
        <v>6.8291000000000004</v>
      </c>
      <c r="K895">
        <v>-1.5802</v>
      </c>
    </row>
    <row r="896" spans="1:11" x14ac:dyDescent="0.2">
      <c r="A896">
        <v>97147</v>
      </c>
      <c r="B896" t="s">
        <v>1166</v>
      </c>
      <c r="C896" t="str">
        <f t="shared" si="13"/>
        <v>MUAR</v>
      </c>
      <c r="D896" t="s">
        <v>807</v>
      </c>
      <c r="E896">
        <v>9</v>
      </c>
      <c r="F896" t="s">
        <v>817</v>
      </c>
      <c r="G896">
        <v>1</v>
      </c>
      <c r="H896" t="s">
        <v>806</v>
      </c>
      <c r="I896">
        <v>1</v>
      </c>
      <c r="J896">
        <v>9.4168000000000003</v>
      </c>
      <c r="K896">
        <v>1.5729</v>
      </c>
    </row>
    <row r="897" spans="1:11" x14ac:dyDescent="0.2">
      <c r="A897">
        <v>97147</v>
      </c>
      <c r="B897" t="s">
        <v>1166</v>
      </c>
      <c r="C897" t="str">
        <f t="shared" si="13"/>
        <v>MUAR</v>
      </c>
      <c r="D897" t="s">
        <v>808</v>
      </c>
      <c r="E897">
        <v>9</v>
      </c>
      <c r="F897" t="s">
        <v>817</v>
      </c>
      <c r="G897">
        <v>1</v>
      </c>
      <c r="H897" t="s">
        <v>806</v>
      </c>
      <c r="I897">
        <v>1</v>
      </c>
      <c r="J897">
        <v>12.604100000000001</v>
      </c>
      <c r="K897">
        <v>1.4435</v>
      </c>
    </row>
    <row r="898" spans="1:11" x14ac:dyDescent="0.2">
      <c r="A898">
        <v>97138</v>
      </c>
      <c r="B898" t="s">
        <v>1182</v>
      </c>
      <c r="C898" t="str">
        <f t="shared" si="13"/>
        <v>NYOR</v>
      </c>
      <c r="D898" t="s">
        <v>804</v>
      </c>
      <c r="E898">
        <v>9</v>
      </c>
      <c r="F898" t="s">
        <v>817</v>
      </c>
      <c r="G898">
        <v>1</v>
      </c>
      <c r="H898" t="s">
        <v>806</v>
      </c>
      <c r="I898">
        <v>1</v>
      </c>
      <c r="J898">
        <v>11.3926</v>
      </c>
      <c r="K898">
        <v>0.40489999999999998</v>
      </c>
    </row>
    <row r="899" spans="1:11" x14ac:dyDescent="0.2">
      <c r="A899">
        <v>97138</v>
      </c>
      <c r="B899" t="s">
        <v>1182</v>
      </c>
      <c r="C899" t="str">
        <f t="shared" ref="C899:C962" si="14">LEFT(B899,4)</f>
        <v>NYOR</v>
      </c>
      <c r="D899" t="s">
        <v>807</v>
      </c>
      <c r="E899">
        <v>9</v>
      </c>
      <c r="F899" t="s">
        <v>817</v>
      </c>
      <c r="G899">
        <v>1</v>
      </c>
      <c r="H899" t="s">
        <v>806</v>
      </c>
      <c r="I899">
        <v>1</v>
      </c>
      <c r="J899">
        <v>16.610399999999998</v>
      </c>
      <c r="K899">
        <v>3.2080000000000002</v>
      </c>
    </row>
    <row r="900" spans="1:11" x14ac:dyDescent="0.2">
      <c r="A900">
        <v>97177</v>
      </c>
      <c r="B900" t="s">
        <v>1189</v>
      </c>
      <c r="C900" t="str">
        <f t="shared" si="14"/>
        <v>PBJB</v>
      </c>
      <c r="D900" t="s">
        <v>804</v>
      </c>
      <c r="E900">
        <v>9</v>
      </c>
      <c r="F900" t="s">
        <v>817</v>
      </c>
      <c r="G900">
        <v>1</v>
      </c>
      <c r="H900" t="s">
        <v>806</v>
      </c>
      <c r="I900">
        <v>1</v>
      </c>
      <c r="J900">
        <v>9.6228999999999996</v>
      </c>
      <c r="K900">
        <v>1.1214</v>
      </c>
    </row>
    <row r="901" spans="1:11" x14ac:dyDescent="0.2">
      <c r="A901">
        <v>97177</v>
      </c>
      <c r="B901" t="s">
        <v>1189</v>
      </c>
      <c r="C901" t="str">
        <f t="shared" si="14"/>
        <v>PBJB</v>
      </c>
      <c r="D901" t="s">
        <v>807</v>
      </c>
      <c r="E901">
        <v>9</v>
      </c>
      <c r="F901" t="s">
        <v>817</v>
      </c>
      <c r="G901">
        <v>1</v>
      </c>
      <c r="H901" t="s">
        <v>806</v>
      </c>
      <c r="I901">
        <v>1</v>
      </c>
      <c r="J901">
        <v>9.6197999999999997</v>
      </c>
      <c r="K901">
        <v>1.1183000000000001</v>
      </c>
    </row>
    <row r="902" spans="1:11" x14ac:dyDescent="0.2">
      <c r="A902">
        <v>97177</v>
      </c>
      <c r="B902" t="s">
        <v>1189</v>
      </c>
      <c r="C902" t="str">
        <f t="shared" si="14"/>
        <v>PBJB</v>
      </c>
      <c r="D902" t="s">
        <v>808</v>
      </c>
      <c r="E902">
        <v>9</v>
      </c>
      <c r="F902" t="s">
        <v>817</v>
      </c>
      <c r="G902">
        <v>1</v>
      </c>
      <c r="H902" t="s">
        <v>806</v>
      </c>
      <c r="I902">
        <v>1</v>
      </c>
      <c r="J902">
        <v>43.071599999999997</v>
      </c>
      <c r="K902">
        <v>3.6543000000000001</v>
      </c>
    </row>
    <row r="903" spans="1:11" x14ac:dyDescent="0.2">
      <c r="A903">
        <v>97177</v>
      </c>
      <c r="B903" t="s">
        <v>1189</v>
      </c>
      <c r="C903" t="str">
        <f t="shared" si="14"/>
        <v>PBJB</v>
      </c>
      <c r="D903" t="s">
        <v>809</v>
      </c>
      <c r="E903">
        <v>9</v>
      </c>
      <c r="F903" t="s">
        <v>817</v>
      </c>
      <c r="G903">
        <v>1</v>
      </c>
      <c r="H903" t="s">
        <v>806</v>
      </c>
      <c r="I903">
        <v>1</v>
      </c>
      <c r="J903">
        <v>43.246600000000001</v>
      </c>
      <c r="K903">
        <v>3.6408</v>
      </c>
    </row>
    <row r="904" spans="1:11" x14ac:dyDescent="0.2">
      <c r="A904">
        <v>97244</v>
      </c>
      <c r="B904" t="s">
        <v>1192</v>
      </c>
      <c r="C904" t="str">
        <f t="shared" si="14"/>
        <v>PCGP</v>
      </c>
      <c r="D904">
        <v>1</v>
      </c>
      <c r="E904">
        <v>9</v>
      </c>
      <c r="F904" t="s">
        <v>817</v>
      </c>
      <c r="G904">
        <v>1</v>
      </c>
      <c r="H904" t="s">
        <v>806</v>
      </c>
      <c r="I904">
        <v>1</v>
      </c>
      <c r="J904">
        <v>0</v>
      </c>
      <c r="K904">
        <v>0</v>
      </c>
    </row>
    <row r="905" spans="1:11" x14ac:dyDescent="0.2">
      <c r="A905">
        <v>97153</v>
      </c>
      <c r="B905" t="s">
        <v>1204</v>
      </c>
      <c r="C905" t="str">
        <f t="shared" si="14"/>
        <v>PGDT</v>
      </c>
      <c r="D905" t="s">
        <v>804</v>
      </c>
      <c r="E905">
        <v>9</v>
      </c>
      <c r="F905" t="s">
        <v>817</v>
      </c>
      <c r="G905">
        <v>1</v>
      </c>
      <c r="H905" t="s">
        <v>806</v>
      </c>
      <c r="I905">
        <v>1</v>
      </c>
      <c r="J905">
        <v>2.4872999999999998</v>
      </c>
      <c r="K905">
        <v>2.69E-2</v>
      </c>
    </row>
    <row r="906" spans="1:11" x14ac:dyDescent="0.2">
      <c r="A906">
        <v>97153</v>
      </c>
      <c r="B906" t="s">
        <v>1204</v>
      </c>
      <c r="C906" t="str">
        <f t="shared" si="14"/>
        <v>PGDT</v>
      </c>
      <c r="D906" t="s">
        <v>807</v>
      </c>
      <c r="E906">
        <v>9</v>
      </c>
      <c r="F906" t="s">
        <v>817</v>
      </c>
      <c r="G906">
        <v>1</v>
      </c>
      <c r="H906" t="s">
        <v>806</v>
      </c>
      <c r="I906">
        <v>1</v>
      </c>
      <c r="J906">
        <v>10.1427</v>
      </c>
      <c r="K906">
        <v>2.4842</v>
      </c>
    </row>
    <row r="907" spans="1:11" x14ac:dyDescent="0.2">
      <c r="A907">
        <v>97153</v>
      </c>
      <c r="B907" t="s">
        <v>1204</v>
      </c>
      <c r="C907" t="str">
        <f t="shared" si="14"/>
        <v>PGDT</v>
      </c>
      <c r="D907" t="s">
        <v>808</v>
      </c>
      <c r="E907">
        <v>9</v>
      </c>
      <c r="F907" t="s">
        <v>817</v>
      </c>
      <c r="G907">
        <v>40</v>
      </c>
      <c r="H907" t="s">
        <v>832</v>
      </c>
      <c r="I907">
        <v>1</v>
      </c>
      <c r="J907">
        <v>16.368099999999998</v>
      </c>
      <c r="K907">
        <v>4.4123000000000001</v>
      </c>
    </row>
    <row r="908" spans="1:11" x14ac:dyDescent="0.2">
      <c r="A908">
        <v>97153</v>
      </c>
      <c r="B908" t="s">
        <v>1204</v>
      </c>
      <c r="C908" t="str">
        <f t="shared" si="14"/>
        <v>PGDT</v>
      </c>
      <c r="D908" t="s">
        <v>809</v>
      </c>
      <c r="E908">
        <v>9</v>
      </c>
      <c r="F908" t="s">
        <v>817</v>
      </c>
      <c r="G908">
        <v>40</v>
      </c>
      <c r="H908" t="s">
        <v>832</v>
      </c>
      <c r="I908">
        <v>1</v>
      </c>
      <c r="J908">
        <v>16.462399999999999</v>
      </c>
      <c r="K908">
        <v>4.4516</v>
      </c>
    </row>
    <row r="909" spans="1:11" x14ac:dyDescent="0.2">
      <c r="A909">
        <v>97191</v>
      </c>
      <c r="B909" t="s">
        <v>1205</v>
      </c>
      <c r="C909" t="str">
        <f t="shared" si="14"/>
        <v>PGEH</v>
      </c>
      <c r="D909" t="s">
        <v>804</v>
      </c>
      <c r="E909">
        <v>9</v>
      </c>
      <c r="F909" t="s">
        <v>817</v>
      </c>
      <c r="G909">
        <v>1</v>
      </c>
      <c r="H909" t="s">
        <v>806</v>
      </c>
      <c r="I909">
        <v>1</v>
      </c>
      <c r="J909">
        <v>2.0379</v>
      </c>
      <c r="K909">
        <v>-0.378</v>
      </c>
    </row>
    <row r="910" spans="1:11" x14ac:dyDescent="0.2">
      <c r="A910">
        <v>97191</v>
      </c>
      <c r="B910" t="s">
        <v>1205</v>
      </c>
      <c r="C910" t="str">
        <f t="shared" si="14"/>
        <v>PGEH</v>
      </c>
      <c r="D910" t="s">
        <v>807</v>
      </c>
      <c r="E910">
        <v>9</v>
      </c>
      <c r="F910" t="s">
        <v>817</v>
      </c>
      <c r="G910">
        <v>1</v>
      </c>
      <c r="H910" t="s">
        <v>806</v>
      </c>
      <c r="I910">
        <v>1</v>
      </c>
      <c r="J910">
        <v>2.0274999999999999</v>
      </c>
      <c r="K910">
        <v>-0.36759999999999998</v>
      </c>
    </row>
    <row r="911" spans="1:11" x14ac:dyDescent="0.2">
      <c r="A911">
        <v>97123</v>
      </c>
      <c r="B911" t="s">
        <v>1206</v>
      </c>
      <c r="C911" t="str">
        <f t="shared" si="14"/>
        <v>PGIE</v>
      </c>
      <c r="D911" t="s">
        <v>804</v>
      </c>
      <c r="E911">
        <v>9</v>
      </c>
      <c r="F911" t="s">
        <v>817</v>
      </c>
      <c r="G911">
        <v>1</v>
      </c>
      <c r="H911" t="s">
        <v>806</v>
      </c>
      <c r="I911">
        <v>1</v>
      </c>
      <c r="J911">
        <v>13.8622</v>
      </c>
      <c r="K911">
        <v>1.9882</v>
      </c>
    </row>
    <row r="912" spans="1:11" x14ac:dyDescent="0.2">
      <c r="A912">
        <v>97123</v>
      </c>
      <c r="B912" t="s">
        <v>1206</v>
      </c>
      <c r="C912" t="str">
        <f t="shared" si="14"/>
        <v>PGIE</v>
      </c>
      <c r="D912" t="s">
        <v>807</v>
      </c>
      <c r="E912">
        <v>9</v>
      </c>
      <c r="F912" t="s">
        <v>817</v>
      </c>
      <c r="G912">
        <v>1</v>
      </c>
      <c r="H912" t="s">
        <v>806</v>
      </c>
      <c r="I912">
        <v>1</v>
      </c>
      <c r="J912">
        <v>13.871499999999999</v>
      </c>
      <c r="K912">
        <v>1.9861</v>
      </c>
    </row>
    <row r="913" spans="1:11" x14ac:dyDescent="0.2">
      <c r="A913">
        <v>97123</v>
      </c>
      <c r="B913" t="s">
        <v>1206</v>
      </c>
      <c r="C913" t="str">
        <f t="shared" si="14"/>
        <v>PGIE</v>
      </c>
      <c r="D913" t="s">
        <v>808</v>
      </c>
      <c r="E913">
        <v>9</v>
      </c>
      <c r="F913" t="s">
        <v>817</v>
      </c>
      <c r="G913">
        <v>1</v>
      </c>
      <c r="H913" t="s">
        <v>806</v>
      </c>
      <c r="I913">
        <v>1</v>
      </c>
      <c r="J913">
        <v>12.4343</v>
      </c>
      <c r="K913">
        <v>1.3068</v>
      </c>
    </row>
    <row r="914" spans="1:11" x14ac:dyDescent="0.2">
      <c r="A914">
        <v>97179</v>
      </c>
      <c r="B914" t="s">
        <v>1207</v>
      </c>
      <c r="C914" t="str">
        <f t="shared" si="14"/>
        <v>PGOH</v>
      </c>
      <c r="D914" t="s">
        <v>804</v>
      </c>
      <c r="E914">
        <v>9</v>
      </c>
      <c r="F914" t="s">
        <v>817</v>
      </c>
      <c r="G914">
        <v>1</v>
      </c>
      <c r="H914" t="s">
        <v>806</v>
      </c>
      <c r="I914">
        <v>1</v>
      </c>
      <c r="J914">
        <v>3.4762</v>
      </c>
      <c r="K914">
        <v>-0.50329999999999997</v>
      </c>
    </row>
    <row r="915" spans="1:11" x14ac:dyDescent="0.2">
      <c r="A915">
        <v>97179</v>
      </c>
      <c r="B915" t="s">
        <v>1207</v>
      </c>
      <c r="C915" t="str">
        <f t="shared" si="14"/>
        <v>PGOH</v>
      </c>
      <c r="D915" t="s">
        <v>807</v>
      </c>
      <c r="E915">
        <v>9</v>
      </c>
      <c r="F915" t="s">
        <v>817</v>
      </c>
      <c r="G915">
        <v>1</v>
      </c>
      <c r="H915" t="s">
        <v>806</v>
      </c>
      <c r="I915">
        <v>1</v>
      </c>
      <c r="J915">
        <v>3.4658000000000002</v>
      </c>
      <c r="K915">
        <v>-0.51359999999999995</v>
      </c>
    </row>
    <row r="916" spans="1:11" x14ac:dyDescent="0.2">
      <c r="A916">
        <v>97114</v>
      </c>
      <c r="B916" t="s">
        <v>1209</v>
      </c>
      <c r="C916" t="str">
        <f t="shared" si="14"/>
        <v>PGPS</v>
      </c>
      <c r="D916" t="s">
        <v>1202</v>
      </c>
      <c r="E916">
        <v>9</v>
      </c>
      <c r="F916" t="s">
        <v>817</v>
      </c>
      <c r="G916">
        <v>1</v>
      </c>
      <c r="H916" t="s">
        <v>806</v>
      </c>
      <c r="I916">
        <v>1</v>
      </c>
      <c r="J916">
        <v>0</v>
      </c>
      <c r="K916">
        <v>0</v>
      </c>
    </row>
    <row r="917" spans="1:11" x14ac:dyDescent="0.2">
      <c r="A917">
        <v>97114</v>
      </c>
      <c r="B917" t="s">
        <v>1209</v>
      </c>
      <c r="C917" t="str">
        <f t="shared" si="14"/>
        <v>PGPS</v>
      </c>
      <c r="D917" t="s">
        <v>1203</v>
      </c>
      <c r="E917">
        <v>9</v>
      </c>
      <c r="F917" t="s">
        <v>817</v>
      </c>
      <c r="G917">
        <v>1</v>
      </c>
      <c r="H917" t="s">
        <v>806</v>
      </c>
      <c r="I917">
        <v>1</v>
      </c>
      <c r="J917">
        <v>0</v>
      </c>
      <c r="K917">
        <v>0</v>
      </c>
    </row>
    <row r="918" spans="1:11" x14ac:dyDescent="0.2">
      <c r="A918">
        <v>97114</v>
      </c>
      <c r="B918" t="s">
        <v>1209</v>
      </c>
      <c r="C918" t="str">
        <f t="shared" si="14"/>
        <v>PGPS</v>
      </c>
      <c r="D918" t="s">
        <v>807</v>
      </c>
      <c r="E918">
        <v>9</v>
      </c>
      <c r="F918" t="s">
        <v>817</v>
      </c>
      <c r="G918">
        <v>1</v>
      </c>
      <c r="H918" t="s">
        <v>806</v>
      </c>
      <c r="I918">
        <v>1</v>
      </c>
      <c r="J918">
        <v>0</v>
      </c>
      <c r="K918">
        <v>0</v>
      </c>
    </row>
    <row r="919" spans="1:11" x14ac:dyDescent="0.2">
      <c r="A919">
        <v>97167</v>
      </c>
      <c r="B919" t="s">
        <v>1210</v>
      </c>
      <c r="C919" t="str">
        <f t="shared" si="14"/>
        <v>PGTC</v>
      </c>
      <c r="D919" t="s">
        <v>804</v>
      </c>
      <c r="E919">
        <v>9</v>
      </c>
      <c r="F919" t="s">
        <v>817</v>
      </c>
      <c r="G919">
        <v>1</v>
      </c>
      <c r="H919" t="s">
        <v>806</v>
      </c>
      <c r="I919">
        <v>1</v>
      </c>
      <c r="J919">
        <v>47.834899999999998</v>
      </c>
      <c r="K919">
        <v>11.976599999999999</v>
      </c>
    </row>
    <row r="920" spans="1:11" x14ac:dyDescent="0.2">
      <c r="A920">
        <v>97167</v>
      </c>
      <c r="B920" t="s">
        <v>1210</v>
      </c>
      <c r="C920" t="str">
        <f t="shared" si="14"/>
        <v>PGTC</v>
      </c>
      <c r="D920" t="s">
        <v>807</v>
      </c>
      <c r="E920">
        <v>9</v>
      </c>
      <c r="F920" t="s">
        <v>817</v>
      </c>
      <c r="G920">
        <v>1</v>
      </c>
      <c r="H920" t="s">
        <v>806</v>
      </c>
      <c r="I920">
        <v>1</v>
      </c>
      <c r="J920">
        <v>47.675400000000003</v>
      </c>
      <c r="K920">
        <v>11.939299999999999</v>
      </c>
    </row>
    <row r="921" spans="1:11" x14ac:dyDescent="0.2">
      <c r="A921">
        <v>97103</v>
      </c>
      <c r="B921" t="s">
        <v>1214</v>
      </c>
      <c r="C921" t="str">
        <f t="shared" si="14"/>
        <v>PJML</v>
      </c>
      <c r="D921" t="s">
        <v>808</v>
      </c>
      <c r="E921">
        <v>9</v>
      </c>
      <c r="F921" t="s">
        <v>817</v>
      </c>
      <c r="G921">
        <v>1</v>
      </c>
      <c r="H921" t="s">
        <v>806</v>
      </c>
      <c r="I921">
        <v>1</v>
      </c>
      <c r="J921">
        <v>9.6156000000000006</v>
      </c>
      <c r="K921">
        <v>0.60060000000000002</v>
      </c>
    </row>
    <row r="922" spans="1:11" x14ac:dyDescent="0.2">
      <c r="A922">
        <v>97103</v>
      </c>
      <c r="B922" t="s">
        <v>1214</v>
      </c>
      <c r="C922" t="str">
        <f t="shared" si="14"/>
        <v>PJML</v>
      </c>
      <c r="D922" t="s">
        <v>809</v>
      </c>
      <c r="E922">
        <v>9</v>
      </c>
      <c r="F922" t="s">
        <v>817</v>
      </c>
      <c r="G922">
        <v>1</v>
      </c>
      <c r="H922" t="s">
        <v>806</v>
      </c>
      <c r="I922">
        <v>1</v>
      </c>
      <c r="J922">
        <v>9.5803999999999991</v>
      </c>
      <c r="K922">
        <v>0.58919999999999995</v>
      </c>
    </row>
    <row r="923" spans="1:11" x14ac:dyDescent="0.2">
      <c r="A923">
        <v>97198</v>
      </c>
      <c r="B923" t="s">
        <v>1224</v>
      </c>
      <c r="C923" t="str">
        <f t="shared" si="14"/>
        <v>PLGI</v>
      </c>
      <c r="D923" t="s">
        <v>804</v>
      </c>
      <c r="E923">
        <v>9</v>
      </c>
      <c r="F923" t="s">
        <v>817</v>
      </c>
      <c r="G923">
        <v>1</v>
      </c>
      <c r="H923" t="s">
        <v>806</v>
      </c>
      <c r="I923">
        <v>1</v>
      </c>
      <c r="J923">
        <v>29.056100000000001</v>
      </c>
      <c r="K923">
        <v>0.4577</v>
      </c>
    </row>
    <row r="924" spans="1:11" x14ac:dyDescent="0.2">
      <c r="A924">
        <v>97198</v>
      </c>
      <c r="B924" t="s">
        <v>1224</v>
      </c>
      <c r="C924" t="str">
        <f t="shared" si="14"/>
        <v>PLGI</v>
      </c>
      <c r="D924" t="s">
        <v>807</v>
      </c>
      <c r="E924">
        <v>9</v>
      </c>
      <c r="F924" t="s">
        <v>817</v>
      </c>
      <c r="G924">
        <v>1</v>
      </c>
      <c r="H924" t="s">
        <v>806</v>
      </c>
      <c r="I924">
        <v>1</v>
      </c>
      <c r="J924">
        <v>29.205200000000001</v>
      </c>
      <c r="K924">
        <v>0.44729999999999998</v>
      </c>
    </row>
    <row r="925" spans="1:11" x14ac:dyDescent="0.2">
      <c r="A925">
        <v>97108</v>
      </c>
      <c r="B925" t="s">
        <v>1225</v>
      </c>
      <c r="C925" t="str">
        <f t="shared" si="14"/>
        <v>PLNG</v>
      </c>
      <c r="D925" t="s">
        <v>804</v>
      </c>
      <c r="E925">
        <v>9</v>
      </c>
      <c r="F925" t="s">
        <v>817</v>
      </c>
      <c r="G925">
        <v>1</v>
      </c>
      <c r="H925" t="s">
        <v>806</v>
      </c>
      <c r="I925">
        <v>1</v>
      </c>
      <c r="J925">
        <v>11.456799999999999</v>
      </c>
      <c r="K925">
        <v>1.8638999999999999</v>
      </c>
    </row>
    <row r="926" spans="1:11" x14ac:dyDescent="0.2">
      <c r="A926">
        <v>97108</v>
      </c>
      <c r="B926" t="s">
        <v>1225</v>
      </c>
      <c r="C926" t="str">
        <f t="shared" si="14"/>
        <v>PLNG</v>
      </c>
      <c r="D926" t="s">
        <v>807</v>
      </c>
      <c r="E926">
        <v>9</v>
      </c>
      <c r="F926" t="s">
        <v>817</v>
      </c>
      <c r="G926">
        <v>1</v>
      </c>
      <c r="H926" t="s">
        <v>806</v>
      </c>
      <c r="I926">
        <v>1</v>
      </c>
      <c r="J926">
        <v>11.298299999999999</v>
      </c>
      <c r="K926">
        <v>1.5419</v>
      </c>
    </row>
    <row r="927" spans="1:11" x14ac:dyDescent="0.2">
      <c r="A927">
        <v>97108</v>
      </c>
      <c r="B927" t="s">
        <v>1225</v>
      </c>
      <c r="C927" t="str">
        <f t="shared" si="14"/>
        <v>PLNG</v>
      </c>
      <c r="D927" t="s">
        <v>808</v>
      </c>
      <c r="E927">
        <v>9</v>
      </c>
      <c r="F927" t="s">
        <v>817</v>
      </c>
      <c r="G927">
        <v>1</v>
      </c>
      <c r="H927" t="s">
        <v>806</v>
      </c>
      <c r="I927">
        <v>1</v>
      </c>
      <c r="J927">
        <v>41.812399999999997</v>
      </c>
      <c r="K927">
        <v>2.5348999999999999</v>
      </c>
    </row>
    <row r="928" spans="1:11" x14ac:dyDescent="0.2">
      <c r="A928">
        <v>97108</v>
      </c>
      <c r="B928" t="s">
        <v>1225</v>
      </c>
      <c r="C928" t="str">
        <f t="shared" si="14"/>
        <v>PLNG</v>
      </c>
      <c r="D928" t="s">
        <v>809</v>
      </c>
      <c r="E928">
        <v>9</v>
      </c>
      <c r="F928" t="s">
        <v>817</v>
      </c>
      <c r="G928">
        <v>1</v>
      </c>
      <c r="H928" t="s">
        <v>806</v>
      </c>
      <c r="I928">
        <v>1</v>
      </c>
      <c r="J928">
        <v>42.667700000000004</v>
      </c>
      <c r="K928">
        <v>2.5710999999999999</v>
      </c>
    </row>
    <row r="929" spans="1:11" x14ac:dyDescent="0.2">
      <c r="A929">
        <v>97165</v>
      </c>
      <c r="B929" t="s">
        <v>1227</v>
      </c>
      <c r="C929" t="str">
        <f t="shared" si="14"/>
        <v>PMJY</v>
      </c>
      <c r="D929" t="s">
        <v>804</v>
      </c>
      <c r="E929">
        <v>9</v>
      </c>
      <c r="F929" t="s">
        <v>817</v>
      </c>
      <c r="G929">
        <v>1</v>
      </c>
      <c r="H929" t="s">
        <v>806</v>
      </c>
      <c r="I929">
        <v>1</v>
      </c>
      <c r="J929">
        <v>10.484400000000001</v>
      </c>
      <c r="K929">
        <v>1.7406999999999999</v>
      </c>
    </row>
    <row r="930" spans="1:11" x14ac:dyDescent="0.2">
      <c r="A930">
        <v>97165</v>
      </c>
      <c r="B930" t="s">
        <v>1227</v>
      </c>
      <c r="C930" t="str">
        <f t="shared" si="14"/>
        <v>PMJY</v>
      </c>
      <c r="D930" t="s">
        <v>807</v>
      </c>
      <c r="E930">
        <v>9</v>
      </c>
      <c r="F930" t="s">
        <v>817</v>
      </c>
      <c r="G930">
        <v>1</v>
      </c>
      <c r="H930" t="s">
        <v>806</v>
      </c>
      <c r="I930">
        <v>1</v>
      </c>
      <c r="J930">
        <v>13.091799999999999</v>
      </c>
      <c r="K930">
        <v>0.97130000000000005</v>
      </c>
    </row>
    <row r="931" spans="1:11" x14ac:dyDescent="0.2">
      <c r="A931">
        <v>97165</v>
      </c>
      <c r="B931" t="s">
        <v>1227</v>
      </c>
      <c r="C931" t="str">
        <f t="shared" si="14"/>
        <v>PMJY</v>
      </c>
      <c r="D931" t="s">
        <v>808</v>
      </c>
      <c r="E931">
        <v>9</v>
      </c>
      <c r="F931" t="s">
        <v>817</v>
      </c>
      <c r="G931">
        <v>1</v>
      </c>
      <c r="H931" t="s">
        <v>806</v>
      </c>
      <c r="I931">
        <v>1</v>
      </c>
      <c r="J931">
        <v>35.955599999999997</v>
      </c>
      <c r="K931">
        <v>1.4807999999999999</v>
      </c>
    </row>
    <row r="932" spans="1:11" x14ac:dyDescent="0.2">
      <c r="A932">
        <v>97165</v>
      </c>
      <c r="B932" t="s">
        <v>1227</v>
      </c>
      <c r="C932" t="str">
        <f t="shared" si="14"/>
        <v>PMJY</v>
      </c>
      <c r="D932" t="s">
        <v>809</v>
      </c>
      <c r="E932">
        <v>9</v>
      </c>
      <c r="F932" t="s">
        <v>817</v>
      </c>
      <c r="G932">
        <v>1</v>
      </c>
      <c r="H932" t="s">
        <v>806</v>
      </c>
      <c r="I932">
        <v>1</v>
      </c>
      <c r="J932">
        <v>38.029699999999998</v>
      </c>
      <c r="K932">
        <v>1.4248000000000001</v>
      </c>
    </row>
    <row r="933" spans="1:11" x14ac:dyDescent="0.2">
      <c r="A933">
        <v>97155</v>
      </c>
      <c r="B933" t="s">
        <v>1230</v>
      </c>
      <c r="C933" t="str">
        <f t="shared" si="14"/>
        <v>PNAS</v>
      </c>
      <c r="D933" t="s">
        <v>804</v>
      </c>
      <c r="E933">
        <v>9</v>
      </c>
      <c r="F933" t="s">
        <v>817</v>
      </c>
      <c r="G933">
        <v>1</v>
      </c>
      <c r="H933" t="s">
        <v>806</v>
      </c>
      <c r="I933">
        <v>1</v>
      </c>
      <c r="J933">
        <v>12.268599999999999</v>
      </c>
      <c r="K933">
        <v>2.3256999999999999</v>
      </c>
    </row>
    <row r="934" spans="1:11" x14ac:dyDescent="0.2">
      <c r="A934">
        <v>97155</v>
      </c>
      <c r="B934" t="s">
        <v>1230</v>
      </c>
      <c r="C934" t="str">
        <f t="shared" si="14"/>
        <v>PNAS</v>
      </c>
      <c r="D934" t="s">
        <v>807</v>
      </c>
      <c r="E934">
        <v>9</v>
      </c>
      <c r="F934" t="s">
        <v>817</v>
      </c>
      <c r="G934">
        <v>1</v>
      </c>
      <c r="H934" t="s">
        <v>806</v>
      </c>
      <c r="I934">
        <v>1</v>
      </c>
      <c r="J934">
        <v>16.207599999999999</v>
      </c>
      <c r="K934">
        <v>3.3260000000000001</v>
      </c>
    </row>
    <row r="935" spans="1:11" x14ac:dyDescent="0.2">
      <c r="A935">
        <v>97145</v>
      </c>
      <c r="B935" t="s">
        <v>1233</v>
      </c>
      <c r="C935" t="str">
        <f t="shared" si="14"/>
        <v>PNWR</v>
      </c>
      <c r="D935" t="s">
        <v>804</v>
      </c>
      <c r="E935">
        <v>9</v>
      </c>
      <c r="F935" t="s">
        <v>817</v>
      </c>
      <c r="G935">
        <v>1</v>
      </c>
      <c r="H935" t="s">
        <v>806</v>
      </c>
      <c r="I935">
        <v>1</v>
      </c>
      <c r="J935">
        <v>6.2544000000000004</v>
      </c>
      <c r="K935">
        <v>3.4200000000000001E-2</v>
      </c>
    </row>
    <row r="936" spans="1:11" x14ac:dyDescent="0.2">
      <c r="A936">
        <v>97145</v>
      </c>
      <c r="B936" t="s">
        <v>1233</v>
      </c>
      <c r="C936" t="str">
        <f t="shared" si="14"/>
        <v>PNWR</v>
      </c>
      <c r="D936" t="s">
        <v>807</v>
      </c>
      <c r="E936">
        <v>9</v>
      </c>
      <c r="F936" t="s">
        <v>817</v>
      </c>
      <c r="G936">
        <v>1</v>
      </c>
      <c r="H936" t="s">
        <v>806</v>
      </c>
      <c r="I936">
        <v>1</v>
      </c>
      <c r="J936">
        <v>5.1619999999999999</v>
      </c>
      <c r="K936">
        <v>-1.04E-2</v>
      </c>
    </row>
    <row r="937" spans="1:11" x14ac:dyDescent="0.2">
      <c r="A937">
        <v>97151</v>
      </c>
      <c r="B937" t="s">
        <v>1234</v>
      </c>
      <c r="C937" t="str">
        <f t="shared" si="14"/>
        <v>PONT</v>
      </c>
      <c r="D937" t="s">
        <v>804</v>
      </c>
      <c r="E937">
        <v>9</v>
      </c>
      <c r="F937" t="s">
        <v>817</v>
      </c>
      <c r="G937">
        <v>1</v>
      </c>
      <c r="H937" t="s">
        <v>806</v>
      </c>
      <c r="I937">
        <v>1</v>
      </c>
      <c r="J937">
        <v>6.5194999999999999</v>
      </c>
      <c r="K937">
        <v>-0.23300000000000001</v>
      </c>
    </row>
    <row r="938" spans="1:11" x14ac:dyDescent="0.2">
      <c r="A938">
        <v>97151</v>
      </c>
      <c r="B938" t="s">
        <v>1234</v>
      </c>
      <c r="C938" t="str">
        <f t="shared" si="14"/>
        <v>PONT</v>
      </c>
      <c r="D938" t="s">
        <v>807</v>
      </c>
      <c r="E938">
        <v>9</v>
      </c>
      <c r="F938" t="s">
        <v>817</v>
      </c>
      <c r="G938">
        <v>1</v>
      </c>
      <c r="H938" t="s">
        <v>806</v>
      </c>
      <c r="I938">
        <v>1</v>
      </c>
      <c r="J938">
        <v>11.2538</v>
      </c>
      <c r="K938">
        <v>2.0731000000000002</v>
      </c>
    </row>
    <row r="939" spans="1:11" x14ac:dyDescent="0.2">
      <c r="A939">
        <v>97151</v>
      </c>
      <c r="B939" t="s">
        <v>1234</v>
      </c>
      <c r="C939" t="str">
        <f t="shared" si="14"/>
        <v>PONT</v>
      </c>
      <c r="D939" t="s">
        <v>808</v>
      </c>
      <c r="E939">
        <v>9</v>
      </c>
      <c r="F939" t="s">
        <v>817</v>
      </c>
      <c r="G939">
        <v>1</v>
      </c>
      <c r="H939" t="s">
        <v>806</v>
      </c>
      <c r="I939">
        <v>1</v>
      </c>
      <c r="J939">
        <v>12.456</v>
      </c>
      <c r="K939">
        <v>0.59640000000000004</v>
      </c>
    </row>
    <row r="940" spans="1:11" x14ac:dyDescent="0.2">
      <c r="A940">
        <v>97151</v>
      </c>
      <c r="B940" t="s">
        <v>1234</v>
      </c>
      <c r="C940" t="str">
        <f t="shared" si="14"/>
        <v>PONT</v>
      </c>
      <c r="D940" t="s">
        <v>809</v>
      </c>
      <c r="E940">
        <v>9</v>
      </c>
      <c r="F940" t="s">
        <v>817</v>
      </c>
      <c r="G940">
        <v>1</v>
      </c>
      <c r="H940" t="s">
        <v>806</v>
      </c>
      <c r="I940">
        <v>1</v>
      </c>
      <c r="J940">
        <v>12.482900000000001</v>
      </c>
      <c r="K940">
        <v>0.3024</v>
      </c>
    </row>
    <row r="941" spans="1:11" x14ac:dyDescent="0.2">
      <c r="A941">
        <v>97119</v>
      </c>
      <c r="B941" t="s">
        <v>1241</v>
      </c>
      <c r="C941" t="str">
        <f t="shared" si="14"/>
        <v>PRJA</v>
      </c>
      <c r="D941" t="s">
        <v>804</v>
      </c>
      <c r="E941">
        <v>9</v>
      </c>
      <c r="F941" t="s">
        <v>817</v>
      </c>
      <c r="G941">
        <v>1</v>
      </c>
      <c r="H941" t="s">
        <v>806</v>
      </c>
      <c r="I941">
        <v>1</v>
      </c>
      <c r="J941">
        <v>20.467700000000001</v>
      </c>
      <c r="K941">
        <v>4.5633999999999997</v>
      </c>
    </row>
    <row r="942" spans="1:11" x14ac:dyDescent="0.2">
      <c r="A942">
        <v>97119</v>
      </c>
      <c r="B942" t="s">
        <v>1241</v>
      </c>
      <c r="C942" t="str">
        <f t="shared" si="14"/>
        <v>PRJA</v>
      </c>
      <c r="D942" t="s">
        <v>807</v>
      </c>
      <c r="E942">
        <v>9</v>
      </c>
      <c r="F942" t="s">
        <v>817</v>
      </c>
      <c r="G942">
        <v>1</v>
      </c>
      <c r="H942" t="s">
        <v>806</v>
      </c>
      <c r="I942">
        <v>1</v>
      </c>
      <c r="J942">
        <v>0</v>
      </c>
      <c r="K942">
        <v>0</v>
      </c>
    </row>
    <row r="943" spans="1:11" x14ac:dyDescent="0.2">
      <c r="A943">
        <v>97119</v>
      </c>
      <c r="B943" t="s">
        <v>1241</v>
      </c>
      <c r="C943" t="str">
        <f t="shared" si="14"/>
        <v>PRJA</v>
      </c>
      <c r="D943" t="s">
        <v>808</v>
      </c>
      <c r="E943">
        <v>9</v>
      </c>
      <c r="F943" t="s">
        <v>817</v>
      </c>
      <c r="G943">
        <v>1</v>
      </c>
      <c r="H943" t="s">
        <v>806</v>
      </c>
      <c r="I943">
        <v>1</v>
      </c>
      <c r="J943">
        <v>1.2457</v>
      </c>
      <c r="K943">
        <v>0.11700000000000001</v>
      </c>
    </row>
    <row r="944" spans="1:11" x14ac:dyDescent="0.2">
      <c r="A944">
        <v>97119</v>
      </c>
      <c r="B944" t="s">
        <v>1241</v>
      </c>
      <c r="C944" t="str">
        <f t="shared" si="14"/>
        <v>PRJA</v>
      </c>
      <c r="D944" t="s">
        <v>809</v>
      </c>
      <c r="E944">
        <v>9</v>
      </c>
      <c r="F944" t="s">
        <v>817</v>
      </c>
      <c r="G944">
        <v>1</v>
      </c>
      <c r="H944" t="s">
        <v>806</v>
      </c>
      <c r="I944">
        <v>1</v>
      </c>
      <c r="J944">
        <v>1.2571000000000001</v>
      </c>
      <c r="K944">
        <v>0.1263</v>
      </c>
    </row>
    <row r="945" spans="1:11" x14ac:dyDescent="0.2">
      <c r="A945">
        <v>97163</v>
      </c>
      <c r="B945" t="s">
        <v>1244</v>
      </c>
      <c r="C945" t="str">
        <f t="shared" si="14"/>
        <v>PSAK</v>
      </c>
      <c r="D945" t="s">
        <v>804</v>
      </c>
      <c r="E945">
        <v>9</v>
      </c>
      <c r="F945" t="s">
        <v>817</v>
      </c>
      <c r="G945">
        <v>1</v>
      </c>
      <c r="H945" t="s">
        <v>806</v>
      </c>
      <c r="I945">
        <v>1</v>
      </c>
      <c r="J945">
        <v>7.9858000000000002</v>
      </c>
      <c r="K945">
        <v>-0.19359999999999999</v>
      </c>
    </row>
    <row r="946" spans="1:11" x14ac:dyDescent="0.2">
      <c r="A946">
        <v>97163</v>
      </c>
      <c r="B946" t="s">
        <v>1244</v>
      </c>
      <c r="C946" t="str">
        <f t="shared" si="14"/>
        <v>PSAK</v>
      </c>
      <c r="D946" t="s">
        <v>807</v>
      </c>
      <c r="E946">
        <v>9</v>
      </c>
      <c r="F946" t="s">
        <v>817</v>
      </c>
      <c r="G946">
        <v>1</v>
      </c>
      <c r="H946" t="s">
        <v>806</v>
      </c>
      <c r="I946">
        <v>1</v>
      </c>
      <c r="J946">
        <v>16.474799999999998</v>
      </c>
      <c r="K946">
        <v>0.24229999999999999</v>
      </c>
    </row>
    <row r="947" spans="1:11" x14ac:dyDescent="0.2">
      <c r="A947">
        <v>97163</v>
      </c>
      <c r="B947" t="s">
        <v>1244</v>
      </c>
      <c r="C947" t="str">
        <f t="shared" si="14"/>
        <v>PSAK</v>
      </c>
      <c r="D947" t="s">
        <v>808</v>
      </c>
      <c r="E947">
        <v>9</v>
      </c>
      <c r="F947" t="s">
        <v>817</v>
      </c>
      <c r="G947">
        <v>1</v>
      </c>
      <c r="H947" t="s">
        <v>806</v>
      </c>
      <c r="I947">
        <v>1</v>
      </c>
      <c r="J947">
        <v>11.9331</v>
      </c>
      <c r="K947">
        <v>-7.6047000000000002</v>
      </c>
    </row>
    <row r="948" spans="1:11" x14ac:dyDescent="0.2">
      <c r="A948">
        <v>97163</v>
      </c>
      <c r="B948" t="s">
        <v>1244</v>
      </c>
      <c r="C948" t="str">
        <f t="shared" si="14"/>
        <v>PSAK</v>
      </c>
      <c r="D948" t="s">
        <v>809</v>
      </c>
      <c r="E948">
        <v>9</v>
      </c>
      <c r="F948" t="s">
        <v>817</v>
      </c>
      <c r="G948">
        <v>1</v>
      </c>
      <c r="H948" t="s">
        <v>806</v>
      </c>
      <c r="I948">
        <v>1</v>
      </c>
      <c r="J948">
        <v>12.026300000000001</v>
      </c>
      <c r="K948">
        <v>-7.6917</v>
      </c>
    </row>
    <row r="949" spans="1:11" x14ac:dyDescent="0.2">
      <c r="A949">
        <v>97181</v>
      </c>
      <c r="B949" t="s">
        <v>1245</v>
      </c>
      <c r="C949" t="str">
        <f t="shared" si="14"/>
        <v>PSLG</v>
      </c>
      <c r="D949" t="s">
        <v>808</v>
      </c>
      <c r="E949">
        <v>9</v>
      </c>
      <c r="F949" t="s">
        <v>817</v>
      </c>
      <c r="G949">
        <v>1</v>
      </c>
      <c r="H949" t="s">
        <v>806</v>
      </c>
      <c r="I949">
        <v>1</v>
      </c>
      <c r="J949">
        <v>6.4667000000000003</v>
      </c>
      <c r="K949">
        <v>5.3800000000000001E-2</v>
      </c>
    </row>
    <row r="950" spans="1:11" x14ac:dyDescent="0.2">
      <c r="A950">
        <v>97181</v>
      </c>
      <c r="B950" t="s">
        <v>1245</v>
      </c>
      <c r="C950" t="str">
        <f t="shared" si="14"/>
        <v>PSLG</v>
      </c>
      <c r="D950" t="s">
        <v>809</v>
      </c>
      <c r="E950">
        <v>9</v>
      </c>
      <c r="F950" t="s">
        <v>817</v>
      </c>
      <c r="G950">
        <v>1</v>
      </c>
      <c r="H950" t="s">
        <v>806</v>
      </c>
      <c r="I950">
        <v>1</v>
      </c>
      <c r="J950">
        <v>7.4969999999999999</v>
      </c>
      <c r="K950">
        <v>-1.1939</v>
      </c>
    </row>
    <row r="951" spans="1:11" x14ac:dyDescent="0.2">
      <c r="A951">
        <v>97120</v>
      </c>
      <c r="B951" t="s">
        <v>1246</v>
      </c>
      <c r="C951" t="str">
        <f t="shared" si="14"/>
        <v>PSRI</v>
      </c>
      <c r="D951" t="s">
        <v>804</v>
      </c>
      <c r="E951">
        <v>9</v>
      </c>
      <c r="F951" t="s">
        <v>817</v>
      </c>
      <c r="G951">
        <v>1</v>
      </c>
      <c r="H951" t="s">
        <v>806</v>
      </c>
      <c r="I951">
        <v>1</v>
      </c>
      <c r="J951">
        <v>6.8032000000000004</v>
      </c>
      <c r="K951">
        <v>0.93610000000000004</v>
      </c>
    </row>
    <row r="952" spans="1:11" x14ac:dyDescent="0.2">
      <c r="A952">
        <v>97120</v>
      </c>
      <c r="B952" t="s">
        <v>1246</v>
      </c>
      <c r="C952" t="str">
        <f t="shared" si="14"/>
        <v>PSRI</v>
      </c>
      <c r="D952" t="s">
        <v>807</v>
      </c>
      <c r="E952">
        <v>9</v>
      </c>
      <c r="F952" t="s">
        <v>817</v>
      </c>
      <c r="G952">
        <v>1</v>
      </c>
      <c r="H952" t="s">
        <v>806</v>
      </c>
      <c r="I952">
        <v>1</v>
      </c>
      <c r="J952">
        <v>16.16</v>
      </c>
      <c r="K952">
        <v>1.6765000000000001</v>
      </c>
    </row>
    <row r="953" spans="1:11" x14ac:dyDescent="0.2">
      <c r="A953">
        <v>97118</v>
      </c>
      <c r="B953" t="s">
        <v>1250</v>
      </c>
      <c r="C953" t="str">
        <f t="shared" si="14"/>
        <v>PUBB</v>
      </c>
      <c r="D953" t="s">
        <v>804</v>
      </c>
      <c r="E953">
        <v>9</v>
      </c>
      <c r="F953" t="s">
        <v>817</v>
      </c>
      <c r="G953">
        <v>1</v>
      </c>
      <c r="H953" t="s">
        <v>806</v>
      </c>
      <c r="I953">
        <v>1</v>
      </c>
      <c r="J953">
        <v>10.158200000000001</v>
      </c>
      <c r="K953">
        <v>2.363</v>
      </c>
    </row>
    <row r="954" spans="1:11" x14ac:dyDescent="0.2">
      <c r="A954">
        <v>97118</v>
      </c>
      <c r="B954" t="s">
        <v>1250</v>
      </c>
      <c r="C954" t="str">
        <f t="shared" si="14"/>
        <v>PUBB</v>
      </c>
      <c r="D954" t="s">
        <v>807</v>
      </c>
      <c r="E954">
        <v>9</v>
      </c>
      <c r="F954" t="s">
        <v>817</v>
      </c>
      <c r="G954">
        <v>1</v>
      </c>
      <c r="H954" t="s">
        <v>806</v>
      </c>
      <c r="I954">
        <v>1</v>
      </c>
      <c r="J954">
        <v>10.2514</v>
      </c>
      <c r="K954">
        <v>2.3805999999999998</v>
      </c>
    </row>
    <row r="955" spans="1:11" x14ac:dyDescent="0.2">
      <c r="A955">
        <v>97104</v>
      </c>
      <c r="B955" t="s">
        <v>1255</v>
      </c>
      <c r="C955" t="str">
        <f t="shared" si="14"/>
        <v>PYSF</v>
      </c>
      <c r="D955" t="s">
        <v>804</v>
      </c>
      <c r="E955">
        <v>9</v>
      </c>
      <c r="F955" t="s">
        <v>817</v>
      </c>
      <c r="G955">
        <v>1</v>
      </c>
      <c r="H955" t="s">
        <v>806</v>
      </c>
      <c r="I955">
        <v>1</v>
      </c>
      <c r="J955">
        <v>4.0208000000000004</v>
      </c>
      <c r="K955">
        <v>-8.5900000000000004E-2</v>
      </c>
    </row>
    <row r="956" spans="1:11" x14ac:dyDescent="0.2">
      <c r="A956">
        <v>97104</v>
      </c>
      <c r="B956" t="s">
        <v>1255</v>
      </c>
      <c r="C956" t="str">
        <f t="shared" si="14"/>
        <v>PYSF</v>
      </c>
      <c r="D956" t="s">
        <v>807</v>
      </c>
      <c r="E956">
        <v>9</v>
      </c>
      <c r="F956" t="s">
        <v>817</v>
      </c>
      <c r="G956">
        <v>1</v>
      </c>
      <c r="H956" t="s">
        <v>806</v>
      </c>
      <c r="I956">
        <v>1</v>
      </c>
      <c r="J956">
        <v>3.9866999999999999</v>
      </c>
      <c r="K956">
        <v>-8.5900000000000004E-2</v>
      </c>
    </row>
    <row r="957" spans="1:11" x14ac:dyDescent="0.2">
      <c r="A957">
        <v>97111</v>
      </c>
      <c r="B957" t="s">
        <v>1258</v>
      </c>
      <c r="C957" t="str">
        <f t="shared" si="14"/>
        <v>RNGM</v>
      </c>
      <c r="D957" t="s">
        <v>804</v>
      </c>
      <c r="E957">
        <v>9</v>
      </c>
      <c r="F957" t="s">
        <v>817</v>
      </c>
      <c r="G957">
        <v>1</v>
      </c>
      <c r="H957" t="s">
        <v>806</v>
      </c>
      <c r="I957">
        <v>1</v>
      </c>
      <c r="J957">
        <v>4.3905000000000003</v>
      </c>
      <c r="K957">
        <v>-1.7085999999999999</v>
      </c>
    </row>
    <row r="958" spans="1:11" x14ac:dyDescent="0.2">
      <c r="A958">
        <v>97111</v>
      </c>
      <c r="B958" t="s">
        <v>1258</v>
      </c>
      <c r="C958" t="str">
        <f t="shared" si="14"/>
        <v>RNGM</v>
      </c>
      <c r="D958" t="s">
        <v>807</v>
      </c>
      <c r="E958">
        <v>9</v>
      </c>
      <c r="F958" t="s">
        <v>817</v>
      </c>
      <c r="G958">
        <v>1</v>
      </c>
      <c r="H958" t="s">
        <v>806</v>
      </c>
      <c r="I958">
        <v>1</v>
      </c>
      <c r="J958">
        <v>4.4764999999999997</v>
      </c>
      <c r="K958">
        <v>0.89780000000000004</v>
      </c>
    </row>
    <row r="959" spans="1:11" x14ac:dyDescent="0.2">
      <c r="A959">
        <v>97124</v>
      </c>
      <c r="B959" t="s">
        <v>1259</v>
      </c>
      <c r="C959" t="str">
        <f t="shared" si="14"/>
        <v>RNGT</v>
      </c>
      <c r="D959" t="s">
        <v>804</v>
      </c>
      <c r="E959">
        <v>9</v>
      </c>
      <c r="F959" t="s">
        <v>817</v>
      </c>
      <c r="G959">
        <v>1</v>
      </c>
      <c r="H959" t="s">
        <v>806</v>
      </c>
      <c r="I959">
        <v>1</v>
      </c>
      <c r="J959">
        <v>7.9526000000000003</v>
      </c>
      <c r="K959">
        <v>-0.1232</v>
      </c>
    </row>
    <row r="960" spans="1:11" x14ac:dyDescent="0.2">
      <c r="A960">
        <v>97124</v>
      </c>
      <c r="B960" t="s">
        <v>1259</v>
      </c>
      <c r="C960" t="str">
        <f t="shared" si="14"/>
        <v>RNGT</v>
      </c>
      <c r="D960" t="s">
        <v>807</v>
      </c>
      <c r="E960">
        <v>9</v>
      </c>
      <c r="F960" t="s">
        <v>817</v>
      </c>
      <c r="G960">
        <v>1</v>
      </c>
      <c r="H960" t="s">
        <v>806</v>
      </c>
      <c r="I960">
        <v>1</v>
      </c>
      <c r="J960">
        <v>6.7203999999999997</v>
      </c>
      <c r="K960">
        <v>-0.15529999999999999</v>
      </c>
    </row>
    <row r="961" spans="1:11" x14ac:dyDescent="0.2">
      <c r="A961">
        <v>97124</v>
      </c>
      <c r="B961" t="s">
        <v>1259</v>
      </c>
      <c r="C961" t="str">
        <f t="shared" si="14"/>
        <v>RNGT</v>
      </c>
      <c r="D961" t="s">
        <v>808</v>
      </c>
      <c r="E961">
        <v>9</v>
      </c>
      <c r="F961" t="s">
        <v>817</v>
      </c>
      <c r="G961">
        <v>1</v>
      </c>
      <c r="H961" t="s">
        <v>806</v>
      </c>
      <c r="I961">
        <v>1</v>
      </c>
      <c r="J961">
        <v>9.0823999999999998</v>
      </c>
      <c r="K961">
        <v>-0.1988</v>
      </c>
    </row>
    <row r="962" spans="1:11" x14ac:dyDescent="0.2">
      <c r="A962">
        <v>97134</v>
      </c>
      <c r="B962" t="s">
        <v>1265</v>
      </c>
      <c r="C962" t="str">
        <f t="shared" si="14"/>
        <v>SABG</v>
      </c>
      <c r="D962" t="s">
        <v>804</v>
      </c>
      <c r="E962">
        <v>9</v>
      </c>
      <c r="F962" t="s">
        <v>817</v>
      </c>
      <c r="G962">
        <v>1</v>
      </c>
      <c r="H962" t="s">
        <v>806</v>
      </c>
      <c r="I962">
        <v>1</v>
      </c>
      <c r="J962">
        <v>10.093999999999999</v>
      </c>
      <c r="K962">
        <v>0.89259999999999995</v>
      </c>
    </row>
    <row r="963" spans="1:11" x14ac:dyDescent="0.2">
      <c r="A963">
        <v>97134</v>
      </c>
      <c r="B963" t="s">
        <v>1265</v>
      </c>
      <c r="C963" t="str">
        <f t="shared" ref="C963:C1026" si="15">LEFT(B963,4)</f>
        <v>SABG</v>
      </c>
      <c r="D963" t="s">
        <v>807</v>
      </c>
      <c r="E963">
        <v>9</v>
      </c>
      <c r="F963" t="s">
        <v>817</v>
      </c>
      <c r="G963">
        <v>1</v>
      </c>
      <c r="H963" t="s">
        <v>806</v>
      </c>
      <c r="I963">
        <v>1</v>
      </c>
      <c r="J963">
        <v>11.085000000000001</v>
      </c>
      <c r="K963">
        <v>1.5243</v>
      </c>
    </row>
    <row r="964" spans="1:11" x14ac:dyDescent="0.2">
      <c r="A964">
        <v>97134</v>
      </c>
      <c r="B964" t="s">
        <v>1265</v>
      </c>
      <c r="C964" t="str">
        <f t="shared" si="15"/>
        <v>SABG</v>
      </c>
      <c r="D964" t="s">
        <v>808</v>
      </c>
      <c r="E964">
        <v>9</v>
      </c>
      <c r="F964" t="s">
        <v>817</v>
      </c>
      <c r="G964">
        <v>1</v>
      </c>
      <c r="H964" t="s">
        <v>806</v>
      </c>
      <c r="I964">
        <v>1</v>
      </c>
      <c r="J964">
        <v>27.6737</v>
      </c>
      <c r="K964">
        <v>2.5213999999999999</v>
      </c>
    </row>
    <row r="965" spans="1:11" x14ac:dyDescent="0.2">
      <c r="A965">
        <v>97134</v>
      </c>
      <c r="B965" t="s">
        <v>1265</v>
      </c>
      <c r="C965" t="str">
        <f t="shared" si="15"/>
        <v>SABG</v>
      </c>
      <c r="D965" t="s">
        <v>809</v>
      </c>
      <c r="E965">
        <v>9</v>
      </c>
      <c r="F965" t="s">
        <v>817</v>
      </c>
      <c r="G965">
        <v>1</v>
      </c>
      <c r="H965" t="s">
        <v>806</v>
      </c>
      <c r="I965">
        <v>1</v>
      </c>
      <c r="J965">
        <v>27.331</v>
      </c>
      <c r="K965">
        <v>2.4779</v>
      </c>
    </row>
    <row r="966" spans="1:11" x14ac:dyDescent="0.2">
      <c r="A966">
        <v>97113</v>
      </c>
      <c r="B966" t="s">
        <v>1272</v>
      </c>
      <c r="C966" t="str">
        <f t="shared" si="15"/>
        <v>SDAI</v>
      </c>
      <c r="D966" t="s">
        <v>804</v>
      </c>
      <c r="E966">
        <v>9</v>
      </c>
      <c r="F966" t="s">
        <v>817</v>
      </c>
      <c r="G966">
        <v>1</v>
      </c>
      <c r="H966" t="s">
        <v>806</v>
      </c>
      <c r="I966">
        <v>1</v>
      </c>
      <c r="J966">
        <v>30.019100000000002</v>
      </c>
      <c r="K966">
        <v>3.1147999999999998</v>
      </c>
    </row>
    <row r="967" spans="1:11" x14ac:dyDescent="0.2">
      <c r="A967">
        <v>97113</v>
      </c>
      <c r="B967" t="s">
        <v>1272</v>
      </c>
      <c r="C967" t="str">
        <f t="shared" si="15"/>
        <v>SDAI</v>
      </c>
      <c r="D967" t="s">
        <v>807</v>
      </c>
      <c r="E967">
        <v>9</v>
      </c>
      <c r="F967" t="s">
        <v>817</v>
      </c>
      <c r="G967">
        <v>1</v>
      </c>
      <c r="H967" t="s">
        <v>806</v>
      </c>
      <c r="I967">
        <v>1</v>
      </c>
      <c r="J967">
        <v>29.783000000000001</v>
      </c>
      <c r="K967">
        <v>3.0215999999999998</v>
      </c>
    </row>
    <row r="968" spans="1:11" x14ac:dyDescent="0.2">
      <c r="A968">
        <v>97113</v>
      </c>
      <c r="B968" t="s">
        <v>1272</v>
      </c>
      <c r="C968" t="str">
        <f t="shared" si="15"/>
        <v>SDAI</v>
      </c>
      <c r="D968" t="s">
        <v>848</v>
      </c>
      <c r="E968">
        <v>9</v>
      </c>
      <c r="F968" t="s">
        <v>817</v>
      </c>
      <c r="G968">
        <v>1</v>
      </c>
      <c r="H968" t="s">
        <v>806</v>
      </c>
      <c r="I968">
        <v>1</v>
      </c>
      <c r="J968">
        <v>0.62749999999999995</v>
      </c>
      <c r="K968">
        <v>-0.33339999999999997</v>
      </c>
    </row>
    <row r="969" spans="1:11" x14ac:dyDescent="0.2">
      <c r="A969">
        <v>97113</v>
      </c>
      <c r="B969" t="s">
        <v>1272</v>
      </c>
      <c r="C969" t="str">
        <f t="shared" si="15"/>
        <v>SDAI</v>
      </c>
      <c r="D969" t="s">
        <v>860</v>
      </c>
      <c r="E969">
        <v>9</v>
      </c>
      <c r="F969" t="s">
        <v>817</v>
      </c>
      <c r="G969">
        <v>1</v>
      </c>
      <c r="H969" t="s">
        <v>806</v>
      </c>
      <c r="I969">
        <v>1</v>
      </c>
      <c r="J969">
        <v>0.67410000000000003</v>
      </c>
      <c r="K969">
        <v>-0.31059999999999999</v>
      </c>
    </row>
    <row r="970" spans="1:11" x14ac:dyDescent="0.2">
      <c r="A970">
        <v>197113</v>
      </c>
      <c r="B970" t="s">
        <v>1273</v>
      </c>
      <c r="C970" t="str">
        <f t="shared" si="15"/>
        <v>SDAI</v>
      </c>
      <c r="D970" t="s">
        <v>1274</v>
      </c>
      <c r="E970">
        <v>9</v>
      </c>
      <c r="F970" t="s">
        <v>817</v>
      </c>
      <c r="G970">
        <v>1</v>
      </c>
      <c r="H970" t="s">
        <v>806</v>
      </c>
      <c r="I970">
        <v>1</v>
      </c>
      <c r="J970">
        <v>0</v>
      </c>
      <c r="K970">
        <v>0</v>
      </c>
    </row>
    <row r="971" spans="1:11" x14ac:dyDescent="0.2">
      <c r="A971">
        <v>97137</v>
      </c>
      <c r="B971" t="s">
        <v>1277</v>
      </c>
      <c r="C971" t="str">
        <f t="shared" si="15"/>
        <v>SDNK</v>
      </c>
      <c r="D971" t="s">
        <v>804</v>
      </c>
      <c r="E971">
        <v>9</v>
      </c>
      <c r="F971" t="s">
        <v>817</v>
      </c>
      <c r="G971">
        <v>1</v>
      </c>
      <c r="H971" t="s">
        <v>806</v>
      </c>
      <c r="I971">
        <v>1</v>
      </c>
      <c r="J971">
        <v>2.7730999999999999</v>
      </c>
      <c r="K971">
        <v>-0.31790000000000002</v>
      </c>
    </row>
    <row r="972" spans="1:11" x14ac:dyDescent="0.2">
      <c r="A972">
        <v>97137</v>
      </c>
      <c r="B972" t="s">
        <v>1277</v>
      </c>
      <c r="C972" t="str">
        <f t="shared" si="15"/>
        <v>SDNK</v>
      </c>
      <c r="D972" t="s">
        <v>807</v>
      </c>
      <c r="E972">
        <v>9</v>
      </c>
      <c r="F972" t="s">
        <v>817</v>
      </c>
      <c r="G972">
        <v>1</v>
      </c>
      <c r="H972" t="s">
        <v>806</v>
      </c>
      <c r="I972">
        <v>1</v>
      </c>
      <c r="J972">
        <v>2.7740999999999998</v>
      </c>
      <c r="K972">
        <v>-0.32719999999999999</v>
      </c>
    </row>
    <row r="973" spans="1:11" x14ac:dyDescent="0.2">
      <c r="A973">
        <v>97142</v>
      </c>
      <c r="B973" t="s">
        <v>1279</v>
      </c>
      <c r="C973" t="str">
        <f t="shared" si="15"/>
        <v>SELG</v>
      </c>
      <c r="D973" t="s">
        <v>804</v>
      </c>
      <c r="E973">
        <v>9</v>
      </c>
      <c r="F973" t="s">
        <v>817</v>
      </c>
      <c r="G973">
        <v>1</v>
      </c>
      <c r="H973" t="s">
        <v>806</v>
      </c>
      <c r="I973">
        <v>1</v>
      </c>
      <c r="J973">
        <v>0</v>
      </c>
      <c r="K973">
        <v>0</v>
      </c>
    </row>
    <row r="974" spans="1:11" x14ac:dyDescent="0.2">
      <c r="A974">
        <v>97142</v>
      </c>
      <c r="B974" t="s">
        <v>1279</v>
      </c>
      <c r="C974" t="str">
        <f t="shared" si="15"/>
        <v>SELG</v>
      </c>
      <c r="D974" t="s">
        <v>807</v>
      </c>
      <c r="E974">
        <v>9</v>
      </c>
      <c r="F974" t="s">
        <v>817</v>
      </c>
      <c r="G974">
        <v>1</v>
      </c>
      <c r="H974" t="s">
        <v>806</v>
      </c>
      <c r="I974">
        <v>1</v>
      </c>
      <c r="J974">
        <v>14.6927</v>
      </c>
      <c r="K974">
        <v>1.7396</v>
      </c>
    </row>
    <row r="975" spans="1:11" x14ac:dyDescent="0.2">
      <c r="A975">
        <v>97146</v>
      </c>
      <c r="B975" t="s">
        <v>1280</v>
      </c>
      <c r="C975" t="str">
        <f t="shared" si="15"/>
        <v>SGAD</v>
      </c>
      <c r="D975" t="s">
        <v>804</v>
      </c>
      <c r="E975">
        <v>9</v>
      </c>
      <c r="F975" t="s">
        <v>817</v>
      </c>
      <c r="G975">
        <v>1</v>
      </c>
      <c r="H975" t="s">
        <v>806</v>
      </c>
      <c r="I975">
        <v>1</v>
      </c>
      <c r="J975">
        <v>15.217700000000001</v>
      </c>
      <c r="K975">
        <v>3.8521000000000001</v>
      </c>
    </row>
    <row r="976" spans="1:11" x14ac:dyDescent="0.2">
      <c r="A976">
        <v>97146</v>
      </c>
      <c r="B976" t="s">
        <v>1280</v>
      </c>
      <c r="C976" t="str">
        <f t="shared" si="15"/>
        <v>SGAD</v>
      </c>
      <c r="D976" t="s">
        <v>807</v>
      </c>
      <c r="E976">
        <v>9</v>
      </c>
      <c r="F976" t="s">
        <v>817</v>
      </c>
      <c r="G976">
        <v>1</v>
      </c>
      <c r="H976" t="s">
        <v>806</v>
      </c>
      <c r="I976">
        <v>1</v>
      </c>
      <c r="J976">
        <v>8.7022999999999993</v>
      </c>
      <c r="K976">
        <v>2.3692000000000002</v>
      </c>
    </row>
    <row r="977" spans="1:11" x14ac:dyDescent="0.2">
      <c r="A977">
        <v>97146</v>
      </c>
      <c r="B977" t="s">
        <v>1280</v>
      </c>
      <c r="C977" t="str">
        <f t="shared" si="15"/>
        <v>SGAD</v>
      </c>
      <c r="D977" t="s">
        <v>808</v>
      </c>
      <c r="E977">
        <v>9</v>
      </c>
      <c r="F977" t="s">
        <v>817</v>
      </c>
      <c r="G977">
        <v>1</v>
      </c>
      <c r="H977" t="s">
        <v>806</v>
      </c>
      <c r="I977">
        <v>1</v>
      </c>
      <c r="J977">
        <v>11.9062</v>
      </c>
      <c r="K977">
        <v>2.1703999999999999</v>
      </c>
    </row>
    <row r="978" spans="1:11" x14ac:dyDescent="0.2">
      <c r="A978">
        <v>97146</v>
      </c>
      <c r="B978" t="s">
        <v>1280</v>
      </c>
      <c r="C978" t="str">
        <f t="shared" si="15"/>
        <v>SGAD</v>
      </c>
      <c r="D978" t="s">
        <v>809</v>
      </c>
      <c r="E978">
        <v>9</v>
      </c>
      <c r="F978" t="s">
        <v>817</v>
      </c>
      <c r="G978">
        <v>1</v>
      </c>
      <c r="H978" t="s">
        <v>806</v>
      </c>
      <c r="I978">
        <v>1</v>
      </c>
      <c r="J978">
        <v>10.7537</v>
      </c>
      <c r="K978">
        <v>2.8466</v>
      </c>
    </row>
    <row r="979" spans="1:11" x14ac:dyDescent="0.2">
      <c r="A979">
        <v>97141</v>
      </c>
      <c r="B979" t="s">
        <v>1283</v>
      </c>
      <c r="C979" t="str">
        <f t="shared" si="15"/>
        <v>SGMT</v>
      </c>
      <c r="D979" t="s">
        <v>804</v>
      </c>
      <c r="E979">
        <v>9</v>
      </c>
      <c r="F979" t="s">
        <v>817</v>
      </c>
      <c r="G979">
        <v>1</v>
      </c>
      <c r="H979" t="s">
        <v>806</v>
      </c>
      <c r="I979">
        <v>1</v>
      </c>
      <c r="J979">
        <v>7.9878</v>
      </c>
      <c r="K979">
        <v>-0.31690000000000002</v>
      </c>
    </row>
    <row r="980" spans="1:11" x14ac:dyDescent="0.2">
      <c r="A980">
        <v>97141</v>
      </c>
      <c r="B980" t="s">
        <v>1283</v>
      </c>
      <c r="C980" t="str">
        <f t="shared" si="15"/>
        <v>SGMT</v>
      </c>
      <c r="D980" t="s">
        <v>807</v>
      </c>
      <c r="E980">
        <v>9</v>
      </c>
      <c r="F980" t="s">
        <v>817</v>
      </c>
      <c r="G980">
        <v>1</v>
      </c>
      <c r="H980" t="s">
        <v>806</v>
      </c>
      <c r="I980">
        <v>1</v>
      </c>
      <c r="J980">
        <v>9.8466000000000005</v>
      </c>
      <c r="K980">
        <v>0.2848</v>
      </c>
    </row>
    <row r="981" spans="1:11" x14ac:dyDescent="0.2">
      <c r="A981">
        <v>97126</v>
      </c>
      <c r="B981" t="s">
        <v>1292</v>
      </c>
      <c r="C981" t="str">
        <f t="shared" si="15"/>
        <v>SHTE</v>
      </c>
      <c r="D981" t="s">
        <v>804</v>
      </c>
      <c r="E981">
        <v>9</v>
      </c>
      <c r="F981" t="s">
        <v>817</v>
      </c>
      <c r="G981">
        <v>1</v>
      </c>
      <c r="H981" t="s">
        <v>806</v>
      </c>
      <c r="I981">
        <v>1</v>
      </c>
      <c r="J981">
        <v>33.749000000000002</v>
      </c>
      <c r="K981">
        <v>-0.27750000000000002</v>
      </c>
    </row>
    <row r="982" spans="1:11" x14ac:dyDescent="0.2">
      <c r="A982">
        <v>97126</v>
      </c>
      <c r="B982" t="s">
        <v>1292</v>
      </c>
      <c r="C982" t="str">
        <f t="shared" si="15"/>
        <v>SHTE</v>
      </c>
      <c r="D982" t="s">
        <v>807</v>
      </c>
      <c r="E982">
        <v>9</v>
      </c>
      <c r="F982" t="s">
        <v>817</v>
      </c>
      <c r="G982">
        <v>1</v>
      </c>
      <c r="H982" t="s">
        <v>806</v>
      </c>
      <c r="I982">
        <v>1</v>
      </c>
      <c r="J982">
        <v>33.510800000000003</v>
      </c>
      <c r="K982">
        <v>-0.26819999999999999</v>
      </c>
    </row>
    <row r="983" spans="1:11" x14ac:dyDescent="0.2">
      <c r="A983">
        <v>97251</v>
      </c>
      <c r="B983" t="s">
        <v>1293</v>
      </c>
      <c r="C983" t="str">
        <f t="shared" si="15"/>
        <v>SIDC</v>
      </c>
      <c r="D983" t="s">
        <v>804</v>
      </c>
      <c r="E983">
        <v>9</v>
      </c>
      <c r="F983" t="s">
        <v>817</v>
      </c>
      <c r="G983">
        <v>1</v>
      </c>
      <c r="H983" t="s">
        <v>806</v>
      </c>
      <c r="I983">
        <v>1</v>
      </c>
      <c r="J983">
        <v>0</v>
      </c>
      <c r="K983">
        <v>0</v>
      </c>
    </row>
    <row r="984" spans="1:11" x14ac:dyDescent="0.2">
      <c r="A984">
        <v>97251</v>
      </c>
      <c r="B984" t="s">
        <v>1293</v>
      </c>
      <c r="C984" t="str">
        <f t="shared" si="15"/>
        <v>SIDC</v>
      </c>
      <c r="D984" t="s">
        <v>807</v>
      </c>
      <c r="E984">
        <v>9</v>
      </c>
      <c r="F984" t="s">
        <v>817</v>
      </c>
      <c r="G984">
        <v>1</v>
      </c>
      <c r="H984" t="s">
        <v>806</v>
      </c>
      <c r="I984">
        <v>1</v>
      </c>
      <c r="J984">
        <v>0</v>
      </c>
      <c r="K984">
        <v>0</v>
      </c>
    </row>
    <row r="985" spans="1:11" x14ac:dyDescent="0.2">
      <c r="A985">
        <v>97190</v>
      </c>
      <c r="B985" t="s">
        <v>1300</v>
      </c>
      <c r="C985" t="str">
        <f t="shared" si="15"/>
        <v>SKRG</v>
      </c>
      <c r="D985" t="s">
        <v>804</v>
      </c>
      <c r="E985">
        <v>9</v>
      </c>
      <c r="F985" t="s">
        <v>817</v>
      </c>
      <c r="G985">
        <v>1</v>
      </c>
      <c r="H985" t="s">
        <v>806</v>
      </c>
      <c r="I985">
        <v>1</v>
      </c>
      <c r="J985">
        <v>2.1175999999999999</v>
      </c>
      <c r="K985">
        <v>0.54669999999999996</v>
      </c>
    </row>
    <row r="986" spans="1:11" x14ac:dyDescent="0.2">
      <c r="A986">
        <v>597190</v>
      </c>
      <c r="B986" t="s">
        <v>1301</v>
      </c>
      <c r="C986" t="str">
        <f t="shared" si="15"/>
        <v>SKRG</v>
      </c>
      <c r="D986" t="s">
        <v>807</v>
      </c>
      <c r="E986">
        <v>9</v>
      </c>
      <c r="F986" t="s">
        <v>817</v>
      </c>
      <c r="G986">
        <v>1</v>
      </c>
      <c r="H986" t="s">
        <v>806</v>
      </c>
      <c r="I986">
        <v>1</v>
      </c>
      <c r="J986">
        <v>2.3754</v>
      </c>
      <c r="K986">
        <v>0.29820000000000002</v>
      </c>
    </row>
    <row r="987" spans="1:11" x14ac:dyDescent="0.2">
      <c r="A987">
        <v>97143</v>
      </c>
      <c r="B987" t="s">
        <v>1302</v>
      </c>
      <c r="C987" t="str">
        <f t="shared" si="15"/>
        <v>SLNG</v>
      </c>
      <c r="D987" t="s">
        <v>804</v>
      </c>
      <c r="E987">
        <v>9</v>
      </c>
      <c r="F987" t="s">
        <v>817</v>
      </c>
      <c r="G987">
        <v>1</v>
      </c>
      <c r="H987" t="s">
        <v>806</v>
      </c>
      <c r="I987">
        <v>1</v>
      </c>
      <c r="J987">
        <v>12.476699999999999</v>
      </c>
      <c r="K987">
        <v>1.8328</v>
      </c>
    </row>
    <row r="988" spans="1:11" x14ac:dyDescent="0.2">
      <c r="A988">
        <v>97143</v>
      </c>
      <c r="B988" t="s">
        <v>1302</v>
      </c>
      <c r="C988" t="str">
        <f t="shared" si="15"/>
        <v>SLNG</v>
      </c>
      <c r="D988" t="s">
        <v>807</v>
      </c>
      <c r="E988">
        <v>9</v>
      </c>
      <c r="F988" t="s">
        <v>817</v>
      </c>
      <c r="G988">
        <v>1</v>
      </c>
      <c r="H988" t="s">
        <v>806</v>
      </c>
      <c r="I988">
        <v>1</v>
      </c>
      <c r="J988">
        <v>13.5661</v>
      </c>
      <c r="K988">
        <v>2.7968999999999999</v>
      </c>
    </row>
    <row r="989" spans="1:11" x14ac:dyDescent="0.2">
      <c r="A989">
        <v>97143</v>
      </c>
      <c r="B989" t="s">
        <v>1302</v>
      </c>
      <c r="C989" t="str">
        <f t="shared" si="15"/>
        <v>SLNG</v>
      </c>
      <c r="D989" t="s">
        <v>808</v>
      </c>
      <c r="E989">
        <v>9</v>
      </c>
      <c r="F989" t="s">
        <v>817</v>
      </c>
      <c r="G989">
        <v>1</v>
      </c>
      <c r="H989" t="s">
        <v>806</v>
      </c>
      <c r="I989">
        <v>1</v>
      </c>
      <c r="J989">
        <v>29.151399999999999</v>
      </c>
      <c r="K989">
        <v>-2.1827999999999999</v>
      </c>
    </row>
    <row r="990" spans="1:11" x14ac:dyDescent="0.2">
      <c r="A990">
        <v>97143</v>
      </c>
      <c r="B990" t="s">
        <v>1302</v>
      </c>
      <c r="C990" t="str">
        <f t="shared" si="15"/>
        <v>SLNG</v>
      </c>
      <c r="D990" t="s">
        <v>809</v>
      </c>
      <c r="E990">
        <v>9</v>
      </c>
      <c r="F990" t="s">
        <v>817</v>
      </c>
      <c r="G990">
        <v>1</v>
      </c>
      <c r="H990" t="s">
        <v>806</v>
      </c>
      <c r="I990">
        <v>1</v>
      </c>
      <c r="J990">
        <v>29.006399999999999</v>
      </c>
      <c r="K990">
        <v>9.0761000000000003</v>
      </c>
    </row>
    <row r="991" spans="1:11" x14ac:dyDescent="0.2">
      <c r="A991">
        <v>97154</v>
      </c>
      <c r="B991" t="s">
        <v>1306</v>
      </c>
      <c r="C991" t="str">
        <f t="shared" si="15"/>
        <v>SMTI</v>
      </c>
      <c r="D991" t="s">
        <v>804</v>
      </c>
      <c r="E991">
        <v>9</v>
      </c>
      <c r="F991" t="s">
        <v>817</v>
      </c>
      <c r="G991">
        <v>1</v>
      </c>
      <c r="H991" t="s">
        <v>806</v>
      </c>
      <c r="I991">
        <v>1</v>
      </c>
      <c r="J991">
        <v>9.2491000000000003</v>
      </c>
      <c r="K991">
        <v>0.33760000000000001</v>
      </c>
    </row>
    <row r="992" spans="1:11" x14ac:dyDescent="0.2">
      <c r="A992">
        <v>97154</v>
      </c>
      <c r="B992" t="s">
        <v>1306</v>
      </c>
      <c r="C992" t="str">
        <f t="shared" si="15"/>
        <v>SMTI</v>
      </c>
      <c r="D992" t="s">
        <v>807</v>
      </c>
      <c r="E992">
        <v>9</v>
      </c>
      <c r="F992" t="s">
        <v>817</v>
      </c>
      <c r="G992">
        <v>1</v>
      </c>
      <c r="H992" t="s">
        <v>806</v>
      </c>
      <c r="I992">
        <v>1</v>
      </c>
      <c r="J992">
        <v>9.5090000000000003</v>
      </c>
      <c r="K992">
        <v>0.4929</v>
      </c>
    </row>
    <row r="993" spans="1:11" x14ac:dyDescent="0.2">
      <c r="A993">
        <v>97154</v>
      </c>
      <c r="B993" t="s">
        <v>1306</v>
      </c>
      <c r="C993" t="str">
        <f t="shared" si="15"/>
        <v>SMTI</v>
      </c>
      <c r="D993" t="s">
        <v>808</v>
      </c>
      <c r="E993">
        <v>9</v>
      </c>
      <c r="F993" t="s">
        <v>817</v>
      </c>
      <c r="G993">
        <v>1</v>
      </c>
      <c r="H993" t="s">
        <v>806</v>
      </c>
      <c r="I993">
        <v>1</v>
      </c>
      <c r="J993">
        <v>6.9233000000000002</v>
      </c>
      <c r="K993">
        <v>-1.7272000000000001</v>
      </c>
    </row>
    <row r="994" spans="1:11" x14ac:dyDescent="0.2">
      <c r="A994">
        <v>97154</v>
      </c>
      <c r="B994" t="s">
        <v>1306</v>
      </c>
      <c r="C994" t="str">
        <f t="shared" si="15"/>
        <v>SMTI</v>
      </c>
      <c r="D994" t="s">
        <v>809</v>
      </c>
      <c r="E994">
        <v>9</v>
      </c>
      <c r="F994" t="s">
        <v>817</v>
      </c>
      <c r="G994">
        <v>1</v>
      </c>
      <c r="H994" t="s">
        <v>806</v>
      </c>
      <c r="I994">
        <v>1</v>
      </c>
      <c r="J994">
        <v>7.1253000000000002</v>
      </c>
      <c r="K994">
        <v>-1.78</v>
      </c>
    </row>
    <row r="995" spans="1:11" x14ac:dyDescent="0.2">
      <c r="A995">
        <v>97162</v>
      </c>
      <c r="B995" t="s">
        <v>1309</v>
      </c>
      <c r="C995" t="str">
        <f t="shared" si="15"/>
        <v>SNAI</v>
      </c>
      <c r="D995" t="s">
        <v>804</v>
      </c>
      <c r="E995">
        <v>9</v>
      </c>
      <c r="F995" t="s">
        <v>817</v>
      </c>
      <c r="G995">
        <v>1</v>
      </c>
      <c r="H995" t="s">
        <v>806</v>
      </c>
      <c r="I995">
        <v>1</v>
      </c>
      <c r="J995">
        <v>9.6219000000000001</v>
      </c>
      <c r="K995">
        <v>2.6021999999999998</v>
      </c>
    </row>
    <row r="996" spans="1:11" x14ac:dyDescent="0.2">
      <c r="A996">
        <v>97162</v>
      </c>
      <c r="B996" t="s">
        <v>1309</v>
      </c>
      <c r="C996" t="str">
        <f t="shared" si="15"/>
        <v>SNAI</v>
      </c>
      <c r="D996" t="s">
        <v>807</v>
      </c>
      <c r="E996">
        <v>9</v>
      </c>
      <c r="F996" t="s">
        <v>817</v>
      </c>
      <c r="G996">
        <v>1</v>
      </c>
      <c r="H996" t="s">
        <v>806</v>
      </c>
      <c r="I996">
        <v>1</v>
      </c>
      <c r="J996">
        <v>9.6228999999999996</v>
      </c>
      <c r="K996">
        <v>2.6063000000000001</v>
      </c>
    </row>
    <row r="997" spans="1:11" x14ac:dyDescent="0.2">
      <c r="A997">
        <v>97162</v>
      </c>
      <c r="B997" t="s">
        <v>1309</v>
      </c>
      <c r="C997" t="str">
        <f t="shared" si="15"/>
        <v>SNAI</v>
      </c>
      <c r="D997" t="s">
        <v>808</v>
      </c>
      <c r="E997">
        <v>9</v>
      </c>
      <c r="F997" t="s">
        <v>817</v>
      </c>
      <c r="G997">
        <v>1</v>
      </c>
      <c r="H997" t="s">
        <v>806</v>
      </c>
      <c r="I997">
        <v>1</v>
      </c>
      <c r="J997">
        <v>43.069499999999998</v>
      </c>
      <c r="K997">
        <v>7.0362</v>
      </c>
    </row>
    <row r="998" spans="1:11" x14ac:dyDescent="0.2">
      <c r="A998">
        <v>97162</v>
      </c>
      <c r="B998" t="s">
        <v>1309</v>
      </c>
      <c r="C998" t="str">
        <f t="shared" si="15"/>
        <v>SNAI</v>
      </c>
      <c r="D998" t="s">
        <v>809</v>
      </c>
      <c r="E998">
        <v>9</v>
      </c>
      <c r="F998" t="s">
        <v>817</v>
      </c>
      <c r="G998">
        <v>40</v>
      </c>
      <c r="H998" t="s">
        <v>832</v>
      </c>
      <c r="I998">
        <v>1</v>
      </c>
      <c r="J998">
        <v>42.671900000000001</v>
      </c>
      <c r="K998">
        <v>6.9657999999999998</v>
      </c>
    </row>
    <row r="999" spans="1:11" x14ac:dyDescent="0.2">
      <c r="A999">
        <v>96115</v>
      </c>
      <c r="B999" t="s">
        <v>1320</v>
      </c>
      <c r="C999" t="str">
        <f t="shared" si="15"/>
        <v>SRBI</v>
      </c>
      <c r="D999" t="s">
        <v>804</v>
      </c>
      <c r="E999">
        <v>9</v>
      </c>
      <c r="F999" t="s">
        <v>817</v>
      </c>
      <c r="G999">
        <v>1</v>
      </c>
      <c r="H999" t="s">
        <v>806</v>
      </c>
      <c r="I999">
        <v>1</v>
      </c>
      <c r="J999">
        <v>6.2077999999999998</v>
      </c>
      <c r="K999">
        <v>-2.2915999999999999</v>
      </c>
    </row>
    <row r="1000" spans="1:11" x14ac:dyDescent="0.2">
      <c r="A1000">
        <v>96115</v>
      </c>
      <c r="B1000" t="s">
        <v>1320</v>
      </c>
      <c r="C1000" t="str">
        <f t="shared" si="15"/>
        <v>SRBI</v>
      </c>
      <c r="D1000" t="s">
        <v>807</v>
      </c>
      <c r="E1000">
        <v>9</v>
      </c>
      <c r="F1000" t="s">
        <v>817</v>
      </c>
      <c r="G1000">
        <v>1</v>
      </c>
      <c r="H1000" t="s">
        <v>806</v>
      </c>
      <c r="I1000">
        <v>1</v>
      </c>
      <c r="J1000">
        <v>6.2182000000000004</v>
      </c>
      <c r="K1000">
        <v>-2.2812000000000001</v>
      </c>
    </row>
    <row r="1001" spans="1:11" x14ac:dyDescent="0.2">
      <c r="A1001">
        <v>97139</v>
      </c>
      <c r="B1001" t="s">
        <v>1324</v>
      </c>
      <c r="C1001" t="str">
        <f t="shared" si="15"/>
        <v>SRGM</v>
      </c>
      <c r="D1001" t="s">
        <v>804</v>
      </c>
      <c r="E1001">
        <v>9</v>
      </c>
      <c r="F1001" t="s">
        <v>817</v>
      </c>
      <c r="G1001">
        <v>1</v>
      </c>
      <c r="H1001" t="s">
        <v>806</v>
      </c>
      <c r="I1001">
        <v>1</v>
      </c>
      <c r="J1001">
        <v>11.829499999999999</v>
      </c>
      <c r="K1001">
        <v>0.37590000000000001</v>
      </c>
    </row>
    <row r="1002" spans="1:11" x14ac:dyDescent="0.2">
      <c r="A1002">
        <v>97139</v>
      </c>
      <c r="B1002" t="s">
        <v>1324</v>
      </c>
      <c r="C1002" t="str">
        <f t="shared" si="15"/>
        <v>SRGM</v>
      </c>
      <c r="D1002" t="s">
        <v>807</v>
      </c>
      <c r="E1002">
        <v>9</v>
      </c>
      <c r="F1002" t="s">
        <v>817</v>
      </c>
      <c r="G1002">
        <v>1</v>
      </c>
      <c r="H1002" t="s">
        <v>806</v>
      </c>
      <c r="I1002">
        <v>1</v>
      </c>
      <c r="J1002">
        <v>9.1434999999999995</v>
      </c>
      <c r="K1002">
        <v>1.0303</v>
      </c>
    </row>
    <row r="1003" spans="1:11" x14ac:dyDescent="0.2">
      <c r="A1003">
        <v>97125</v>
      </c>
      <c r="B1003" t="s">
        <v>1330</v>
      </c>
      <c r="C1003" t="str">
        <f t="shared" si="15"/>
        <v>SSLG</v>
      </c>
      <c r="D1003" t="s">
        <v>808</v>
      </c>
      <c r="E1003">
        <v>9</v>
      </c>
      <c r="F1003" t="s">
        <v>817</v>
      </c>
      <c r="G1003">
        <v>1</v>
      </c>
      <c r="H1003" t="s">
        <v>806</v>
      </c>
      <c r="I1003">
        <v>1</v>
      </c>
      <c r="J1003">
        <v>4.5012999999999996</v>
      </c>
      <c r="K1003">
        <v>0.38929999999999998</v>
      </c>
    </row>
    <row r="1004" spans="1:11" x14ac:dyDescent="0.2">
      <c r="A1004">
        <v>97125</v>
      </c>
      <c r="B1004" t="s">
        <v>1330</v>
      </c>
      <c r="C1004" t="str">
        <f t="shared" si="15"/>
        <v>SSLG</v>
      </c>
      <c r="D1004" t="s">
        <v>809</v>
      </c>
      <c r="E1004">
        <v>9</v>
      </c>
      <c r="F1004" t="s">
        <v>817</v>
      </c>
      <c r="G1004">
        <v>1</v>
      </c>
      <c r="H1004" t="s">
        <v>806</v>
      </c>
      <c r="I1004">
        <v>1</v>
      </c>
      <c r="J1004">
        <v>4.5106000000000002</v>
      </c>
      <c r="K1004">
        <v>0.3987</v>
      </c>
    </row>
    <row r="1005" spans="1:11" x14ac:dyDescent="0.2">
      <c r="A1005">
        <v>97254</v>
      </c>
      <c r="B1005" t="s">
        <v>1336</v>
      </c>
      <c r="C1005" t="str">
        <f t="shared" si="15"/>
        <v>STDC</v>
      </c>
      <c r="D1005" t="s">
        <v>804</v>
      </c>
      <c r="E1005">
        <v>9</v>
      </c>
      <c r="F1005" t="s">
        <v>817</v>
      </c>
      <c r="G1005">
        <v>1</v>
      </c>
      <c r="H1005" t="s">
        <v>806</v>
      </c>
      <c r="I1005">
        <v>1</v>
      </c>
      <c r="J1005">
        <v>2.1890000000000001</v>
      </c>
      <c r="K1005">
        <v>3.4481999999999999</v>
      </c>
    </row>
    <row r="1006" spans="1:11" x14ac:dyDescent="0.2">
      <c r="A1006">
        <v>97254</v>
      </c>
      <c r="B1006" t="s">
        <v>1336</v>
      </c>
      <c r="C1006" t="str">
        <f t="shared" si="15"/>
        <v>STDC</v>
      </c>
      <c r="D1006" t="s">
        <v>807</v>
      </c>
      <c r="E1006">
        <v>9</v>
      </c>
      <c r="F1006" t="s">
        <v>817</v>
      </c>
      <c r="G1006">
        <v>1</v>
      </c>
      <c r="H1006" t="s">
        <v>806</v>
      </c>
      <c r="I1006">
        <v>1</v>
      </c>
      <c r="J1006">
        <v>2.1890000000000001</v>
      </c>
      <c r="K1006">
        <v>3.4481999999999999</v>
      </c>
    </row>
    <row r="1007" spans="1:11" x14ac:dyDescent="0.2">
      <c r="A1007">
        <v>97254</v>
      </c>
      <c r="B1007" t="s">
        <v>1336</v>
      </c>
      <c r="C1007" t="str">
        <f t="shared" si="15"/>
        <v>STDC</v>
      </c>
      <c r="D1007" t="s">
        <v>808</v>
      </c>
      <c r="E1007">
        <v>9</v>
      </c>
      <c r="F1007" t="s">
        <v>817</v>
      </c>
      <c r="G1007">
        <v>1</v>
      </c>
      <c r="H1007" t="s">
        <v>806</v>
      </c>
      <c r="I1007">
        <v>1</v>
      </c>
      <c r="J1007">
        <v>2.1890000000000001</v>
      </c>
      <c r="K1007">
        <v>3.4481999999999999</v>
      </c>
    </row>
    <row r="1008" spans="1:11" x14ac:dyDescent="0.2">
      <c r="A1008">
        <v>97254</v>
      </c>
      <c r="B1008" t="s">
        <v>1336</v>
      </c>
      <c r="C1008" t="str">
        <f t="shared" si="15"/>
        <v>STDC</v>
      </c>
      <c r="D1008" t="s">
        <v>809</v>
      </c>
      <c r="E1008">
        <v>9</v>
      </c>
      <c r="F1008" t="s">
        <v>817</v>
      </c>
      <c r="G1008">
        <v>1</v>
      </c>
      <c r="H1008" t="s">
        <v>806</v>
      </c>
      <c r="I1008">
        <v>1</v>
      </c>
      <c r="J1008">
        <v>2.1890000000000001</v>
      </c>
      <c r="K1008">
        <v>3.4481999999999999</v>
      </c>
    </row>
    <row r="1009" spans="1:11" x14ac:dyDescent="0.2">
      <c r="A1009">
        <v>97152</v>
      </c>
      <c r="B1009" t="s">
        <v>1341</v>
      </c>
      <c r="C1009" t="str">
        <f t="shared" si="15"/>
        <v>STUL</v>
      </c>
      <c r="D1009" t="s">
        <v>804</v>
      </c>
      <c r="E1009">
        <v>9</v>
      </c>
      <c r="F1009" t="s">
        <v>817</v>
      </c>
      <c r="G1009">
        <v>1</v>
      </c>
      <c r="H1009" t="s">
        <v>806</v>
      </c>
      <c r="I1009">
        <v>1</v>
      </c>
      <c r="J1009">
        <v>5.2914000000000003</v>
      </c>
      <c r="K1009">
        <v>5.7000000000000002E-2</v>
      </c>
    </row>
    <row r="1010" spans="1:11" x14ac:dyDescent="0.2">
      <c r="A1010">
        <v>97152</v>
      </c>
      <c r="B1010" t="s">
        <v>1341</v>
      </c>
      <c r="C1010" t="str">
        <f t="shared" si="15"/>
        <v>STUL</v>
      </c>
      <c r="D1010" t="s">
        <v>807</v>
      </c>
      <c r="E1010">
        <v>9</v>
      </c>
      <c r="F1010" t="s">
        <v>817</v>
      </c>
      <c r="G1010">
        <v>1</v>
      </c>
      <c r="H1010" t="s">
        <v>806</v>
      </c>
      <c r="I1010">
        <v>1</v>
      </c>
      <c r="J1010">
        <v>5.2778999999999998</v>
      </c>
      <c r="K1010">
        <v>6.2100000000000002E-2</v>
      </c>
    </row>
    <row r="1011" spans="1:11" x14ac:dyDescent="0.2">
      <c r="A1011">
        <v>97101</v>
      </c>
      <c r="B1011" t="s">
        <v>1344</v>
      </c>
      <c r="C1011" t="str">
        <f t="shared" si="15"/>
        <v>TAGS</v>
      </c>
      <c r="D1011" t="s">
        <v>804</v>
      </c>
      <c r="E1011">
        <v>9</v>
      </c>
      <c r="F1011" t="s">
        <v>817</v>
      </c>
      <c r="G1011">
        <v>1</v>
      </c>
      <c r="H1011" t="s">
        <v>806</v>
      </c>
      <c r="I1011">
        <v>1</v>
      </c>
      <c r="J1011">
        <v>6.2938000000000001</v>
      </c>
      <c r="K1011">
        <v>0.60060000000000002</v>
      </c>
    </row>
    <row r="1012" spans="1:11" x14ac:dyDescent="0.2">
      <c r="A1012">
        <v>97101</v>
      </c>
      <c r="B1012" t="s">
        <v>1344</v>
      </c>
      <c r="C1012" t="str">
        <f t="shared" si="15"/>
        <v>TAGS</v>
      </c>
      <c r="D1012" t="s">
        <v>807</v>
      </c>
      <c r="E1012">
        <v>9</v>
      </c>
      <c r="F1012" t="s">
        <v>817</v>
      </c>
      <c r="G1012">
        <v>1</v>
      </c>
      <c r="H1012" t="s">
        <v>806</v>
      </c>
      <c r="I1012">
        <v>1</v>
      </c>
      <c r="J1012">
        <v>12.265499999999999</v>
      </c>
      <c r="K1012">
        <v>2.8424</v>
      </c>
    </row>
    <row r="1013" spans="1:11" x14ac:dyDescent="0.2">
      <c r="A1013">
        <v>97135</v>
      </c>
      <c r="B1013" t="s">
        <v>1346</v>
      </c>
      <c r="C1013" t="str">
        <f t="shared" si="15"/>
        <v>TBKR</v>
      </c>
      <c r="D1013" t="s">
        <v>804</v>
      </c>
      <c r="E1013">
        <v>9</v>
      </c>
      <c r="F1013" t="s">
        <v>817</v>
      </c>
      <c r="G1013">
        <v>1</v>
      </c>
      <c r="H1013" t="s">
        <v>806</v>
      </c>
      <c r="I1013">
        <v>1</v>
      </c>
      <c r="J1013">
        <v>0.67620000000000002</v>
      </c>
      <c r="K1013">
        <v>-0.15740000000000001</v>
      </c>
    </row>
    <row r="1014" spans="1:11" x14ac:dyDescent="0.2">
      <c r="A1014">
        <v>97135</v>
      </c>
      <c r="B1014" t="s">
        <v>1346</v>
      </c>
      <c r="C1014" t="str">
        <f t="shared" si="15"/>
        <v>TBKR</v>
      </c>
      <c r="D1014" t="s">
        <v>807</v>
      </c>
      <c r="E1014">
        <v>9</v>
      </c>
      <c r="F1014" t="s">
        <v>817</v>
      </c>
      <c r="G1014">
        <v>1</v>
      </c>
      <c r="H1014" t="s">
        <v>806</v>
      </c>
      <c r="I1014">
        <v>1</v>
      </c>
      <c r="J1014">
        <v>0.68340000000000001</v>
      </c>
      <c r="K1014">
        <v>-0.16259999999999999</v>
      </c>
    </row>
    <row r="1015" spans="1:11" x14ac:dyDescent="0.2">
      <c r="A1015">
        <v>97186</v>
      </c>
      <c r="B1015" t="s">
        <v>1347</v>
      </c>
      <c r="C1015" t="str">
        <f t="shared" si="15"/>
        <v>TBRU</v>
      </c>
      <c r="D1015" t="s">
        <v>804</v>
      </c>
      <c r="E1015">
        <v>9</v>
      </c>
      <c r="F1015" t="s">
        <v>817</v>
      </c>
      <c r="G1015">
        <v>1</v>
      </c>
      <c r="H1015" t="s">
        <v>806</v>
      </c>
      <c r="I1015">
        <v>1</v>
      </c>
      <c r="J1015">
        <v>23.229299999999999</v>
      </c>
      <c r="K1015">
        <v>3.4523999999999999</v>
      </c>
    </row>
    <row r="1016" spans="1:11" x14ac:dyDescent="0.2">
      <c r="A1016">
        <v>97186</v>
      </c>
      <c r="B1016" t="s">
        <v>1347</v>
      </c>
      <c r="C1016" t="str">
        <f t="shared" si="15"/>
        <v>TBRU</v>
      </c>
      <c r="D1016" t="s">
        <v>807</v>
      </c>
      <c r="E1016">
        <v>9</v>
      </c>
      <c r="F1016" t="s">
        <v>817</v>
      </c>
      <c r="G1016">
        <v>1</v>
      </c>
      <c r="H1016" t="s">
        <v>806</v>
      </c>
      <c r="I1016">
        <v>1</v>
      </c>
      <c r="J1016">
        <v>0</v>
      </c>
      <c r="K1016">
        <v>0</v>
      </c>
    </row>
    <row r="1017" spans="1:11" x14ac:dyDescent="0.2">
      <c r="A1017">
        <v>97186</v>
      </c>
      <c r="B1017" t="s">
        <v>1347</v>
      </c>
      <c r="C1017" t="str">
        <f t="shared" si="15"/>
        <v>TBRU</v>
      </c>
      <c r="D1017" t="s">
        <v>808</v>
      </c>
      <c r="E1017">
        <v>9</v>
      </c>
      <c r="F1017" t="s">
        <v>817</v>
      </c>
      <c r="G1017">
        <v>1</v>
      </c>
      <c r="H1017" t="s">
        <v>806</v>
      </c>
      <c r="I1017">
        <v>1</v>
      </c>
      <c r="J1017">
        <v>40.322299999999998</v>
      </c>
      <c r="K1017">
        <v>7.2361000000000004</v>
      </c>
    </row>
    <row r="1018" spans="1:11" x14ac:dyDescent="0.2">
      <c r="A1018">
        <v>97186</v>
      </c>
      <c r="B1018" t="s">
        <v>1347</v>
      </c>
      <c r="C1018" t="str">
        <f t="shared" si="15"/>
        <v>TBRU</v>
      </c>
      <c r="D1018" t="s">
        <v>809</v>
      </c>
      <c r="E1018">
        <v>9</v>
      </c>
      <c r="F1018" t="s">
        <v>817</v>
      </c>
      <c r="G1018">
        <v>1</v>
      </c>
      <c r="H1018" t="s">
        <v>806</v>
      </c>
      <c r="I1018">
        <v>1</v>
      </c>
      <c r="J1018">
        <v>39.613999999999997</v>
      </c>
      <c r="K1018">
        <v>7.0206999999999997</v>
      </c>
    </row>
    <row r="1019" spans="1:11" x14ac:dyDescent="0.2">
      <c r="A1019">
        <v>97128</v>
      </c>
      <c r="B1019" t="s">
        <v>1366</v>
      </c>
      <c r="C1019" t="str">
        <f t="shared" si="15"/>
        <v>TKAK</v>
      </c>
      <c r="D1019" t="s">
        <v>808</v>
      </c>
      <c r="E1019">
        <v>9</v>
      </c>
      <c r="F1019" t="s">
        <v>817</v>
      </c>
      <c r="G1019">
        <v>1</v>
      </c>
      <c r="H1019" t="s">
        <v>806</v>
      </c>
      <c r="I1019">
        <v>1</v>
      </c>
      <c r="J1019">
        <v>11.146100000000001</v>
      </c>
      <c r="K1019">
        <v>-0.78700000000000003</v>
      </c>
    </row>
    <row r="1020" spans="1:11" x14ac:dyDescent="0.2">
      <c r="A1020">
        <v>97128</v>
      </c>
      <c r="B1020" t="s">
        <v>1366</v>
      </c>
      <c r="C1020" t="str">
        <f t="shared" si="15"/>
        <v>TKAK</v>
      </c>
      <c r="D1020" t="s">
        <v>809</v>
      </c>
      <c r="E1020">
        <v>9</v>
      </c>
      <c r="F1020" t="s">
        <v>817</v>
      </c>
      <c r="G1020">
        <v>1</v>
      </c>
      <c r="H1020" t="s">
        <v>806</v>
      </c>
      <c r="I1020">
        <v>1</v>
      </c>
      <c r="J1020">
        <v>11.2041</v>
      </c>
      <c r="K1020">
        <v>-0.78490000000000004</v>
      </c>
    </row>
    <row r="1021" spans="1:11" x14ac:dyDescent="0.2">
      <c r="A1021">
        <v>97166</v>
      </c>
      <c r="B1021" t="s">
        <v>1371</v>
      </c>
      <c r="C1021" t="str">
        <f t="shared" si="15"/>
        <v>TKPG</v>
      </c>
      <c r="D1021" t="s">
        <v>804</v>
      </c>
      <c r="E1021">
        <v>9</v>
      </c>
      <c r="F1021" t="s">
        <v>817</v>
      </c>
      <c r="G1021">
        <v>1</v>
      </c>
      <c r="H1021" t="s">
        <v>806</v>
      </c>
      <c r="I1021">
        <v>1</v>
      </c>
      <c r="J1021">
        <v>5.6683000000000003</v>
      </c>
      <c r="K1021">
        <v>1.2384999999999999</v>
      </c>
    </row>
    <row r="1022" spans="1:11" x14ac:dyDescent="0.2">
      <c r="A1022">
        <v>97166</v>
      </c>
      <c r="B1022" t="s">
        <v>1371</v>
      </c>
      <c r="C1022" t="str">
        <f t="shared" si="15"/>
        <v>TKPG</v>
      </c>
      <c r="D1022" t="s">
        <v>807</v>
      </c>
      <c r="E1022">
        <v>9</v>
      </c>
      <c r="F1022" t="s">
        <v>817</v>
      </c>
      <c r="G1022">
        <v>1</v>
      </c>
      <c r="H1022" t="s">
        <v>806</v>
      </c>
      <c r="I1022">
        <v>1</v>
      </c>
      <c r="J1022">
        <v>5.9603000000000002</v>
      </c>
      <c r="K1022">
        <v>1.4311</v>
      </c>
    </row>
    <row r="1023" spans="1:11" x14ac:dyDescent="0.2">
      <c r="A1023">
        <v>97166</v>
      </c>
      <c r="B1023" t="s">
        <v>1371</v>
      </c>
      <c r="C1023" t="str">
        <f t="shared" si="15"/>
        <v>TKPG</v>
      </c>
      <c r="D1023" t="s">
        <v>808</v>
      </c>
      <c r="E1023">
        <v>9</v>
      </c>
      <c r="F1023" t="s">
        <v>817</v>
      </c>
      <c r="G1023">
        <v>1</v>
      </c>
      <c r="H1023" t="s">
        <v>806</v>
      </c>
      <c r="I1023">
        <v>1</v>
      </c>
      <c r="J1023">
        <v>15.0562</v>
      </c>
      <c r="K1023">
        <v>-2.8113999999999999</v>
      </c>
    </row>
    <row r="1024" spans="1:11" x14ac:dyDescent="0.2">
      <c r="A1024">
        <v>97166</v>
      </c>
      <c r="B1024" t="s">
        <v>1371</v>
      </c>
      <c r="C1024" t="str">
        <f t="shared" si="15"/>
        <v>TKPG</v>
      </c>
      <c r="D1024" t="s">
        <v>809</v>
      </c>
      <c r="E1024">
        <v>9</v>
      </c>
      <c r="F1024" t="s">
        <v>817</v>
      </c>
      <c r="G1024">
        <v>1</v>
      </c>
      <c r="H1024" t="s">
        <v>806</v>
      </c>
      <c r="I1024">
        <v>1</v>
      </c>
      <c r="J1024">
        <v>15.014699999999999</v>
      </c>
      <c r="K1024">
        <v>-2.7793000000000001</v>
      </c>
    </row>
    <row r="1025" spans="1:11" x14ac:dyDescent="0.2">
      <c r="A1025">
        <v>97180</v>
      </c>
      <c r="B1025" t="s">
        <v>1372</v>
      </c>
      <c r="C1025" t="str">
        <f t="shared" si="15"/>
        <v>TLBH</v>
      </c>
      <c r="D1025" t="s">
        <v>804</v>
      </c>
      <c r="E1025">
        <v>9</v>
      </c>
      <c r="F1025" t="s">
        <v>817</v>
      </c>
      <c r="G1025">
        <v>1</v>
      </c>
      <c r="H1025" t="s">
        <v>806</v>
      </c>
      <c r="I1025">
        <v>1</v>
      </c>
      <c r="J1025">
        <v>12.6745</v>
      </c>
      <c r="K1025">
        <v>1.8328</v>
      </c>
    </row>
    <row r="1026" spans="1:11" x14ac:dyDescent="0.2">
      <c r="A1026">
        <v>97180</v>
      </c>
      <c r="B1026" t="s">
        <v>1372</v>
      </c>
      <c r="C1026" t="str">
        <f t="shared" si="15"/>
        <v>TLBH</v>
      </c>
      <c r="D1026" t="s">
        <v>807</v>
      </c>
      <c r="E1026">
        <v>9</v>
      </c>
      <c r="F1026" t="s">
        <v>817</v>
      </c>
      <c r="G1026">
        <v>1</v>
      </c>
      <c r="H1026" t="s">
        <v>806</v>
      </c>
      <c r="I1026">
        <v>1</v>
      </c>
      <c r="J1026">
        <v>12.2738</v>
      </c>
      <c r="K1026">
        <v>0.379</v>
      </c>
    </row>
    <row r="1027" spans="1:11" x14ac:dyDescent="0.2">
      <c r="A1027">
        <v>97184</v>
      </c>
      <c r="B1027" t="s">
        <v>1373</v>
      </c>
      <c r="C1027" t="str">
        <f t="shared" ref="C1027:C1090" si="16">LEFT(B1027,4)</f>
        <v>TLST</v>
      </c>
      <c r="D1027" t="s">
        <v>804</v>
      </c>
      <c r="E1027">
        <v>9</v>
      </c>
      <c r="F1027" t="s">
        <v>817</v>
      </c>
      <c r="G1027">
        <v>1</v>
      </c>
      <c r="H1027" t="s">
        <v>806</v>
      </c>
      <c r="I1027">
        <v>1</v>
      </c>
      <c r="J1027">
        <v>8.4290000000000003</v>
      </c>
      <c r="K1027">
        <v>-0.26200000000000001</v>
      </c>
    </row>
    <row r="1028" spans="1:11" x14ac:dyDescent="0.2">
      <c r="A1028">
        <v>97184</v>
      </c>
      <c r="B1028" t="s">
        <v>1373</v>
      </c>
      <c r="C1028" t="str">
        <f t="shared" si="16"/>
        <v>TLST</v>
      </c>
      <c r="D1028" t="s">
        <v>807</v>
      </c>
      <c r="E1028">
        <v>9</v>
      </c>
      <c r="F1028" t="s">
        <v>817</v>
      </c>
      <c r="G1028">
        <v>1</v>
      </c>
      <c r="H1028" t="s">
        <v>806</v>
      </c>
      <c r="I1028">
        <v>1</v>
      </c>
      <c r="J1028">
        <v>8.4506999999999994</v>
      </c>
      <c r="K1028">
        <v>-0.25159999999999999</v>
      </c>
    </row>
    <row r="1029" spans="1:11" x14ac:dyDescent="0.2">
      <c r="A1029">
        <v>97184</v>
      </c>
      <c r="B1029" t="s">
        <v>1373</v>
      </c>
      <c r="C1029" t="str">
        <f t="shared" si="16"/>
        <v>TLST</v>
      </c>
      <c r="D1029" t="s">
        <v>808</v>
      </c>
      <c r="E1029">
        <v>9</v>
      </c>
      <c r="F1029" t="s">
        <v>817</v>
      </c>
      <c r="G1029">
        <v>1</v>
      </c>
      <c r="H1029" t="s">
        <v>806</v>
      </c>
      <c r="I1029">
        <v>1</v>
      </c>
      <c r="J1029">
        <v>8.8701000000000008</v>
      </c>
      <c r="K1029">
        <v>0.88119999999999998</v>
      </c>
    </row>
    <row r="1030" spans="1:11" x14ac:dyDescent="0.2">
      <c r="A1030">
        <v>97184</v>
      </c>
      <c r="B1030" t="s">
        <v>1373</v>
      </c>
      <c r="C1030" t="str">
        <f t="shared" si="16"/>
        <v>TLST</v>
      </c>
      <c r="D1030" t="s">
        <v>809</v>
      </c>
      <c r="E1030">
        <v>9</v>
      </c>
      <c r="F1030" t="s">
        <v>817</v>
      </c>
      <c r="G1030">
        <v>1</v>
      </c>
      <c r="H1030" t="s">
        <v>806</v>
      </c>
      <c r="I1030">
        <v>1</v>
      </c>
      <c r="J1030">
        <v>8.5304000000000002</v>
      </c>
      <c r="K1030">
        <v>1.4103000000000001</v>
      </c>
    </row>
    <row r="1031" spans="1:11" x14ac:dyDescent="0.2">
      <c r="A1031">
        <v>97184</v>
      </c>
      <c r="B1031" t="s">
        <v>1373</v>
      </c>
      <c r="C1031" t="str">
        <f t="shared" si="16"/>
        <v>TLST</v>
      </c>
      <c r="D1031" t="s">
        <v>810</v>
      </c>
      <c r="E1031">
        <v>9</v>
      </c>
      <c r="F1031" t="s">
        <v>817</v>
      </c>
      <c r="G1031">
        <v>1</v>
      </c>
      <c r="H1031" t="s">
        <v>806</v>
      </c>
      <c r="I1031">
        <v>1</v>
      </c>
      <c r="J1031">
        <v>24.688400000000001</v>
      </c>
      <c r="K1031">
        <v>0.37169999999999997</v>
      </c>
    </row>
    <row r="1032" spans="1:11" x14ac:dyDescent="0.2">
      <c r="A1032">
        <v>97184</v>
      </c>
      <c r="B1032" t="s">
        <v>1373</v>
      </c>
      <c r="C1032" t="str">
        <f t="shared" si="16"/>
        <v>TLST</v>
      </c>
      <c r="D1032" t="s">
        <v>812</v>
      </c>
      <c r="E1032">
        <v>9</v>
      </c>
      <c r="F1032" t="s">
        <v>817</v>
      </c>
      <c r="G1032">
        <v>1</v>
      </c>
      <c r="H1032" t="s">
        <v>806</v>
      </c>
      <c r="I1032">
        <v>1</v>
      </c>
      <c r="J1032">
        <v>24.683199999999999</v>
      </c>
      <c r="K1032">
        <v>0.40379999999999999</v>
      </c>
    </row>
    <row r="1033" spans="1:11" x14ac:dyDescent="0.2">
      <c r="A1033">
        <v>97192</v>
      </c>
      <c r="B1033" t="s">
        <v>1379</v>
      </c>
      <c r="C1033" t="str">
        <f t="shared" si="16"/>
        <v>TMPI</v>
      </c>
      <c r="D1033" t="s">
        <v>804</v>
      </c>
      <c r="E1033">
        <v>9</v>
      </c>
      <c r="F1033" t="s">
        <v>817</v>
      </c>
      <c r="G1033">
        <v>1</v>
      </c>
      <c r="H1033" t="s">
        <v>806</v>
      </c>
      <c r="I1033">
        <v>1</v>
      </c>
      <c r="J1033">
        <v>29.0913</v>
      </c>
      <c r="K1033">
        <v>10.005000000000001</v>
      </c>
    </row>
    <row r="1034" spans="1:11" x14ac:dyDescent="0.2">
      <c r="A1034">
        <v>97192</v>
      </c>
      <c r="B1034" t="s">
        <v>1379</v>
      </c>
      <c r="C1034" t="str">
        <f t="shared" si="16"/>
        <v>TMPI</v>
      </c>
      <c r="D1034" t="s">
        <v>807</v>
      </c>
      <c r="E1034">
        <v>9</v>
      </c>
      <c r="F1034" t="s">
        <v>817</v>
      </c>
      <c r="G1034">
        <v>1</v>
      </c>
      <c r="H1034" t="s">
        <v>806</v>
      </c>
      <c r="I1034">
        <v>1</v>
      </c>
      <c r="J1034">
        <v>27.913900000000002</v>
      </c>
      <c r="K1034">
        <v>-1.9229000000000001</v>
      </c>
    </row>
    <row r="1035" spans="1:11" x14ac:dyDescent="0.2">
      <c r="A1035">
        <v>97121</v>
      </c>
      <c r="B1035" t="s">
        <v>1384</v>
      </c>
      <c r="C1035" t="str">
        <f t="shared" si="16"/>
        <v>TPCH</v>
      </c>
      <c r="D1035" t="s">
        <v>804</v>
      </c>
      <c r="E1035">
        <v>9</v>
      </c>
      <c r="F1035" t="s">
        <v>817</v>
      </c>
      <c r="G1035">
        <v>1</v>
      </c>
      <c r="H1035" t="s">
        <v>806</v>
      </c>
      <c r="I1035">
        <v>1</v>
      </c>
      <c r="J1035">
        <v>11.4329</v>
      </c>
      <c r="K1035">
        <v>1.1711</v>
      </c>
    </row>
    <row r="1036" spans="1:11" x14ac:dyDescent="0.2">
      <c r="A1036">
        <v>97121</v>
      </c>
      <c r="B1036" t="s">
        <v>1384</v>
      </c>
      <c r="C1036" t="str">
        <f t="shared" si="16"/>
        <v>TPCH</v>
      </c>
      <c r="D1036" t="s">
        <v>807</v>
      </c>
      <c r="E1036">
        <v>9</v>
      </c>
      <c r="F1036" t="s">
        <v>817</v>
      </c>
      <c r="G1036">
        <v>1</v>
      </c>
      <c r="H1036" t="s">
        <v>806</v>
      </c>
      <c r="I1036">
        <v>1</v>
      </c>
      <c r="J1036">
        <v>4.8667999999999996</v>
      </c>
      <c r="K1036">
        <v>0.44419999999999998</v>
      </c>
    </row>
    <row r="1037" spans="1:11" x14ac:dyDescent="0.2">
      <c r="A1037">
        <v>97127</v>
      </c>
      <c r="B1037" t="s">
        <v>1389</v>
      </c>
      <c r="C1037" t="str">
        <f t="shared" si="16"/>
        <v>TPOI</v>
      </c>
      <c r="D1037" t="s">
        <v>804</v>
      </c>
      <c r="E1037">
        <v>9</v>
      </c>
      <c r="F1037" t="s">
        <v>817</v>
      </c>
      <c r="G1037">
        <v>1</v>
      </c>
      <c r="H1037" t="s">
        <v>806</v>
      </c>
      <c r="I1037">
        <v>1</v>
      </c>
      <c r="J1037">
        <v>11.9093</v>
      </c>
      <c r="K1037">
        <v>-0.42349999999999999</v>
      </c>
    </row>
    <row r="1038" spans="1:11" x14ac:dyDescent="0.2">
      <c r="A1038">
        <v>97127</v>
      </c>
      <c r="B1038" t="s">
        <v>1389</v>
      </c>
      <c r="C1038" t="str">
        <f t="shared" si="16"/>
        <v>TPOI</v>
      </c>
      <c r="D1038" t="s">
        <v>807</v>
      </c>
      <c r="E1038">
        <v>9</v>
      </c>
      <c r="F1038" t="s">
        <v>817</v>
      </c>
      <c r="G1038">
        <v>1</v>
      </c>
      <c r="H1038" t="s">
        <v>806</v>
      </c>
      <c r="I1038">
        <v>1</v>
      </c>
      <c r="J1038">
        <v>11.916499999999999</v>
      </c>
      <c r="K1038">
        <v>-0.41010000000000002</v>
      </c>
    </row>
    <row r="1039" spans="1:11" x14ac:dyDescent="0.2">
      <c r="A1039">
        <v>97130</v>
      </c>
      <c r="B1039" t="s">
        <v>1390</v>
      </c>
      <c r="C1039" t="str">
        <f t="shared" si="16"/>
        <v>TRMN</v>
      </c>
      <c r="D1039" t="s">
        <v>804</v>
      </c>
      <c r="E1039">
        <v>9</v>
      </c>
      <c r="F1039" t="s">
        <v>817</v>
      </c>
      <c r="G1039">
        <v>1</v>
      </c>
      <c r="H1039" t="s">
        <v>806</v>
      </c>
      <c r="I1039">
        <v>1</v>
      </c>
      <c r="J1039">
        <v>2.4344999999999999</v>
      </c>
      <c r="K1039">
        <v>-0.42870000000000003</v>
      </c>
    </row>
    <row r="1040" spans="1:11" x14ac:dyDescent="0.2">
      <c r="A1040">
        <v>97130</v>
      </c>
      <c r="B1040" t="s">
        <v>1390</v>
      </c>
      <c r="C1040" t="str">
        <f t="shared" si="16"/>
        <v>TRMN</v>
      </c>
      <c r="D1040" t="s">
        <v>807</v>
      </c>
      <c r="E1040">
        <v>9</v>
      </c>
      <c r="F1040" t="s">
        <v>817</v>
      </c>
      <c r="G1040">
        <v>1</v>
      </c>
      <c r="H1040" t="s">
        <v>806</v>
      </c>
      <c r="I1040">
        <v>1</v>
      </c>
      <c r="J1040">
        <v>2.4096000000000002</v>
      </c>
      <c r="K1040">
        <v>-0.43180000000000002</v>
      </c>
    </row>
    <row r="1041" spans="1:11" x14ac:dyDescent="0.2">
      <c r="A1041">
        <v>97130</v>
      </c>
      <c r="B1041" t="s">
        <v>1390</v>
      </c>
      <c r="C1041" t="str">
        <f t="shared" si="16"/>
        <v>TRMN</v>
      </c>
      <c r="D1041" t="s">
        <v>808</v>
      </c>
      <c r="E1041">
        <v>9</v>
      </c>
      <c r="F1041" t="s">
        <v>817</v>
      </c>
      <c r="G1041">
        <v>1</v>
      </c>
      <c r="H1041" t="s">
        <v>806</v>
      </c>
      <c r="I1041">
        <v>1</v>
      </c>
      <c r="J1041">
        <v>7.3654999999999999</v>
      </c>
      <c r="K1041">
        <v>-0.875</v>
      </c>
    </row>
    <row r="1042" spans="1:11" x14ac:dyDescent="0.2">
      <c r="A1042">
        <v>97130</v>
      </c>
      <c r="B1042" t="s">
        <v>1390</v>
      </c>
      <c r="C1042" t="str">
        <f t="shared" si="16"/>
        <v>TRMN</v>
      </c>
      <c r="D1042" t="s">
        <v>809</v>
      </c>
      <c r="E1042">
        <v>9</v>
      </c>
      <c r="F1042" t="s">
        <v>817</v>
      </c>
      <c r="G1042">
        <v>1</v>
      </c>
      <c r="H1042" t="s">
        <v>806</v>
      </c>
      <c r="I1042">
        <v>1</v>
      </c>
      <c r="J1042">
        <v>6.8788</v>
      </c>
      <c r="K1042">
        <v>-10.775399999999999</v>
      </c>
    </row>
    <row r="1043" spans="1:11" x14ac:dyDescent="0.2">
      <c r="A1043">
        <v>97144</v>
      </c>
      <c r="B1043" t="s">
        <v>1393</v>
      </c>
      <c r="C1043" t="str">
        <f t="shared" si="16"/>
        <v>TTKJ</v>
      </c>
      <c r="D1043" t="s">
        <v>804</v>
      </c>
      <c r="E1043">
        <v>9</v>
      </c>
      <c r="F1043" t="s">
        <v>817</v>
      </c>
      <c r="G1043">
        <v>1</v>
      </c>
      <c r="H1043" t="s">
        <v>806</v>
      </c>
      <c r="I1043">
        <v>1</v>
      </c>
      <c r="J1043">
        <v>0</v>
      </c>
      <c r="K1043">
        <v>0</v>
      </c>
    </row>
    <row r="1044" spans="1:11" x14ac:dyDescent="0.2">
      <c r="A1044">
        <v>97144</v>
      </c>
      <c r="B1044" t="s">
        <v>1393</v>
      </c>
      <c r="C1044" t="str">
        <f t="shared" si="16"/>
        <v>TTKJ</v>
      </c>
      <c r="D1044" t="s">
        <v>807</v>
      </c>
      <c r="E1044">
        <v>9</v>
      </c>
      <c r="F1044" t="s">
        <v>817</v>
      </c>
      <c r="G1044">
        <v>1</v>
      </c>
      <c r="H1044" t="s">
        <v>806</v>
      </c>
      <c r="I1044">
        <v>1</v>
      </c>
      <c r="J1044">
        <v>0</v>
      </c>
      <c r="K1044">
        <v>0</v>
      </c>
    </row>
    <row r="1045" spans="1:11" x14ac:dyDescent="0.2">
      <c r="A1045">
        <v>97195</v>
      </c>
      <c r="B1045" t="s">
        <v>1394</v>
      </c>
      <c r="C1045" t="str">
        <f t="shared" si="16"/>
        <v>TUNI</v>
      </c>
      <c r="D1045" t="s">
        <v>804</v>
      </c>
      <c r="E1045">
        <v>9</v>
      </c>
      <c r="F1045" t="s">
        <v>817</v>
      </c>
      <c r="G1045">
        <v>1</v>
      </c>
      <c r="H1045" t="s">
        <v>806</v>
      </c>
      <c r="I1045">
        <v>1</v>
      </c>
      <c r="J1045">
        <v>11.582100000000001</v>
      </c>
      <c r="K1045">
        <v>1.2188000000000001</v>
      </c>
    </row>
    <row r="1046" spans="1:11" x14ac:dyDescent="0.2">
      <c r="A1046">
        <v>97195</v>
      </c>
      <c r="B1046" t="s">
        <v>1394</v>
      </c>
      <c r="C1046" t="str">
        <f t="shared" si="16"/>
        <v>TUNI</v>
      </c>
      <c r="D1046" t="s">
        <v>807</v>
      </c>
      <c r="E1046">
        <v>9</v>
      </c>
      <c r="F1046" t="s">
        <v>817</v>
      </c>
      <c r="G1046">
        <v>1</v>
      </c>
      <c r="H1046" t="s">
        <v>806</v>
      </c>
      <c r="I1046">
        <v>1</v>
      </c>
      <c r="J1046">
        <v>18.030100000000001</v>
      </c>
      <c r="K1046">
        <v>2.9904999999999999</v>
      </c>
    </row>
    <row r="1047" spans="1:11" x14ac:dyDescent="0.2">
      <c r="A1047">
        <v>97188</v>
      </c>
      <c r="B1047" t="s">
        <v>1403</v>
      </c>
      <c r="C1047" t="str">
        <f t="shared" si="16"/>
        <v>UTRM</v>
      </c>
      <c r="D1047" t="s">
        <v>804</v>
      </c>
      <c r="E1047">
        <v>9</v>
      </c>
      <c r="F1047" t="s">
        <v>817</v>
      </c>
      <c r="G1047">
        <v>1</v>
      </c>
      <c r="H1047" t="s">
        <v>806</v>
      </c>
      <c r="I1047">
        <v>1</v>
      </c>
      <c r="J1047">
        <v>9.2790999999999997</v>
      </c>
      <c r="K1047">
        <v>0.25580000000000003</v>
      </c>
    </row>
    <row r="1048" spans="1:11" x14ac:dyDescent="0.2">
      <c r="A1048">
        <v>97188</v>
      </c>
      <c r="B1048" t="s">
        <v>1403</v>
      </c>
      <c r="C1048" t="str">
        <f t="shared" si="16"/>
        <v>UTRM</v>
      </c>
      <c r="D1048" t="s">
        <v>807</v>
      </c>
      <c r="E1048">
        <v>9</v>
      </c>
      <c r="F1048" t="s">
        <v>817</v>
      </c>
      <c r="G1048">
        <v>1</v>
      </c>
      <c r="H1048" t="s">
        <v>806</v>
      </c>
      <c r="I1048">
        <v>1</v>
      </c>
      <c r="J1048">
        <v>9.3102</v>
      </c>
      <c r="K1048">
        <v>0.23300000000000001</v>
      </c>
    </row>
    <row r="1049" spans="1:11" x14ac:dyDescent="0.2">
      <c r="A1049">
        <v>97188</v>
      </c>
      <c r="B1049" t="s">
        <v>1403</v>
      </c>
      <c r="C1049" t="str">
        <f t="shared" si="16"/>
        <v>UTRM</v>
      </c>
      <c r="D1049" t="s">
        <v>808</v>
      </c>
      <c r="E1049">
        <v>9</v>
      </c>
      <c r="F1049" t="s">
        <v>817</v>
      </c>
      <c r="G1049">
        <v>1</v>
      </c>
      <c r="H1049" t="s">
        <v>806</v>
      </c>
      <c r="I1049">
        <v>1</v>
      </c>
      <c r="J1049">
        <v>30.555499999999999</v>
      </c>
      <c r="K1049">
        <v>2.6705999999999999</v>
      </c>
    </row>
    <row r="1050" spans="1:11" x14ac:dyDescent="0.2">
      <c r="A1050">
        <v>97188</v>
      </c>
      <c r="B1050" t="s">
        <v>1403</v>
      </c>
      <c r="C1050" t="str">
        <f t="shared" si="16"/>
        <v>UTRM</v>
      </c>
      <c r="D1050" t="s">
        <v>809</v>
      </c>
      <c r="E1050">
        <v>9</v>
      </c>
      <c r="F1050" t="s">
        <v>817</v>
      </c>
      <c r="G1050">
        <v>1</v>
      </c>
      <c r="H1050" t="s">
        <v>806</v>
      </c>
      <c r="I1050">
        <v>1</v>
      </c>
      <c r="J1050">
        <v>29.683599999999998</v>
      </c>
      <c r="K1050">
        <v>2.5546000000000002</v>
      </c>
    </row>
    <row r="1051" spans="1:11" x14ac:dyDescent="0.2">
      <c r="A1051">
        <v>97107</v>
      </c>
      <c r="B1051" t="s">
        <v>1412</v>
      </c>
      <c r="C1051" t="str">
        <f t="shared" si="16"/>
        <v>YGPG</v>
      </c>
      <c r="D1051" t="s">
        <v>804</v>
      </c>
      <c r="E1051">
        <v>9</v>
      </c>
      <c r="F1051" t="s">
        <v>817</v>
      </c>
      <c r="G1051">
        <v>40</v>
      </c>
      <c r="H1051" t="s">
        <v>832</v>
      </c>
      <c r="I1051">
        <v>1</v>
      </c>
      <c r="J1051">
        <v>11.4443</v>
      </c>
      <c r="K1051">
        <v>0.63480000000000003</v>
      </c>
    </row>
    <row r="1052" spans="1:11" x14ac:dyDescent="0.2">
      <c r="A1052">
        <v>97107</v>
      </c>
      <c r="B1052" t="s">
        <v>1412</v>
      </c>
      <c r="C1052" t="str">
        <f t="shared" si="16"/>
        <v>YGPG</v>
      </c>
      <c r="D1052" t="s">
        <v>807</v>
      </c>
      <c r="E1052">
        <v>9</v>
      </c>
      <c r="F1052" t="s">
        <v>817</v>
      </c>
      <c r="G1052">
        <v>40</v>
      </c>
      <c r="H1052" t="s">
        <v>832</v>
      </c>
      <c r="I1052">
        <v>1</v>
      </c>
      <c r="J1052">
        <v>9.8682999999999996</v>
      </c>
      <c r="K1052">
        <v>-0.65749999999999997</v>
      </c>
    </row>
    <row r="1053" spans="1:11" x14ac:dyDescent="0.2">
      <c r="A1053">
        <v>97107</v>
      </c>
      <c r="B1053" t="s">
        <v>1412</v>
      </c>
      <c r="C1053" t="str">
        <f t="shared" si="16"/>
        <v>YGPG</v>
      </c>
      <c r="D1053" t="s">
        <v>808</v>
      </c>
      <c r="E1053">
        <v>9</v>
      </c>
      <c r="F1053" t="s">
        <v>817</v>
      </c>
      <c r="G1053">
        <v>40</v>
      </c>
      <c r="H1053" t="s">
        <v>832</v>
      </c>
      <c r="I1053">
        <v>1</v>
      </c>
      <c r="J1053">
        <v>0</v>
      </c>
      <c r="K1053">
        <v>0</v>
      </c>
    </row>
    <row r="1054" spans="1:11" x14ac:dyDescent="0.2">
      <c r="A1054">
        <v>97107</v>
      </c>
      <c r="B1054" t="s">
        <v>1412</v>
      </c>
      <c r="C1054" t="str">
        <f t="shared" si="16"/>
        <v>YGPG</v>
      </c>
      <c r="D1054" t="s">
        <v>809</v>
      </c>
      <c r="E1054">
        <v>9</v>
      </c>
      <c r="F1054" t="s">
        <v>817</v>
      </c>
      <c r="G1054">
        <v>40</v>
      </c>
      <c r="H1054" t="s">
        <v>832</v>
      </c>
      <c r="I1054">
        <v>1</v>
      </c>
      <c r="J1054">
        <v>11.073600000000001</v>
      </c>
      <c r="K1054">
        <v>1.8142</v>
      </c>
    </row>
    <row r="1055" spans="1:11" x14ac:dyDescent="0.2">
      <c r="A1055">
        <v>74104</v>
      </c>
      <c r="B1055" t="s">
        <v>846</v>
      </c>
      <c r="C1055" t="str">
        <f t="shared" si="16"/>
        <v>ATNI</v>
      </c>
      <c r="D1055" t="s">
        <v>804</v>
      </c>
      <c r="E1055">
        <v>10</v>
      </c>
      <c r="F1055" t="s">
        <v>824</v>
      </c>
      <c r="G1055">
        <v>1</v>
      </c>
      <c r="H1055" t="s">
        <v>806</v>
      </c>
      <c r="I1055">
        <v>1</v>
      </c>
      <c r="J1055">
        <v>3.5973000000000002</v>
      </c>
      <c r="K1055">
        <v>-0.1885</v>
      </c>
    </row>
    <row r="1056" spans="1:11" x14ac:dyDescent="0.2">
      <c r="A1056">
        <v>74104</v>
      </c>
      <c r="B1056" t="s">
        <v>846</v>
      </c>
      <c r="C1056" t="str">
        <f t="shared" si="16"/>
        <v>ATNI</v>
      </c>
      <c r="D1056" t="s">
        <v>807</v>
      </c>
      <c r="E1056">
        <v>10</v>
      </c>
      <c r="F1056" t="s">
        <v>824</v>
      </c>
      <c r="G1056">
        <v>1</v>
      </c>
      <c r="H1056" t="s">
        <v>806</v>
      </c>
      <c r="I1056">
        <v>1</v>
      </c>
      <c r="J1056">
        <v>4.1006</v>
      </c>
      <c r="K1056">
        <v>0.91120000000000001</v>
      </c>
    </row>
    <row r="1057" spans="1:11" x14ac:dyDescent="0.2">
      <c r="A1057">
        <v>74128</v>
      </c>
      <c r="B1057" t="s">
        <v>874</v>
      </c>
      <c r="C1057" t="str">
        <f t="shared" si="16"/>
        <v>BIMK</v>
      </c>
      <c r="D1057" t="s">
        <v>804</v>
      </c>
      <c r="E1057">
        <v>10</v>
      </c>
      <c r="F1057" t="s">
        <v>824</v>
      </c>
      <c r="G1057">
        <v>1</v>
      </c>
      <c r="H1057" t="s">
        <v>806</v>
      </c>
      <c r="I1057">
        <v>1</v>
      </c>
      <c r="J1057">
        <v>10.0526</v>
      </c>
      <c r="K1057">
        <v>0.83150000000000002</v>
      </c>
    </row>
    <row r="1058" spans="1:11" x14ac:dyDescent="0.2">
      <c r="A1058">
        <v>74128</v>
      </c>
      <c r="B1058" t="s">
        <v>874</v>
      </c>
      <c r="C1058" t="str">
        <f t="shared" si="16"/>
        <v>BIMK</v>
      </c>
      <c r="D1058" t="s">
        <v>807</v>
      </c>
      <c r="E1058">
        <v>10</v>
      </c>
      <c r="F1058" t="s">
        <v>824</v>
      </c>
      <c r="G1058">
        <v>1</v>
      </c>
      <c r="H1058" t="s">
        <v>806</v>
      </c>
      <c r="I1058">
        <v>1</v>
      </c>
      <c r="J1058">
        <v>11.2828</v>
      </c>
      <c r="K1058">
        <v>0.83250000000000002</v>
      </c>
    </row>
    <row r="1059" spans="1:11" x14ac:dyDescent="0.2">
      <c r="A1059">
        <v>74128</v>
      </c>
      <c r="B1059" t="s">
        <v>874</v>
      </c>
      <c r="C1059" t="str">
        <f t="shared" si="16"/>
        <v>BIMK</v>
      </c>
      <c r="D1059" t="s">
        <v>808</v>
      </c>
      <c r="E1059">
        <v>10</v>
      </c>
      <c r="F1059" t="s">
        <v>824</v>
      </c>
      <c r="G1059">
        <v>1</v>
      </c>
      <c r="H1059" t="s">
        <v>806</v>
      </c>
      <c r="I1059">
        <v>1</v>
      </c>
      <c r="J1059">
        <v>37.4146</v>
      </c>
      <c r="K1059">
        <v>3.0143</v>
      </c>
    </row>
    <row r="1060" spans="1:11" x14ac:dyDescent="0.2">
      <c r="A1060">
        <v>74128</v>
      </c>
      <c r="B1060" t="s">
        <v>874</v>
      </c>
      <c r="C1060" t="str">
        <f t="shared" si="16"/>
        <v>BIMK</v>
      </c>
      <c r="D1060" t="s">
        <v>809</v>
      </c>
      <c r="E1060">
        <v>10</v>
      </c>
      <c r="F1060" t="s">
        <v>824</v>
      </c>
      <c r="G1060">
        <v>1</v>
      </c>
      <c r="H1060" t="s">
        <v>806</v>
      </c>
      <c r="I1060">
        <v>1</v>
      </c>
      <c r="J1060">
        <v>37.642400000000002</v>
      </c>
      <c r="K1060">
        <v>2.9956999999999998</v>
      </c>
    </row>
    <row r="1061" spans="1:11" x14ac:dyDescent="0.2">
      <c r="A1061">
        <v>74112</v>
      </c>
      <c r="B1061" t="s">
        <v>892</v>
      </c>
      <c r="C1061" t="str">
        <f t="shared" si="16"/>
        <v>BMSH</v>
      </c>
      <c r="D1061" t="s">
        <v>804</v>
      </c>
      <c r="E1061">
        <v>10</v>
      </c>
      <c r="F1061" t="s">
        <v>824</v>
      </c>
      <c r="G1061">
        <v>1</v>
      </c>
      <c r="H1061" t="s">
        <v>806</v>
      </c>
      <c r="I1061">
        <v>1</v>
      </c>
      <c r="J1061">
        <v>11.959</v>
      </c>
      <c r="K1061">
        <v>-2.3805999999999998</v>
      </c>
    </row>
    <row r="1062" spans="1:11" x14ac:dyDescent="0.2">
      <c r="A1062">
        <v>74112</v>
      </c>
      <c r="B1062" t="s">
        <v>892</v>
      </c>
      <c r="C1062" t="str">
        <f t="shared" si="16"/>
        <v>BMSH</v>
      </c>
      <c r="D1062" t="s">
        <v>807</v>
      </c>
      <c r="E1062">
        <v>10</v>
      </c>
      <c r="F1062" t="s">
        <v>824</v>
      </c>
      <c r="G1062">
        <v>1</v>
      </c>
      <c r="H1062" t="s">
        <v>806</v>
      </c>
      <c r="I1062">
        <v>1</v>
      </c>
      <c r="J1062">
        <v>11.9041</v>
      </c>
      <c r="K1062">
        <v>-2.391</v>
      </c>
    </row>
    <row r="1063" spans="1:11" x14ac:dyDescent="0.2">
      <c r="A1063">
        <v>74120</v>
      </c>
      <c r="B1063" t="s">
        <v>895</v>
      </c>
      <c r="C1063" t="str">
        <f t="shared" si="16"/>
        <v>BNTA</v>
      </c>
      <c r="D1063" t="s">
        <v>804</v>
      </c>
      <c r="E1063">
        <v>10</v>
      </c>
      <c r="F1063" t="s">
        <v>824</v>
      </c>
      <c r="G1063">
        <v>1</v>
      </c>
      <c r="H1063" t="s">
        <v>806</v>
      </c>
      <c r="I1063">
        <v>1</v>
      </c>
      <c r="J1063">
        <v>2.7812999999999999</v>
      </c>
      <c r="K1063">
        <v>-0.2485</v>
      </c>
    </row>
    <row r="1064" spans="1:11" x14ac:dyDescent="0.2">
      <c r="A1064">
        <v>74120</v>
      </c>
      <c r="B1064" t="s">
        <v>895</v>
      </c>
      <c r="C1064" t="str">
        <f t="shared" si="16"/>
        <v>BNTA</v>
      </c>
      <c r="D1064" t="s">
        <v>807</v>
      </c>
      <c r="E1064">
        <v>10</v>
      </c>
      <c r="F1064" t="s">
        <v>824</v>
      </c>
      <c r="G1064">
        <v>1</v>
      </c>
      <c r="H1064" t="s">
        <v>806</v>
      </c>
      <c r="I1064">
        <v>1</v>
      </c>
      <c r="J1064">
        <v>2.7896000000000001</v>
      </c>
      <c r="K1064">
        <v>-0.25779999999999997</v>
      </c>
    </row>
    <row r="1065" spans="1:11" x14ac:dyDescent="0.2">
      <c r="A1065">
        <v>74118</v>
      </c>
      <c r="B1065" t="s">
        <v>896</v>
      </c>
      <c r="C1065" t="str">
        <f t="shared" si="16"/>
        <v>BNTG</v>
      </c>
      <c r="D1065" t="s">
        <v>804</v>
      </c>
      <c r="E1065">
        <v>10</v>
      </c>
      <c r="F1065" t="s">
        <v>824</v>
      </c>
      <c r="G1065">
        <v>1</v>
      </c>
      <c r="H1065" t="s">
        <v>806</v>
      </c>
      <c r="I1065">
        <v>1</v>
      </c>
      <c r="J1065">
        <v>8.0809999999999995</v>
      </c>
      <c r="K1065">
        <v>0.87709999999999999</v>
      </c>
    </row>
    <row r="1066" spans="1:11" x14ac:dyDescent="0.2">
      <c r="A1066">
        <v>74118</v>
      </c>
      <c r="B1066" t="s">
        <v>896</v>
      </c>
      <c r="C1066" t="str">
        <f t="shared" si="16"/>
        <v>BNTG</v>
      </c>
      <c r="D1066" t="s">
        <v>807</v>
      </c>
      <c r="E1066">
        <v>10</v>
      </c>
      <c r="F1066" t="s">
        <v>824</v>
      </c>
      <c r="G1066">
        <v>1</v>
      </c>
      <c r="H1066" t="s">
        <v>806</v>
      </c>
      <c r="I1066">
        <v>1</v>
      </c>
      <c r="J1066">
        <v>11.338699999999999</v>
      </c>
      <c r="K1066">
        <v>1.9208000000000001</v>
      </c>
    </row>
    <row r="1067" spans="1:11" x14ac:dyDescent="0.2">
      <c r="A1067">
        <v>74101</v>
      </c>
      <c r="B1067" t="s">
        <v>917</v>
      </c>
      <c r="C1067" t="str">
        <f t="shared" si="16"/>
        <v>BTRT</v>
      </c>
      <c r="D1067" t="s">
        <v>804</v>
      </c>
      <c r="E1067">
        <v>10</v>
      </c>
      <c r="F1067" t="s">
        <v>824</v>
      </c>
      <c r="G1067">
        <v>1</v>
      </c>
      <c r="H1067" t="s">
        <v>806</v>
      </c>
      <c r="I1067">
        <v>1</v>
      </c>
      <c r="J1067">
        <v>0.54569999999999996</v>
      </c>
      <c r="K1067">
        <v>-0.18740000000000001</v>
      </c>
    </row>
    <row r="1068" spans="1:11" x14ac:dyDescent="0.2">
      <c r="A1068">
        <v>74101</v>
      </c>
      <c r="B1068" t="s">
        <v>917</v>
      </c>
      <c r="C1068" t="str">
        <f t="shared" si="16"/>
        <v>BTRT</v>
      </c>
      <c r="D1068" t="s">
        <v>807</v>
      </c>
      <c r="E1068">
        <v>10</v>
      </c>
      <c r="F1068" t="s">
        <v>824</v>
      </c>
      <c r="G1068">
        <v>1</v>
      </c>
      <c r="H1068" t="s">
        <v>806</v>
      </c>
      <c r="I1068">
        <v>1</v>
      </c>
      <c r="J1068">
        <v>0.54779999999999995</v>
      </c>
      <c r="K1068">
        <v>-0.18540000000000001</v>
      </c>
    </row>
    <row r="1069" spans="1:11" x14ac:dyDescent="0.2">
      <c r="A1069">
        <v>74150</v>
      </c>
      <c r="B1069" t="s">
        <v>937</v>
      </c>
      <c r="C1069" t="str">
        <f t="shared" si="16"/>
        <v>CUFG</v>
      </c>
      <c r="D1069">
        <v>99</v>
      </c>
      <c r="E1069">
        <v>10</v>
      </c>
      <c r="F1069" t="s">
        <v>824</v>
      </c>
      <c r="G1069">
        <v>1</v>
      </c>
      <c r="H1069" t="s">
        <v>806</v>
      </c>
      <c r="I1069">
        <v>1</v>
      </c>
      <c r="J1069">
        <v>0</v>
      </c>
      <c r="K1069">
        <v>0</v>
      </c>
    </row>
    <row r="1070" spans="1:11" x14ac:dyDescent="0.2">
      <c r="A1070">
        <v>74137</v>
      </c>
      <c r="B1070" t="s">
        <v>966</v>
      </c>
      <c r="C1070" t="str">
        <f t="shared" si="16"/>
        <v>GBID</v>
      </c>
      <c r="D1070" t="s">
        <v>804</v>
      </c>
      <c r="E1070">
        <v>10</v>
      </c>
      <c r="F1070" t="s">
        <v>824</v>
      </c>
      <c r="G1070">
        <v>1</v>
      </c>
      <c r="H1070" t="s">
        <v>806</v>
      </c>
      <c r="I1070">
        <v>1</v>
      </c>
      <c r="J1070">
        <v>22.395800000000001</v>
      </c>
      <c r="K1070">
        <v>-0.34379999999999999</v>
      </c>
    </row>
    <row r="1071" spans="1:11" x14ac:dyDescent="0.2">
      <c r="A1071">
        <v>74137</v>
      </c>
      <c r="B1071" t="s">
        <v>966</v>
      </c>
      <c r="C1071" t="str">
        <f t="shared" si="16"/>
        <v>GBID</v>
      </c>
      <c r="D1071" t="s">
        <v>807</v>
      </c>
      <c r="E1071">
        <v>10</v>
      </c>
      <c r="F1071" t="s">
        <v>824</v>
      </c>
      <c r="G1071">
        <v>1</v>
      </c>
      <c r="H1071" t="s">
        <v>806</v>
      </c>
      <c r="I1071">
        <v>1</v>
      </c>
      <c r="J1071">
        <v>0</v>
      </c>
      <c r="K1071">
        <v>0</v>
      </c>
    </row>
    <row r="1072" spans="1:11" x14ac:dyDescent="0.2">
      <c r="A1072">
        <v>74138</v>
      </c>
      <c r="B1072" t="s">
        <v>967</v>
      </c>
      <c r="C1072" t="str">
        <f t="shared" si="16"/>
        <v>GBNG</v>
      </c>
      <c r="D1072" t="s">
        <v>804</v>
      </c>
      <c r="E1072">
        <v>10</v>
      </c>
      <c r="F1072" t="s">
        <v>824</v>
      </c>
      <c r="G1072">
        <v>1</v>
      </c>
      <c r="H1072" t="s">
        <v>806</v>
      </c>
      <c r="I1072">
        <v>1</v>
      </c>
      <c r="J1072">
        <v>2.7917000000000001</v>
      </c>
      <c r="K1072">
        <v>0.54779999999999995</v>
      </c>
    </row>
    <row r="1073" spans="1:11" x14ac:dyDescent="0.2">
      <c r="A1073">
        <v>74138</v>
      </c>
      <c r="B1073" t="s">
        <v>967</v>
      </c>
      <c r="C1073" t="str">
        <f t="shared" si="16"/>
        <v>GBNG</v>
      </c>
      <c r="D1073" t="s">
        <v>807</v>
      </c>
      <c r="E1073">
        <v>10</v>
      </c>
      <c r="F1073" t="s">
        <v>824</v>
      </c>
      <c r="G1073">
        <v>1</v>
      </c>
      <c r="H1073" t="s">
        <v>806</v>
      </c>
      <c r="I1073">
        <v>1</v>
      </c>
      <c r="J1073">
        <v>7.7516999999999996</v>
      </c>
      <c r="K1073">
        <v>1.3089</v>
      </c>
    </row>
    <row r="1074" spans="1:11" x14ac:dyDescent="0.2">
      <c r="A1074">
        <v>74138</v>
      </c>
      <c r="B1074" t="s">
        <v>967</v>
      </c>
      <c r="C1074" t="str">
        <f t="shared" si="16"/>
        <v>GBNG</v>
      </c>
      <c r="D1074" t="s">
        <v>808</v>
      </c>
      <c r="E1074">
        <v>10</v>
      </c>
      <c r="F1074" t="s">
        <v>824</v>
      </c>
      <c r="G1074">
        <v>40</v>
      </c>
      <c r="H1074" t="s">
        <v>832</v>
      </c>
      <c r="I1074">
        <v>1</v>
      </c>
      <c r="J1074">
        <v>12.6144</v>
      </c>
      <c r="K1074">
        <v>0.70620000000000005</v>
      </c>
    </row>
    <row r="1075" spans="1:11" x14ac:dyDescent="0.2">
      <c r="A1075">
        <v>74138</v>
      </c>
      <c r="B1075" t="s">
        <v>967</v>
      </c>
      <c r="C1075" t="str">
        <f t="shared" si="16"/>
        <v>GBNG</v>
      </c>
      <c r="D1075" t="s">
        <v>809</v>
      </c>
      <c r="E1075">
        <v>10</v>
      </c>
      <c r="F1075" t="s">
        <v>824</v>
      </c>
      <c r="G1075">
        <v>40</v>
      </c>
      <c r="H1075" t="s">
        <v>832</v>
      </c>
      <c r="I1075">
        <v>1</v>
      </c>
      <c r="J1075">
        <v>12.416700000000001</v>
      </c>
      <c r="K1075">
        <v>0.69589999999999996</v>
      </c>
    </row>
    <row r="1076" spans="1:11" x14ac:dyDescent="0.2">
      <c r="A1076">
        <v>74125</v>
      </c>
      <c r="B1076" t="s">
        <v>983</v>
      </c>
      <c r="C1076" t="str">
        <f t="shared" si="16"/>
        <v>GTNG</v>
      </c>
      <c r="D1076" t="s">
        <v>804</v>
      </c>
      <c r="E1076">
        <v>10</v>
      </c>
      <c r="F1076" t="s">
        <v>824</v>
      </c>
      <c r="G1076">
        <v>1</v>
      </c>
      <c r="H1076" t="s">
        <v>806</v>
      </c>
      <c r="I1076">
        <v>1</v>
      </c>
      <c r="J1076">
        <v>1.0024</v>
      </c>
      <c r="K1076">
        <v>-2.2800000000000001E-2</v>
      </c>
    </row>
    <row r="1077" spans="1:11" x14ac:dyDescent="0.2">
      <c r="A1077">
        <v>74125</v>
      </c>
      <c r="B1077" t="s">
        <v>983</v>
      </c>
      <c r="C1077" t="str">
        <f t="shared" si="16"/>
        <v>GTNG</v>
      </c>
      <c r="D1077" t="s">
        <v>807</v>
      </c>
      <c r="E1077">
        <v>10</v>
      </c>
      <c r="F1077" t="s">
        <v>824</v>
      </c>
      <c r="G1077">
        <v>1</v>
      </c>
      <c r="H1077" t="s">
        <v>806</v>
      </c>
      <c r="I1077">
        <v>1</v>
      </c>
      <c r="J1077">
        <v>5.9551999999999996</v>
      </c>
      <c r="K1077">
        <v>0.42559999999999998</v>
      </c>
    </row>
    <row r="1078" spans="1:11" x14ac:dyDescent="0.2">
      <c r="A1078">
        <v>74135</v>
      </c>
      <c r="B1078" t="s">
        <v>1009</v>
      </c>
      <c r="C1078" t="str">
        <f t="shared" si="16"/>
        <v>JBRS</v>
      </c>
      <c r="D1078" t="s">
        <v>804</v>
      </c>
      <c r="E1078">
        <v>10</v>
      </c>
      <c r="F1078" t="s">
        <v>824</v>
      </c>
      <c r="G1078">
        <v>1</v>
      </c>
      <c r="H1078" t="s">
        <v>806</v>
      </c>
      <c r="I1078">
        <v>1</v>
      </c>
      <c r="J1078">
        <v>9.0151000000000003</v>
      </c>
      <c r="K1078">
        <v>-0.82430000000000003</v>
      </c>
    </row>
    <row r="1079" spans="1:11" x14ac:dyDescent="0.2">
      <c r="A1079">
        <v>74135</v>
      </c>
      <c r="B1079" t="s">
        <v>1009</v>
      </c>
      <c r="C1079" t="str">
        <f t="shared" si="16"/>
        <v>JBRS</v>
      </c>
      <c r="D1079" t="s">
        <v>807</v>
      </c>
      <c r="E1079">
        <v>10</v>
      </c>
      <c r="F1079" t="s">
        <v>824</v>
      </c>
      <c r="G1079">
        <v>1</v>
      </c>
      <c r="H1079" t="s">
        <v>806</v>
      </c>
      <c r="I1079">
        <v>1</v>
      </c>
      <c r="J1079">
        <v>7.8034999999999997</v>
      </c>
      <c r="K1079">
        <v>-1.3907</v>
      </c>
    </row>
    <row r="1080" spans="1:11" x14ac:dyDescent="0.2">
      <c r="A1080">
        <v>74135</v>
      </c>
      <c r="B1080" t="s">
        <v>1009</v>
      </c>
      <c r="C1080" t="str">
        <f t="shared" si="16"/>
        <v>JBRS</v>
      </c>
      <c r="D1080" t="s">
        <v>808</v>
      </c>
      <c r="E1080">
        <v>10</v>
      </c>
      <c r="F1080" t="s">
        <v>824</v>
      </c>
      <c r="G1080">
        <v>1</v>
      </c>
      <c r="H1080" t="s">
        <v>806</v>
      </c>
      <c r="I1080">
        <v>1</v>
      </c>
      <c r="J1080">
        <v>4.1958000000000002</v>
      </c>
      <c r="K1080">
        <v>-0.98370000000000002</v>
      </c>
    </row>
    <row r="1081" spans="1:11" x14ac:dyDescent="0.2">
      <c r="A1081">
        <v>74135</v>
      </c>
      <c r="B1081" t="s">
        <v>1009</v>
      </c>
      <c r="C1081" t="str">
        <f t="shared" si="16"/>
        <v>JBRS</v>
      </c>
      <c r="D1081" t="s">
        <v>809</v>
      </c>
      <c r="E1081">
        <v>10</v>
      </c>
      <c r="F1081" t="s">
        <v>824</v>
      </c>
      <c r="G1081">
        <v>1</v>
      </c>
      <c r="H1081" t="s">
        <v>806</v>
      </c>
      <c r="I1081">
        <v>1</v>
      </c>
      <c r="J1081">
        <v>4.1772</v>
      </c>
      <c r="K1081">
        <v>-0.98170000000000002</v>
      </c>
    </row>
    <row r="1082" spans="1:11" x14ac:dyDescent="0.2">
      <c r="A1082">
        <v>74123</v>
      </c>
      <c r="B1082" t="s">
        <v>1017</v>
      </c>
      <c r="C1082" t="str">
        <f t="shared" si="16"/>
        <v>JNKA</v>
      </c>
      <c r="D1082" t="s">
        <v>804</v>
      </c>
      <c r="E1082">
        <v>10</v>
      </c>
      <c r="F1082" t="s">
        <v>824</v>
      </c>
      <c r="G1082">
        <v>1</v>
      </c>
      <c r="H1082" t="s">
        <v>806</v>
      </c>
      <c r="I1082">
        <v>1</v>
      </c>
      <c r="J1082">
        <v>12.594799999999999</v>
      </c>
      <c r="K1082">
        <v>0.1108</v>
      </c>
    </row>
    <row r="1083" spans="1:11" x14ac:dyDescent="0.2">
      <c r="A1083">
        <v>74123</v>
      </c>
      <c r="B1083" t="s">
        <v>1017</v>
      </c>
      <c r="C1083" t="str">
        <f t="shared" si="16"/>
        <v>JNKA</v>
      </c>
      <c r="D1083" t="s">
        <v>807</v>
      </c>
      <c r="E1083">
        <v>10</v>
      </c>
      <c r="F1083" t="s">
        <v>824</v>
      </c>
      <c r="G1083">
        <v>1</v>
      </c>
      <c r="H1083" t="s">
        <v>806</v>
      </c>
      <c r="I1083">
        <v>1</v>
      </c>
      <c r="J1083">
        <v>12.6745</v>
      </c>
      <c r="K1083">
        <v>0.46600000000000003</v>
      </c>
    </row>
    <row r="1084" spans="1:11" x14ac:dyDescent="0.2">
      <c r="A1084">
        <v>74123</v>
      </c>
      <c r="B1084" t="s">
        <v>1017</v>
      </c>
      <c r="C1084" t="str">
        <f t="shared" si="16"/>
        <v>JNKA</v>
      </c>
      <c r="D1084" t="s">
        <v>848</v>
      </c>
      <c r="E1084">
        <v>10</v>
      </c>
      <c r="F1084" t="s">
        <v>824</v>
      </c>
      <c r="G1084">
        <v>1</v>
      </c>
      <c r="H1084" t="s">
        <v>806</v>
      </c>
      <c r="I1084">
        <v>1</v>
      </c>
      <c r="J1084">
        <v>5.5419999999999998</v>
      </c>
      <c r="K1084">
        <v>-2.3898999999999999</v>
      </c>
    </row>
    <row r="1085" spans="1:11" x14ac:dyDescent="0.2">
      <c r="A1085">
        <v>74122</v>
      </c>
      <c r="B1085" t="s">
        <v>1021</v>
      </c>
      <c r="C1085" t="str">
        <f t="shared" si="16"/>
        <v>JTUT</v>
      </c>
      <c r="D1085" t="s">
        <v>804</v>
      </c>
      <c r="E1085">
        <v>10</v>
      </c>
      <c r="F1085" t="s">
        <v>824</v>
      </c>
      <c r="G1085">
        <v>1</v>
      </c>
      <c r="H1085" t="s">
        <v>806</v>
      </c>
      <c r="I1085">
        <v>1</v>
      </c>
      <c r="J1085">
        <v>19.1629</v>
      </c>
      <c r="K1085">
        <v>-0.3417</v>
      </c>
    </row>
    <row r="1086" spans="1:11" x14ac:dyDescent="0.2">
      <c r="A1086">
        <v>74122</v>
      </c>
      <c r="B1086" t="s">
        <v>1021</v>
      </c>
      <c r="C1086" t="str">
        <f t="shared" si="16"/>
        <v>JTUT</v>
      </c>
      <c r="D1086" t="s">
        <v>807</v>
      </c>
      <c r="E1086">
        <v>10</v>
      </c>
      <c r="F1086" t="s">
        <v>824</v>
      </c>
      <c r="G1086">
        <v>1</v>
      </c>
      <c r="H1086" t="s">
        <v>806</v>
      </c>
      <c r="I1086">
        <v>1</v>
      </c>
      <c r="J1086">
        <v>18.992100000000001</v>
      </c>
      <c r="K1086">
        <v>-0.42249999999999999</v>
      </c>
    </row>
    <row r="1087" spans="1:11" x14ac:dyDescent="0.2">
      <c r="A1087">
        <v>74110</v>
      </c>
      <c r="B1087" t="s">
        <v>1022</v>
      </c>
      <c r="C1087" t="str">
        <f t="shared" si="16"/>
        <v>KAWA</v>
      </c>
      <c r="D1087" t="s">
        <v>804</v>
      </c>
      <c r="E1087">
        <v>10</v>
      </c>
      <c r="F1087" t="s">
        <v>824</v>
      </c>
      <c r="G1087">
        <v>1</v>
      </c>
      <c r="H1087" t="s">
        <v>806</v>
      </c>
      <c r="I1087">
        <v>1</v>
      </c>
      <c r="J1087">
        <v>9.2914999999999992</v>
      </c>
      <c r="K1087">
        <v>0.26200000000000001</v>
      </c>
    </row>
    <row r="1088" spans="1:11" x14ac:dyDescent="0.2">
      <c r="A1088">
        <v>74110</v>
      </c>
      <c r="B1088" t="s">
        <v>1022</v>
      </c>
      <c r="C1088" t="str">
        <f t="shared" si="16"/>
        <v>KAWA</v>
      </c>
      <c r="D1088" t="s">
        <v>807</v>
      </c>
      <c r="E1088">
        <v>10</v>
      </c>
      <c r="F1088" t="s">
        <v>824</v>
      </c>
      <c r="G1088">
        <v>1</v>
      </c>
      <c r="H1088" t="s">
        <v>806</v>
      </c>
      <c r="I1088">
        <v>1</v>
      </c>
      <c r="J1088">
        <v>9.2025000000000006</v>
      </c>
      <c r="K1088">
        <v>0.25580000000000003</v>
      </c>
    </row>
    <row r="1089" spans="1:11" x14ac:dyDescent="0.2">
      <c r="A1089">
        <v>74121</v>
      </c>
      <c r="B1089" t="s">
        <v>1066</v>
      </c>
      <c r="C1089" t="str">
        <f t="shared" si="16"/>
        <v>KLIP</v>
      </c>
      <c r="D1089" t="s">
        <v>804</v>
      </c>
      <c r="E1089">
        <v>10</v>
      </c>
      <c r="F1089" t="s">
        <v>824</v>
      </c>
      <c r="G1089">
        <v>1</v>
      </c>
      <c r="H1089" t="s">
        <v>806</v>
      </c>
      <c r="I1089">
        <v>1</v>
      </c>
      <c r="J1089">
        <v>11.407</v>
      </c>
      <c r="K1089">
        <v>0.17710000000000001</v>
      </c>
    </row>
    <row r="1090" spans="1:11" x14ac:dyDescent="0.2">
      <c r="A1090">
        <v>74121</v>
      </c>
      <c r="B1090" t="s">
        <v>1066</v>
      </c>
      <c r="C1090" t="str">
        <f t="shared" si="16"/>
        <v>KLIP</v>
      </c>
      <c r="D1090" t="s">
        <v>807</v>
      </c>
      <c r="E1090">
        <v>10</v>
      </c>
      <c r="F1090" t="s">
        <v>824</v>
      </c>
      <c r="G1090">
        <v>1</v>
      </c>
      <c r="H1090" t="s">
        <v>806</v>
      </c>
      <c r="I1090">
        <v>1</v>
      </c>
      <c r="J1090">
        <v>5.9976000000000003</v>
      </c>
      <c r="K1090">
        <v>0.98370000000000002</v>
      </c>
    </row>
    <row r="1091" spans="1:11" x14ac:dyDescent="0.2">
      <c r="A1091">
        <v>74121</v>
      </c>
      <c r="B1091" t="s">
        <v>1066</v>
      </c>
      <c r="C1091" t="str">
        <f t="shared" ref="C1091:C1154" si="17">LEFT(B1091,4)</f>
        <v>KLIP</v>
      </c>
      <c r="D1091" t="s">
        <v>808</v>
      </c>
      <c r="E1091">
        <v>10</v>
      </c>
      <c r="F1091" t="s">
        <v>824</v>
      </c>
      <c r="G1091">
        <v>1</v>
      </c>
      <c r="H1091" t="s">
        <v>806</v>
      </c>
      <c r="I1091">
        <v>1</v>
      </c>
      <c r="J1091">
        <v>12.9841</v>
      </c>
      <c r="K1091">
        <v>-0.27339999999999998</v>
      </c>
    </row>
    <row r="1092" spans="1:11" x14ac:dyDescent="0.2">
      <c r="A1092">
        <v>74121</v>
      </c>
      <c r="B1092" t="s">
        <v>1066</v>
      </c>
      <c r="C1092" t="str">
        <f t="shared" si="17"/>
        <v>KLIP</v>
      </c>
      <c r="D1092" t="s">
        <v>809</v>
      </c>
      <c r="E1092">
        <v>10</v>
      </c>
      <c r="F1092" t="s">
        <v>824</v>
      </c>
      <c r="G1092">
        <v>1</v>
      </c>
      <c r="H1092" t="s">
        <v>806</v>
      </c>
      <c r="I1092">
        <v>1</v>
      </c>
      <c r="J1092">
        <v>12.479799999999999</v>
      </c>
      <c r="K1092">
        <v>-0.19989999999999999</v>
      </c>
    </row>
    <row r="1093" spans="1:11" x14ac:dyDescent="0.2">
      <c r="A1093">
        <v>74116</v>
      </c>
      <c r="B1093" t="s">
        <v>1081</v>
      </c>
      <c r="C1093" t="str">
        <f t="shared" si="17"/>
        <v>KRAK</v>
      </c>
      <c r="D1093" t="s">
        <v>804</v>
      </c>
      <c r="E1093">
        <v>10</v>
      </c>
      <c r="F1093" t="s">
        <v>824</v>
      </c>
      <c r="G1093">
        <v>1</v>
      </c>
      <c r="H1093" t="s">
        <v>806</v>
      </c>
      <c r="I1093">
        <v>1</v>
      </c>
      <c r="J1093">
        <v>2.0089000000000001</v>
      </c>
      <c r="K1093">
        <v>-0.1149</v>
      </c>
    </row>
    <row r="1094" spans="1:11" x14ac:dyDescent="0.2">
      <c r="A1094">
        <v>74116</v>
      </c>
      <c r="B1094" t="s">
        <v>1081</v>
      </c>
      <c r="C1094" t="str">
        <f t="shared" si="17"/>
        <v>KRAK</v>
      </c>
      <c r="D1094" t="s">
        <v>807</v>
      </c>
      <c r="E1094">
        <v>10</v>
      </c>
      <c r="F1094" t="s">
        <v>824</v>
      </c>
      <c r="G1094">
        <v>1</v>
      </c>
      <c r="H1094" t="s">
        <v>806</v>
      </c>
      <c r="I1094">
        <v>1</v>
      </c>
      <c r="J1094">
        <v>1.6993</v>
      </c>
      <c r="K1094">
        <v>-6.83E-2</v>
      </c>
    </row>
    <row r="1095" spans="1:11" x14ac:dyDescent="0.2">
      <c r="A1095">
        <v>74116</v>
      </c>
      <c r="B1095" t="s">
        <v>1081</v>
      </c>
      <c r="C1095" t="str">
        <f t="shared" si="17"/>
        <v>KRAK</v>
      </c>
      <c r="D1095" t="s">
        <v>808</v>
      </c>
      <c r="E1095">
        <v>10</v>
      </c>
      <c r="F1095" t="s">
        <v>824</v>
      </c>
      <c r="G1095">
        <v>1</v>
      </c>
      <c r="H1095" t="s">
        <v>806</v>
      </c>
      <c r="I1095">
        <v>1</v>
      </c>
      <c r="J1095">
        <v>3.0061</v>
      </c>
      <c r="K1095">
        <v>-0.53639999999999999</v>
      </c>
    </row>
    <row r="1096" spans="1:11" x14ac:dyDescent="0.2">
      <c r="A1096">
        <v>74116</v>
      </c>
      <c r="B1096" t="s">
        <v>1081</v>
      </c>
      <c r="C1096" t="str">
        <f t="shared" si="17"/>
        <v>KRAK</v>
      </c>
      <c r="D1096" t="s">
        <v>809</v>
      </c>
      <c r="E1096">
        <v>10</v>
      </c>
      <c r="F1096" t="s">
        <v>824</v>
      </c>
      <c r="G1096">
        <v>1</v>
      </c>
      <c r="H1096" t="s">
        <v>806</v>
      </c>
      <c r="I1096">
        <v>1</v>
      </c>
      <c r="J1096">
        <v>2.9977999999999998</v>
      </c>
      <c r="K1096">
        <v>-0.53849999999999998</v>
      </c>
    </row>
    <row r="1097" spans="1:11" x14ac:dyDescent="0.2">
      <c r="A1097">
        <v>74145</v>
      </c>
      <c r="B1097" t="s">
        <v>1086</v>
      </c>
      <c r="C1097" t="str">
        <f t="shared" si="17"/>
        <v>KRYG</v>
      </c>
      <c r="D1097" t="s">
        <v>804</v>
      </c>
      <c r="E1097">
        <v>10</v>
      </c>
      <c r="F1097" t="s">
        <v>824</v>
      </c>
      <c r="G1097">
        <v>1</v>
      </c>
      <c r="H1097" t="s">
        <v>806</v>
      </c>
      <c r="I1097">
        <v>1</v>
      </c>
      <c r="J1097">
        <v>31.6769</v>
      </c>
      <c r="K1097">
        <v>-6.8445999999999998</v>
      </c>
    </row>
    <row r="1098" spans="1:11" x14ac:dyDescent="0.2">
      <c r="A1098">
        <v>74145</v>
      </c>
      <c r="B1098" t="s">
        <v>1086</v>
      </c>
      <c r="C1098" t="str">
        <f t="shared" si="17"/>
        <v>KRYG</v>
      </c>
      <c r="D1098" t="s">
        <v>807</v>
      </c>
      <c r="E1098">
        <v>10</v>
      </c>
      <c r="F1098" t="s">
        <v>824</v>
      </c>
      <c r="G1098">
        <v>1</v>
      </c>
      <c r="H1098" t="s">
        <v>806</v>
      </c>
      <c r="I1098">
        <v>1</v>
      </c>
      <c r="J1098">
        <v>0</v>
      </c>
      <c r="K1098">
        <v>0</v>
      </c>
    </row>
    <row r="1099" spans="1:11" x14ac:dyDescent="0.2">
      <c r="A1099">
        <v>74108</v>
      </c>
      <c r="B1099" t="s">
        <v>1101</v>
      </c>
      <c r="C1099" t="str">
        <f t="shared" si="17"/>
        <v>KTAN</v>
      </c>
      <c r="D1099" t="s">
        <v>804</v>
      </c>
      <c r="E1099">
        <v>10</v>
      </c>
      <c r="F1099" t="s">
        <v>824</v>
      </c>
      <c r="G1099">
        <v>1</v>
      </c>
      <c r="H1099" t="s">
        <v>806</v>
      </c>
      <c r="I1099">
        <v>1</v>
      </c>
      <c r="J1099">
        <v>15.1411</v>
      </c>
      <c r="K1099">
        <v>0.50329999999999997</v>
      </c>
    </row>
    <row r="1100" spans="1:11" x14ac:dyDescent="0.2">
      <c r="A1100">
        <v>74108</v>
      </c>
      <c r="B1100" t="s">
        <v>1101</v>
      </c>
      <c r="C1100" t="str">
        <f t="shared" si="17"/>
        <v>KTAN</v>
      </c>
      <c r="D1100" t="s">
        <v>807</v>
      </c>
      <c r="E1100">
        <v>10</v>
      </c>
      <c r="F1100" t="s">
        <v>824</v>
      </c>
      <c r="G1100">
        <v>1</v>
      </c>
      <c r="H1100" t="s">
        <v>806</v>
      </c>
      <c r="I1100">
        <v>1</v>
      </c>
      <c r="J1100">
        <v>15.760300000000001</v>
      </c>
      <c r="K1100">
        <v>4.7839999999999998</v>
      </c>
    </row>
    <row r="1101" spans="1:11" x14ac:dyDescent="0.2">
      <c r="A1101">
        <v>74108</v>
      </c>
      <c r="B1101" t="s">
        <v>1101</v>
      </c>
      <c r="C1101" t="str">
        <f t="shared" si="17"/>
        <v>KTAN</v>
      </c>
      <c r="D1101" t="s">
        <v>808</v>
      </c>
      <c r="E1101">
        <v>10</v>
      </c>
      <c r="F1101" t="s">
        <v>824</v>
      </c>
      <c r="G1101">
        <v>1</v>
      </c>
      <c r="H1101" t="s">
        <v>806</v>
      </c>
      <c r="I1101">
        <v>1</v>
      </c>
      <c r="J1101">
        <v>14.8553</v>
      </c>
      <c r="K1101">
        <v>1.9954000000000001</v>
      </c>
    </row>
    <row r="1102" spans="1:11" x14ac:dyDescent="0.2">
      <c r="A1102">
        <v>74108</v>
      </c>
      <c r="B1102" t="s">
        <v>1101</v>
      </c>
      <c r="C1102" t="str">
        <f t="shared" si="17"/>
        <v>KTAN</v>
      </c>
      <c r="D1102" t="s">
        <v>809</v>
      </c>
      <c r="E1102">
        <v>10</v>
      </c>
      <c r="F1102" t="s">
        <v>824</v>
      </c>
      <c r="G1102">
        <v>1</v>
      </c>
      <c r="H1102" t="s">
        <v>806</v>
      </c>
      <c r="I1102">
        <v>1</v>
      </c>
      <c r="J1102">
        <v>26.034500000000001</v>
      </c>
      <c r="K1102">
        <v>-0.76519999999999999</v>
      </c>
    </row>
    <row r="1103" spans="1:11" x14ac:dyDescent="0.2">
      <c r="A1103">
        <v>74108</v>
      </c>
      <c r="B1103" t="s">
        <v>1101</v>
      </c>
      <c r="C1103" t="str">
        <f t="shared" si="17"/>
        <v>KTAN</v>
      </c>
      <c r="D1103" t="s">
        <v>810</v>
      </c>
      <c r="E1103">
        <v>10</v>
      </c>
      <c r="F1103" t="s">
        <v>824</v>
      </c>
      <c r="G1103">
        <v>1</v>
      </c>
      <c r="H1103" t="s">
        <v>806</v>
      </c>
      <c r="I1103">
        <v>1</v>
      </c>
      <c r="J1103">
        <v>26.134899999999998</v>
      </c>
      <c r="K1103">
        <v>-0.75590000000000002</v>
      </c>
    </row>
    <row r="1104" spans="1:11" x14ac:dyDescent="0.2">
      <c r="A1104">
        <v>74141</v>
      </c>
      <c r="B1104" t="s">
        <v>1103</v>
      </c>
      <c r="C1104" t="str">
        <f t="shared" si="17"/>
        <v>KTCL</v>
      </c>
      <c r="D1104" t="s">
        <v>804</v>
      </c>
      <c r="E1104">
        <v>10</v>
      </c>
      <c r="F1104" t="s">
        <v>824</v>
      </c>
      <c r="G1104">
        <v>1</v>
      </c>
      <c r="H1104" t="s">
        <v>806</v>
      </c>
      <c r="I1104">
        <v>1</v>
      </c>
      <c r="J1104">
        <v>8.4993999999999996</v>
      </c>
      <c r="K1104">
        <v>3.9028</v>
      </c>
    </row>
    <row r="1105" spans="1:11" x14ac:dyDescent="0.2">
      <c r="A1105">
        <v>74141</v>
      </c>
      <c r="B1105" t="s">
        <v>1103</v>
      </c>
      <c r="C1105" t="str">
        <f t="shared" si="17"/>
        <v>KTCL</v>
      </c>
      <c r="D1105" t="s">
        <v>807</v>
      </c>
      <c r="E1105">
        <v>10</v>
      </c>
      <c r="F1105" t="s">
        <v>824</v>
      </c>
      <c r="G1105">
        <v>1</v>
      </c>
      <c r="H1105" t="s">
        <v>806</v>
      </c>
      <c r="I1105">
        <v>1</v>
      </c>
      <c r="J1105">
        <v>8.2197999999999993</v>
      </c>
      <c r="K1105">
        <v>-0.11600000000000001</v>
      </c>
    </row>
    <row r="1106" spans="1:11" x14ac:dyDescent="0.2">
      <c r="A1106">
        <v>74132</v>
      </c>
      <c r="B1106" t="s">
        <v>1111</v>
      </c>
      <c r="C1106" t="str">
        <f t="shared" si="17"/>
        <v>KTRI</v>
      </c>
      <c r="D1106" t="s">
        <v>804</v>
      </c>
      <c r="E1106">
        <v>10</v>
      </c>
      <c r="F1106" t="s">
        <v>824</v>
      </c>
      <c r="G1106">
        <v>1</v>
      </c>
      <c r="H1106" t="s">
        <v>806</v>
      </c>
      <c r="I1106">
        <v>1</v>
      </c>
      <c r="J1106">
        <v>0</v>
      </c>
      <c r="K1106">
        <v>0</v>
      </c>
    </row>
    <row r="1107" spans="1:11" x14ac:dyDescent="0.2">
      <c r="A1107">
        <v>74143</v>
      </c>
      <c r="B1107" t="s">
        <v>1138</v>
      </c>
      <c r="C1107" t="str">
        <f t="shared" si="17"/>
        <v>MECC</v>
      </c>
      <c r="D1107" t="s">
        <v>804</v>
      </c>
      <c r="E1107">
        <v>10</v>
      </c>
      <c r="F1107" t="s">
        <v>824</v>
      </c>
      <c r="G1107">
        <v>1</v>
      </c>
      <c r="H1107" t="s">
        <v>806</v>
      </c>
      <c r="I1107">
        <v>1</v>
      </c>
      <c r="J1107">
        <v>6.8643000000000001</v>
      </c>
      <c r="K1107">
        <v>-0.76629999999999998</v>
      </c>
    </row>
    <row r="1108" spans="1:11" x14ac:dyDescent="0.2">
      <c r="A1108">
        <v>74143</v>
      </c>
      <c r="B1108" t="s">
        <v>1138</v>
      </c>
      <c r="C1108" t="str">
        <f t="shared" si="17"/>
        <v>MECC</v>
      </c>
      <c r="D1108" t="s">
        <v>807</v>
      </c>
      <c r="E1108">
        <v>10</v>
      </c>
      <c r="F1108" t="s">
        <v>824</v>
      </c>
      <c r="G1108">
        <v>1</v>
      </c>
      <c r="H1108" t="s">
        <v>806</v>
      </c>
      <c r="I1108">
        <v>1</v>
      </c>
      <c r="J1108">
        <v>6.9253999999999998</v>
      </c>
      <c r="K1108">
        <v>-0.77459999999999996</v>
      </c>
    </row>
    <row r="1109" spans="1:11" x14ac:dyDescent="0.2">
      <c r="A1109">
        <v>74143</v>
      </c>
      <c r="B1109" t="s">
        <v>1138</v>
      </c>
      <c r="C1109" t="str">
        <f t="shared" si="17"/>
        <v>MECC</v>
      </c>
      <c r="D1109" t="s">
        <v>808</v>
      </c>
      <c r="E1109">
        <v>10</v>
      </c>
      <c r="F1109" t="s">
        <v>824</v>
      </c>
      <c r="G1109">
        <v>1</v>
      </c>
      <c r="H1109" t="s">
        <v>806</v>
      </c>
      <c r="I1109">
        <v>1</v>
      </c>
      <c r="J1109">
        <v>0.94330000000000003</v>
      </c>
      <c r="K1109">
        <v>7.9753999999999996</v>
      </c>
    </row>
    <row r="1110" spans="1:11" x14ac:dyDescent="0.2">
      <c r="A1110">
        <v>74143</v>
      </c>
      <c r="B1110" t="s">
        <v>1138</v>
      </c>
      <c r="C1110" t="str">
        <f t="shared" si="17"/>
        <v>MECC</v>
      </c>
      <c r="D1110" t="s">
        <v>809</v>
      </c>
      <c r="E1110">
        <v>10</v>
      </c>
      <c r="F1110" t="s">
        <v>824</v>
      </c>
      <c r="G1110">
        <v>1</v>
      </c>
      <c r="H1110" t="s">
        <v>806</v>
      </c>
      <c r="I1110">
        <v>1</v>
      </c>
      <c r="J1110">
        <v>0.92159999999999997</v>
      </c>
      <c r="K1110">
        <v>8.0448000000000004</v>
      </c>
    </row>
    <row r="1111" spans="1:11" x14ac:dyDescent="0.2">
      <c r="A1111">
        <v>74129</v>
      </c>
      <c r="B1111" t="s">
        <v>1157</v>
      </c>
      <c r="C1111" t="str">
        <f t="shared" si="17"/>
        <v>MRAN</v>
      </c>
      <c r="D1111" t="s">
        <v>804</v>
      </c>
      <c r="E1111">
        <v>10</v>
      </c>
      <c r="F1111" t="s">
        <v>824</v>
      </c>
      <c r="G1111">
        <v>1</v>
      </c>
      <c r="H1111" t="s">
        <v>806</v>
      </c>
      <c r="I1111">
        <v>1</v>
      </c>
      <c r="J1111">
        <v>4.4930000000000003</v>
      </c>
      <c r="K1111">
        <v>-1.0697000000000001</v>
      </c>
    </row>
    <row r="1112" spans="1:11" x14ac:dyDescent="0.2">
      <c r="A1112">
        <v>74129</v>
      </c>
      <c r="B1112" t="s">
        <v>1157</v>
      </c>
      <c r="C1112" t="str">
        <f t="shared" si="17"/>
        <v>MRAN</v>
      </c>
      <c r="D1112" t="s">
        <v>807</v>
      </c>
      <c r="E1112">
        <v>10</v>
      </c>
      <c r="F1112" t="s">
        <v>824</v>
      </c>
      <c r="G1112">
        <v>1</v>
      </c>
      <c r="H1112" t="s">
        <v>806</v>
      </c>
      <c r="I1112">
        <v>1</v>
      </c>
      <c r="J1112">
        <v>4.5530999999999997</v>
      </c>
      <c r="K1112">
        <v>-1.0717000000000001</v>
      </c>
    </row>
    <row r="1113" spans="1:11" x14ac:dyDescent="0.2">
      <c r="A1113">
        <v>74117</v>
      </c>
      <c r="B1113" t="s">
        <v>1163</v>
      </c>
      <c r="C1113" t="str">
        <f t="shared" si="17"/>
        <v>MTKB</v>
      </c>
      <c r="D1113" t="s">
        <v>804</v>
      </c>
      <c r="E1113">
        <v>10</v>
      </c>
      <c r="F1113" t="s">
        <v>824</v>
      </c>
      <c r="G1113">
        <v>1</v>
      </c>
      <c r="H1113" t="s">
        <v>806</v>
      </c>
      <c r="I1113">
        <v>1</v>
      </c>
      <c r="J1113">
        <v>0</v>
      </c>
      <c r="K1113">
        <v>0</v>
      </c>
    </row>
    <row r="1114" spans="1:11" x14ac:dyDescent="0.2">
      <c r="A1114">
        <v>74117</v>
      </c>
      <c r="B1114" t="s">
        <v>1163</v>
      </c>
      <c r="C1114" t="str">
        <f t="shared" si="17"/>
        <v>MTKB</v>
      </c>
      <c r="D1114" t="s">
        <v>807</v>
      </c>
      <c r="E1114">
        <v>10</v>
      </c>
      <c r="F1114" t="s">
        <v>824</v>
      </c>
      <c r="G1114">
        <v>1</v>
      </c>
      <c r="H1114" t="s">
        <v>806</v>
      </c>
      <c r="I1114">
        <v>1</v>
      </c>
      <c r="J1114">
        <v>22.577999999999999</v>
      </c>
      <c r="K1114">
        <v>2.6457000000000002</v>
      </c>
    </row>
    <row r="1115" spans="1:11" x14ac:dyDescent="0.2">
      <c r="A1115">
        <v>74109</v>
      </c>
      <c r="B1115" t="s">
        <v>1217</v>
      </c>
      <c r="C1115" t="str">
        <f t="shared" si="17"/>
        <v>PKAN</v>
      </c>
      <c r="D1115" t="s">
        <v>804</v>
      </c>
      <c r="E1115">
        <v>10</v>
      </c>
      <c r="F1115" t="s">
        <v>824</v>
      </c>
      <c r="G1115">
        <v>1</v>
      </c>
      <c r="H1115" t="s">
        <v>806</v>
      </c>
      <c r="I1115">
        <v>1</v>
      </c>
      <c r="J1115">
        <v>4.6741999999999999</v>
      </c>
      <c r="K1115">
        <v>0.25159999999999999</v>
      </c>
    </row>
    <row r="1116" spans="1:11" x14ac:dyDescent="0.2">
      <c r="A1116">
        <v>74109</v>
      </c>
      <c r="B1116" t="s">
        <v>1217</v>
      </c>
      <c r="C1116" t="str">
        <f t="shared" si="17"/>
        <v>PKAN</v>
      </c>
      <c r="D1116" t="s">
        <v>807</v>
      </c>
      <c r="E1116">
        <v>10</v>
      </c>
      <c r="F1116" t="s">
        <v>824</v>
      </c>
      <c r="G1116">
        <v>1</v>
      </c>
      <c r="H1116" t="s">
        <v>806</v>
      </c>
      <c r="I1116">
        <v>1</v>
      </c>
      <c r="J1116">
        <v>4.6814999999999998</v>
      </c>
      <c r="K1116">
        <v>0.25469999999999998</v>
      </c>
    </row>
    <row r="1117" spans="1:11" x14ac:dyDescent="0.2">
      <c r="A1117">
        <v>74109</v>
      </c>
      <c r="B1117" t="s">
        <v>1217</v>
      </c>
      <c r="C1117" t="str">
        <f t="shared" si="17"/>
        <v>PKAN</v>
      </c>
      <c r="D1117" t="s">
        <v>808</v>
      </c>
      <c r="E1117">
        <v>10</v>
      </c>
      <c r="F1117" t="s">
        <v>824</v>
      </c>
      <c r="G1117">
        <v>1</v>
      </c>
      <c r="H1117" t="s">
        <v>806</v>
      </c>
      <c r="I1117">
        <v>1</v>
      </c>
      <c r="J1117">
        <v>6.3994</v>
      </c>
      <c r="K1117">
        <v>0.52810000000000001</v>
      </c>
    </row>
    <row r="1118" spans="1:11" x14ac:dyDescent="0.2">
      <c r="A1118">
        <v>74115</v>
      </c>
      <c r="B1118" t="s">
        <v>1223</v>
      </c>
      <c r="C1118" t="str">
        <f t="shared" si="17"/>
        <v>PKNI</v>
      </c>
      <c r="D1118" t="s">
        <v>804</v>
      </c>
      <c r="E1118">
        <v>10</v>
      </c>
      <c r="F1118" t="s">
        <v>824</v>
      </c>
      <c r="G1118">
        <v>1</v>
      </c>
      <c r="H1118" t="s">
        <v>806</v>
      </c>
      <c r="I1118">
        <v>1</v>
      </c>
      <c r="J1118">
        <v>6.2824</v>
      </c>
      <c r="K1118">
        <v>-0.13980000000000001</v>
      </c>
    </row>
    <row r="1119" spans="1:11" x14ac:dyDescent="0.2">
      <c r="A1119">
        <v>74115</v>
      </c>
      <c r="B1119" t="s">
        <v>1223</v>
      </c>
      <c r="C1119" t="str">
        <f t="shared" si="17"/>
        <v>PKNI</v>
      </c>
      <c r="D1119" t="s">
        <v>807</v>
      </c>
      <c r="E1119">
        <v>10</v>
      </c>
      <c r="F1119" t="s">
        <v>824</v>
      </c>
      <c r="G1119">
        <v>1</v>
      </c>
      <c r="H1119" t="s">
        <v>806</v>
      </c>
      <c r="I1119">
        <v>1</v>
      </c>
      <c r="J1119">
        <v>6.3124000000000002</v>
      </c>
      <c r="K1119">
        <v>-0.14910000000000001</v>
      </c>
    </row>
    <row r="1120" spans="1:11" x14ac:dyDescent="0.2">
      <c r="A1120">
        <v>174920</v>
      </c>
      <c r="B1120" t="s">
        <v>1232</v>
      </c>
      <c r="C1120" t="str">
        <f t="shared" si="17"/>
        <v>PNLS</v>
      </c>
      <c r="D1120" t="s">
        <v>804</v>
      </c>
      <c r="E1120">
        <v>10</v>
      </c>
      <c r="F1120" t="s">
        <v>824</v>
      </c>
      <c r="G1120">
        <v>1</v>
      </c>
      <c r="H1120" t="s">
        <v>806</v>
      </c>
      <c r="I1120">
        <v>1</v>
      </c>
      <c r="J1120">
        <v>0</v>
      </c>
      <c r="K1120">
        <v>-0.76790000000000003</v>
      </c>
    </row>
    <row r="1121" spans="1:11" x14ac:dyDescent="0.2">
      <c r="A1121">
        <v>74151</v>
      </c>
      <c r="B1121" t="s">
        <v>1257</v>
      </c>
      <c r="C1121" t="str">
        <f t="shared" si="17"/>
        <v>RBDR</v>
      </c>
      <c r="D1121" t="s">
        <v>804</v>
      </c>
      <c r="E1121">
        <v>10</v>
      </c>
      <c r="F1121" t="s">
        <v>824</v>
      </c>
      <c r="G1121">
        <v>1</v>
      </c>
      <c r="H1121" t="s">
        <v>806</v>
      </c>
      <c r="I1121">
        <v>1</v>
      </c>
      <c r="J1121">
        <v>11.7011</v>
      </c>
      <c r="K1121">
        <v>4.1399999999999999E-2</v>
      </c>
    </row>
    <row r="1122" spans="1:11" x14ac:dyDescent="0.2">
      <c r="A1122">
        <v>74151</v>
      </c>
      <c r="B1122" t="s">
        <v>1257</v>
      </c>
      <c r="C1122" t="str">
        <f t="shared" si="17"/>
        <v>RBDR</v>
      </c>
      <c r="D1122" t="s">
        <v>807</v>
      </c>
      <c r="E1122">
        <v>10</v>
      </c>
      <c r="F1122" t="s">
        <v>824</v>
      </c>
      <c r="G1122">
        <v>1</v>
      </c>
      <c r="H1122" t="s">
        <v>806</v>
      </c>
      <c r="I1122">
        <v>1</v>
      </c>
      <c r="J1122">
        <v>11.033200000000001</v>
      </c>
      <c r="K1122">
        <v>0.2475</v>
      </c>
    </row>
    <row r="1123" spans="1:11" x14ac:dyDescent="0.2">
      <c r="A1123">
        <v>74151</v>
      </c>
      <c r="B1123" t="s">
        <v>1257</v>
      </c>
      <c r="C1123" t="str">
        <f t="shared" si="17"/>
        <v>RBDR</v>
      </c>
      <c r="D1123" t="s">
        <v>808</v>
      </c>
      <c r="E1123">
        <v>10</v>
      </c>
      <c r="F1123" t="s">
        <v>824</v>
      </c>
      <c r="G1123">
        <v>1</v>
      </c>
      <c r="H1123" t="s">
        <v>806</v>
      </c>
      <c r="I1123">
        <v>1</v>
      </c>
      <c r="J1123">
        <v>0</v>
      </c>
      <c r="K1123">
        <v>0</v>
      </c>
    </row>
    <row r="1124" spans="1:11" x14ac:dyDescent="0.2">
      <c r="A1124">
        <v>74151</v>
      </c>
      <c r="B1124" t="s">
        <v>1257</v>
      </c>
      <c r="C1124" t="str">
        <f t="shared" si="17"/>
        <v>RBDR</v>
      </c>
      <c r="D1124" t="s">
        <v>809</v>
      </c>
      <c r="E1124">
        <v>10</v>
      </c>
      <c r="F1124" t="s">
        <v>824</v>
      </c>
      <c r="G1124">
        <v>1</v>
      </c>
      <c r="H1124" t="s">
        <v>806</v>
      </c>
      <c r="I1124">
        <v>1</v>
      </c>
      <c r="J1124">
        <v>0</v>
      </c>
      <c r="K1124">
        <v>0</v>
      </c>
    </row>
    <row r="1125" spans="1:11" x14ac:dyDescent="0.2">
      <c r="A1125">
        <v>74107</v>
      </c>
      <c r="B1125" t="s">
        <v>1304</v>
      </c>
      <c r="C1125" t="str">
        <f t="shared" si="17"/>
        <v>SMBU</v>
      </c>
      <c r="D1125" t="s">
        <v>804</v>
      </c>
      <c r="E1125">
        <v>10</v>
      </c>
      <c r="F1125" t="s">
        <v>824</v>
      </c>
      <c r="G1125">
        <v>1</v>
      </c>
      <c r="H1125" t="s">
        <v>806</v>
      </c>
      <c r="I1125">
        <v>1</v>
      </c>
      <c r="J1125">
        <v>10.6066</v>
      </c>
      <c r="K1125">
        <v>0.99929999999999997</v>
      </c>
    </row>
    <row r="1126" spans="1:11" x14ac:dyDescent="0.2">
      <c r="A1126">
        <v>74107</v>
      </c>
      <c r="B1126" t="s">
        <v>1304</v>
      </c>
      <c r="C1126" t="str">
        <f t="shared" si="17"/>
        <v>SMBU</v>
      </c>
      <c r="D1126" t="s">
        <v>807</v>
      </c>
      <c r="E1126">
        <v>10</v>
      </c>
      <c r="F1126" t="s">
        <v>824</v>
      </c>
      <c r="G1126">
        <v>1</v>
      </c>
      <c r="H1126" t="s">
        <v>806</v>
      </c>
      <c r="I1126">
        <v>1</v>
      </c>
      <c r="J1126">
        <v>6.0824999999999996</v>
      </c>
      <c r="K1126">
        <v>0.6482</v>
      </c>
    </row>
    <row r="1127" spans="1:11" x14ac:dyDescent="0.2">
      <c r="A1127">
        <v>74127</v>
      </c>
      <c r="B1127" t="s">
        <v>1311</v>
      </c>
      <c r="C1127" t="str">
        <f t="shared" si="17"/>
        <v>SONG</v>
      </c>
      <c r="D1127" t="s">
        <v>804</v>
      </c>
      <c r="E1127">
        <v>10</v>
      </c>
      <c r="F1127" t="s">
        <v>824</v>
      </c>
      <c r="G1127">
        <v>1</v>
      </c>
      <c r="H1127" t="s">
        <v>806</v>
      </c>
      <c r="I1127">
        <v>1</v>
      </c>
      <c r="J1127">
        <v>14.467000000000001</v>
      </c>
      <c r="K1127">
        <v>1.3068</v>
      </c>
    </row>
    <row r="1128" spans="1:11" x14ac:dyDescent="0.2">
      <c r="A1128">
        <v>74127</v>
      </c>
      <c r="B1128" t="s">
        <v>1311</v>
      </c>
      <c r="C1128" t="str">
        <f t="shared" si="17"/>
        <v>SONG</v>
      </c>
      <c r="D1128" t="s">
        <v>807</v>
      </c>
      <c r="E1128">
        <v>10</v>
      </c>
      <c r="F1128" t="s">
        <v>824</v>
      </c>
      <c r="G1128">
        <v>1</v>
      </c>
      <c r="H1128" t="s">
        <v>806</v>
      </c>
      <c r="I1128">
        <v>1</v>
      </c>
      <c r="J1128">
        <v>7.6120000000000001</v>
      </c>
      <c r="K1128">
        <v>0.40799999999999997</v>
      </c>
    </row>
    <row r="1129" spans="1:11" x14ac:dyDescent="0.2">
      <c r="A1129">
        <v>74157</v>
      </c>
      <c r="B1129" t="s">
        <v>1343</v>
      </c>
      <c r="C1129" t="str">
        <f t="shared" si="17"/>
        <v>TAGP</v>
      </c>
      <c r="D1129" t="s">
        <v>848</v>
      </c>
      <c r="E1129">
        <v>10</v>
      </c>
      <c r="F1129" t="s">
        <v>824</v>
      </c>
      <c r="G1129">
        <v>1</v>
      </c>
      <c r="H1129" t="s">
        <v>806</v>
      </c>
      <c r="I1129">
        <v>1</v>
      </c>
      <c r="J1129">
        <v>3.5787</v>
      </c>
      <c r="K1129">
        <v>4.4499999999999998E-2</v>
      </c>
    </row>
    <row r="1130" spans="1:11" x14ac:dyDescent="0.2">
      <c r="A1130">
        <v>74106</v>
      </c>
      <c r="B1130" t="s">
        <v>1352</v>
      </c>
      <c r="C1130" t="str">
        <f t="shared" si="17"/>
        <v>TGLN</v>
      </c>
      <c r="D1130" t="s">
        <v>804</v>
      </c>
      <c r="E1130">
        <v>10</v>
      </c>
      <c r="F1130" t="s">
        <v>824</v>
      </c>
      <c r="G1130">
        <v>1</v>
      </c>
      <c r="H1130" t="s">
        <v>806</v>
      </c>
      <c r="I1130">
        <v>1</v>
      </c>
      <c r="J1130">
        <v>5.9561999999999999</v>
      </c>
      <c r="K1130">
        <v>1.2623</v>
      </c>
    </row>
    <row r="1131" spans="1:11" x14ac:dyDescent="0.2">
      <c r="A1131">
        <v>74106</v>
      </c>
      <c r="B1131" t="s">
        <v>1352</v>
      </c>
      <c r="C1131" t="str">
        <f t="shared" si="17"/>
        <v>TGLN</v>
      </c>
      <c r="D1131" t="s">
        <v>807</v>
      </c>
      <c r="E1131">
        <v>10</v>
      </c>
      <c r="F1131" t="s">
        <v>824</v>
      </c>
      <c r="G1131">
        <v>1</v>
      </c>
      <c r="H1131" t="s">
        <v>806</v>
      </c>
      <c r="I1131">
        <v>1</v>
      </c>
      <c r="J1131">
        <v>5.2148000000000003</v>
      </c>
      <c r="K1131">
        <v>1.1919</v>
      </c>
    </row>
    <row r="1132" spans="1:11" x14ac:dyDescent="0.2">
      <c r="A1132">
        <v>74106</v>
      </c>
      <c r="B1132" t="s">
        <v>1352</v>
      </c>
      <c r="C1132" t="str">
        <f t="shared" si="17"/>
        <v>TGLN</v>
      </c>
      <c r="D1132" t="s">
        <v>808</v>
      </c>
      <c r="E1132">
        <v>10</v>
      </c>
      <c r="F1132" t="s">
        <v>824</v>
      </c>
      <c r="G1132">
        <v>1</v>
      </c>
      <c r="H1132" t="s">
        <v>806</v>
      </c>
      <c r="I1132">
        <v>1</v>
      </c>
      <c r="J1132">
        <v>11.264200000000001</v>
      </c>
      <c r="K1132">
        <v>3.0070999999999999</v>
      </c>
    </row>
    <row r="1133" spans="1:11" x14ac:dyDescent="0.2">
      <c r="A1133">
        <v>74133</v>
      </c>
      <c r="B1133" t="s">
        <v>1354</v>
      </c>
      <c r="C1133" t="str">
        <f t="shared" si="17"/>
        <v>TGMK</v>
      </c>
      <c r="D1133" t="s">
        <v>804</v>
      </c>
      <c r="E1133">
        <v>10</v>
      </c>
      <c r="F1133" t="s">
        <v>824</v>
      </c>
      <c r="G1133">
        <v>1</v>
      </c>
      <c r="H1133" t="s">
        <v>806</v>
      </c>
      <c r="I1133">
        <v>1</v>
      </c>
      <c r="J1133">
        <v>13.7514</v>
      </c>
      <c r="K1133">
        <v>-1.7914000000000001</v>
      </c>
    </row>
    <row r="1134" spans="1:11" x14ac:dyDescent="0.2">
      <c r="A1134">
        <v>74133</v>
      </c>
      <c r="B1134" t="s">
        <v>1354</v>
      </c>
      <c r="C1134" t="str">
        <f t="shared" si="17"/>
        <v>TGMK</v>
      </c>
      <c r="D1134" t="s">
        <v>807</v>
      </c>
      <c r="E1134">
        <v>10</v>
      </c>
      <c r="F1134" t="s">
        <v>824</v>
      </c>
      <c r="G1134">
        <v>1</v>
      </c>
      <c r="H1134" t="s">
        <v>806</v>
      </c>
      <c r="I1134">
        <v>1</v>
      </c>
      <c r="J1134">
        <v>13.741099999999999</v>
      </c>
      <c r="K1134">
        <v>-1.8018000000000001</v>
      </c>
    </row>
    <row r="1135" spans="1:11" x14ac:dyDescent="0.2">
      <c r="A1135">
        <v>74111</v>
      </c>
      <c r="B1135" t="s">
        <v>1360</v>
      </c>
      <c r="C1135" t="str">
        <f t="shared" si="17"/>
        <v>TJBU</v>
      </c>
      <c r="D1135" t="s">
        <v>804</v>
      </c>
      <c r="E1135">
        <v>10</v>
      </c>
      <c r="F1135" t="s">
        <v>824</v>
      </c>
      <c r="G1135">
        <v>1</v>
      </c>
      <c r="H1135" t="s">
        <v>806</v>
      </c>
      <c r="I1135">
        <v>1</v>
      </c>
      <c r="J1135">
        <v>2.1818</v>
      </c>
      <c r="K1135">
        <v>-0.17399999999999999</v>
      </c>
    </row>
    <row r="1136" spans="1:11" x14ac:dyDescent="0.2">
      <c r="A1136">
        <v>74111</v>
      </c>
      <c r="B1136" t="s">
        <v>1360</v>
      </c>
      <c r="C1136" t="str">
        <f t="shared" si="17"/>
        <v>TJBU</v>
      </c>
      <c r="D1136" t="s">
        <v>807</v>
      </c>
      <c r="E1136">
        <v>10</v>
      </c>
      <c r="F1136" t="s">
        <v>824</v>
      </c>
      <c r="G1136">
        <v>1</v>
      </c>
      <c r="H1136" t="s">
        <v>806</v>
      </c>
      <c r="I1136">
        <v>1</v>
      </c>
      <c r="J1136">
        <v>2.2210999999999999</v>
      </c>
      <c r="K1136">
        <v>-0.1646</v>
      </c>
    </row>
    <row r="1137" spans="1:11" x14ac:dyDescent="0.2">
      <c r="A1137">
        <v>74144</v>
      </c>
      <c r="B1137" t="s">
        <v>1377</v>
      </c>
      <c r="C1137" t="str">
        <f t="shared" si="17"/>
        <v>TMID</v>
      </c>
      <c r="D1137" t="s">
        <v>804</v>
      </c>
      <c r="E1137">
        <v>10</v>
      </c>
      <c r="F1137" t="s">
        <v>824</v>
      </c>
      <c r="G1137">
        <v>1</v>
      </c>
      <c r="H1137" t="s">
        <v>806</v>
      </c>
      <c r="I1137">
        <v>1</v>
      </c>
      <c r="J1137">
        <v>9.0398999999999994</v>
      </c>
      <c r="K1137">
        <v>-0.51880000000000004</v>
      </c>
    </row>
    <row r="1138" spans="1:11" x14ac:dyDescent="0.2">
      <c r="A1138">
        <v>74144</v>
      </c>
      <c r="B1138" t="s">
        <v>1377</v>
      </c>
      <c r="C1138" t="str">
        <f t="shared" si="17"/>
        <v>TMID</v>
      </c>
      <c r="D1138" t="s">
        <v>807</v>
      </c>
      <c r="E1138">
        <v>10</v>
      </c>
      <c r="F1138" t="s">
        <v>824</v>
      </c>
      <c r="G1138">
        <v>1</v>
      </c>
      <c r="H1138" t="s">
        <v>806</v>
      </c>
      <c r="I1138">
        <v>1</v>
      </c>
      <c r="J1138">
        <v>9.1155000000000008</v>
      </c>
      <c r="K1138">
        <v>3.4803000000000002</v>
      </c>
    </row>
    <row r="1139" spans="1:11" x14ac:dyDescent="0.2">
      <c r="A1139">
        <v>74144</v>
      </c>
      <c r="B1139" t="s">
        <v>1377</v>
      </c>
      <c r="C1139" t="str">
        <f t="shared" si="17"/>
        <v>TMID</v>
      </c>
      <c r="D1139" t="s">
        <v>808</v>
      </c>
      <c r="E1139">
        <v>10</v>
      </c>
      <c r="F1139" t="s">
        <v>824</v>
      </c>
      <c r="G1139">
        <v>1</v>
      </c>
      <c r="H1139" t="s">
        <v>806</v>
      </c>
      <c r="I1139">
        <v>1</v>
      </c>
      <c r="J1139">
        <v>0</v>
      </c>
      <c r="K1139">
        <v>0</v>
      </c>
    </row>
    <row r="1140" spans="1:11" x14ac:dyDescent="0.2">
      <c r="A1140">
        <v>74144</v>
      </c>
      <c r="B1140" t="s">
        <v>1377</v>
      </c>
      <c r="C1140" t="str">
        <f t="shared" si="17"/>
        <v>TMID</v>
      </c>
      <c r="D1140" t="s">
        <v>809</v>
      </c>
      <c r="E1140">
        <v>10</v>
      </c>
      <c r="F1140" t="s">
        <v>824</v>
      </c>
      <c r="G1140">
        <v>1</v>
      </c>
      <c r="H1140" t="s">
        <v>806</v>
      </c>
      <c r="I1140">
        <v>1</v>
      </c>
      <c r="J1140">
        <v>0</v>
      </c>
      <c r="K1140">
        <v>0</v>
      </c>
    </row>
    <row r="1141" spans="1:11" x14ac:dyDescent="0.2">
      <c r="A1141">
        <v>74156</v>
      </c>
      <c r="B1141" t="s">
        <v>1396</v>
      </c>
      <c r="C1141" t="str">
        <f t="shared" si="17"/>
        <v>UIAM</v>
      </c>
      <c r="D1141" t="s">
        <v>804</v>
      </c>
      <c r="E1141">
        <v>10</v>
      </c>
      <c r="F1141" t="s">
        <v>824</v>
      </c>
      <c r="G1141">
        <v>1</v>
      </c>
      <c r="H1141" t="s">
        <v>806</v>
      </c>
      <c r="I1141">
        <v>1</v>
      </c>
      <c r="J1141">
        <v>8.1959999999999997</v>
      </c>
      <c r="K1141">
        <v>-0.13150000000000001</v>
      </c>
    </row>
    <row r="1142" spans="1:11" x14ac:dyDescent="0.2">
      <c r="A1142">
        <v>74156</v>
      </c>
      <c r="B1142" t="s">
        <v>1396</v>
      </c>
      <c r="C1142" t="str">
        <f t="shared" si="17"/>
        <v>UIAM</v>
      </c>
      <c r="D1142" t="s">
        <v>807</v>
      </c>
      <c r="E1142">
        <v>10</v>
      </c>
      <c r="F1142" t="s">
        <v>824</v>
      </c>
      <c r="G1142">
        <v>1</v>
      </c>
      <c r="H1142" t="s">
        <v>806</v>
      </c>
      <c r="I1142">
        <v>1</v>
      </c>
      <c r="J1142">
        <v>8.1969999999999992</v>
      </c>
      <c r="K1142">
        <v>-0.1149</v>
      </c>
    </row>
    <row r="1143" spans="1:11" x14ac:dyDescent="0.2">
      <c r="A1143">
        <v>75138</v>
      </c>
      <c r="B1143" t="s">
        <v>902</v>
      </c>
      <c r="C1143" t="str">
        <f t="shared" si="17"/>
        <v>BRKT</v>
      </c>
      <c r="D1143" t="s">
        <v>804</v>
      </c>
      <c r="E1143">
        <v>11</v>
      </c>
      <c r="F1143" t="s">
        <v>840</v>
      </c>
      <c r="G1143">
        <v>1</v>
      </c>
      <c r="H1143" t="s">
        <v>806</v>
      </c>
      <c r="I1143">
        <v>1</v>
      </c>
      <c r="J1143">
        <v>9.1206999999999994</v>
      </c>
      <c r="K1143">
        <v>-0.57569999999999999</v>
      </c>
    </row>
    <row r="1144" spans="1:11" x14ac:dyDescent="0.2">
      <c r="A1144">
        <v>75138</v>
      </c>
      <c r="B1144" t="s">
        <v>902</v>
      </c>
      <c r="C1144" t="str">
        <f t="shared" si="17"/>
        <v>BRKT</v>
      </c>
      <c r="D1144" t="s">
        <v>807</v>
      </c>
      <c r="E1144">
        <v>11</v>
      </c>
      <c r="F1144" t="s">
        <v>840</v>
      </c>
      <c r="G1144">
        <v>1</v>
      </c>
      <c r="H1144" t="s">
        <v>806</v>
      </c>
      <c r="I1144">
        <v>1</v>
      </c>
      <c r="J1144">
        <v>9.0182000000000002</v>
      </c>
      <c r="K1144">
        <v>-0.55610000000000004</v>
      </c>
    </row>
    <row r="1145" spans="1:11" x14ac:dyDescent="0.2">
      <c r="A1145">
        <v>75138</v>
      </c>
      <c r="B1145" t="s">
        <v>902</v>
      </c>
      <c r="C1145" t="str">
        <f t="shared" si="17"/>
        <v>BRKT</v>
      </c>
      <c r="D1145" t="s">
        <v>808</v>
      </c>
      <c r="E1145">
        <v>11</v>
      </c>
      <c r="F1145" t="s">
        <v>840</v>
      </c>
      <c r="G1145">
        <v>1</v>
      </c>
      <c r="H1145" t="s">
        <v>806</v>
      </c>
      <c r="I1145">
        <v>1</v>
      </c>
      <c r="J1145">
        <v>14.7041</v>
      </c>
      <c r="K1145">
        <v>0.64200000000000002</v>
      </c>
    </row>
    <row r="1146" spans="1:11" x14ac:dyDescent="0.2">
      <c r="A1146">
        <v>75109</v>
      </c>
      <c r="B1146" t="s">
        <v>929</v>
      </c>
      <c r="C1146" t="str">
        <f t="shared" si="17"/>
        <v>CHRG</v>
      </c>
      <c r="D1146" t="s">
        <v>804</v>
      </c>
      <c r="E1146">
        <v>11</v>
      </c>
      <c r="F1146" t="s">
        <v>840</v>
      </c>
      <c r="G1146">
        <v>1</v>
      </c>
      <c r="H1146" t="s">
        <v>806</v>
      </c>
      <c r="I1146">
        <v>1</v>
      </c>
      <c r="J1146">
        <v>17.8064</v>
      </c>
      <c r="K1146">
        <v>3.6366999999999998</v>
      </c>
    </row>
    <row r="1147" spans="1:11" x14ac:dyDescent="0.2">
      <c r="A1147">
        <v>75109</v>
      </c>
      <c r="B1147" t="s">
        <v>929</v>
      </c>
      <c r="C1147" t="str">
        <f t="shared" si="17"/>
        <v>CHRG</v>
      </c>
      <c r="D1147" t="s">
        <v>807</v>
      </c>
      <c r="E1147">
        <v>11</v>
      </c>
      <c r="F1147" t="s">
        <v>840</v>
      </c>
      <c r="G1147">
        <v>1</v>
      </c>
      <c r="H1147" t="s">
        <v>806</v>
      </c>
      <c r="I1147">
        <v>1</v>
      </c>
      <c r="J1147">
        <v>14.3209</v>
      </c>
      <c r="K1147">
        <v>-0.1067</v>
      </c>
    </row>
    <row r="1148" spans="1:11" x14ac:dyDescent="0.2">
      <c r="A1148">
        <v>75109</v>
      </c>
      <c r="B1148" t="s">
        <v>929</v>
      </c>
      <c r="C1148" t="str">
        <f t="shared" si="17"/>
        <v>CHRG</v>
      </c>
      <c r="D1148" t="s">
        <v>808</v>
      </c>
      <c r="E1148">
        <v>11</v>
      </c>
      <c r="F1148" t="s">
        <v>840</v>
      </c>
      <c r="G1148">
        <v>1</v>
      </c>
      <c r="H1148" t="s">
        <v>806</v>
      </c>
      <c r="I1148">
        <v>1</v>
      </c>
      <c r="J1148">
        <v>25.6648</v>
      </c>
      <c r="K1148">
        <v>-6.7442000000000002</v>
      </c>
    </row>
    <row r="1149" spans="1:11" x14ac:dyDescent="0.2">
      <c r="A1149">
        <v>75109</v>
      </c>
      <c r="B1149" t="s">
        <v>929</v>
      </c>
      <c r="C1149" t="str">
        <f t="shared" si="17"/>
        <v>CHRG</v>
      </c>
      <c r="D1149" t="s">
        <v>809</v>
      </c>
      <c r="E1149">
        <v>11</v>
      </c>
      <c r="F1149" t="s">
        <v>840</v>
      </c>
      <c r="G1149">
        <v>1</v>
      </c>
      <c r="H1149" t="s">
        <v>806</v>
      </c>
      <c r="I1149">
        <v>1</v>
      </c>
      <c r="J1149">
        <v>26.242599999999999</v>
      </c>
      <c r="K1149">
        <v>6.2617000000000003</v>
      </c>
    </row>
    <row r="1150" spans="1:11" x14ac:dyDescent="0.2">
      <c r="A1150">
        <v>75144</v>
      </c>
      <c r="B1150" t="s">
        <v>933</v>
      </c>
      <c r="C1150" t="str">
        <f t="shared" si="17"/>
        <v>CKAI</v>
      </c>
      <c r="D1150" t="s">
        <v>804</v>
      </c>
      <c r="E1150">
        <v>11</v>
      </c>
      <c r="F1150" t="s">
        <v>840</v>
      </c>
      <c r="G1150">
        <v>1</v>
      </c>
      <c r="H1150" t="s">
        <v>806</v>
      </c>
      <c r="I1150">
        <v>1</v>
      </c>
      <c r="J1150">
        <v>12.7325</v>
      </c>
      <c r="K1150">
        <v>1.9674</v>
      </c>
    </row>
    <row r="1151" spans="1:11" x14ac:dyDescent="0.2">
      <c r="A1151">
        <v>75144</v>
      </c>
      <c r="B1151" t="s">
        <v>933</v>
      </c>
      <c r="C1151" t="str">
        <f t="shared" si="17"/>
        <v>CKAI</v>
      </c>
      <c r="D1151" t="s">
        <v>807</v>
      </c>
      <c r="E1151">
        <v>11</v>
      </c>
      <c r="F1151" t="s">
        <v>840</v>
      </c>
      <c r="G1151">
        <v>1</v>
      </c>
      <c r="H1151" t="s">
        <v>806</v>
      </c>
      <c r="I1151">
        <v>1</v>
      </c>
      <c r="J1151">
        <v>12.759399999999999</v>
      </c>
      <c r="K1151">
        <v>1.9799</v>
      </c>
    </row>
    <row r="1152" spans="1:11" x14ac:dyDescent="0.2">
      <c r="A1152">
        <v>75150</v>
      </c>
      <c r="B1152" t="s">
        <v>938</v>
      </c>
      <c r="C1152" t="str">
        <f t="shared" si="17"/>
        <v>CUFK</v>
      </c>
      <c r="D1152">
        <v>99</v>
      </c>
      <c r="E1152">
        <v>11</v>
      </c>
      <c r="F1152" t="s">
        <v>840</v>
      </c>
      <c r="G1152">
        <v>1</v>
      </c>
      <c r="H1152" t="s">
        <v>806</v>
      </c>
      <c r="I1152">
        <v>1</v>
      </c>
      <c r="J1152">
        <v>0</v>
      </c>
      <c r="K1152">
        <v>0</v>
      </c>
    </row>
    <row r="1153" spans="1:11" x14ac:dyDescent="0.2">
      <c r="A1153">
        <v>75118</v>
      </c>
      <c r="B1153" t="s">
        <v>942</v>
      </c>
      <c r="C1153" t="str">
        <f t="shared" si="17"/>
        <v>DGID</v>
      </c>
      <c r="D1153" t="s">
        <v>804</v>
      </c>
      <c r="E1153">
        <v>11</v>
      </c>
      <c r="F1153" t="s">
        <v>840</v>
      </c>
      <c r="G1153">
        <v>1</v>
      </c>
      <c r="H1153" t="s">
        <v>806</v>
      </c>
      <c r="I1153">
        <v>1</v>
      </c>
      <c r="J1153">
        <v>0</v>
      </c>
      <c r="K1153">
        <v>0</v>
      </c>
    </row>
    <row r="1154" spans="1:11" x14ac:dyDescent="0.2">
      <c r="A1154">
        <v>75118</v>
      </c>
      <c r="B1154" t="s">
        <v>942</v>
      </c>
      <c r="C1154" t="str">
        <f t="shared" si="17"/>
        <v>DGID</v>
      </c>
      <c r="D1154" t="s">
        <v>807</v>
      </c>
      <c r="E1154">
        <v>11</v>
      </c>
      <c r="F1154" t="s">
        <v>840</v>
      </c>
      <c r="G1154">
        <v>1</v>
      </c>
      <c r="H1154" t="s">
        <v>806</v>
      </c>
      <c r="I1154">
        <v>1</v>
      </c>
      <c r="J1154">
        <v>25.8719</v>
      </c>
      <c r="K1154">
        <v>-1.6848000000000001</v>
      </c>
    </row>
    <row r="1155" spans="1:11" x14ac:dyDescent="0.2">
      <c r="A1155">
        <v>75103</v>
      </c>
      <c r="B1155" t="s">
        <v>943</v>
      </c>
      <c r="C1155" t="str">
        <f t="shared" ref="C1155:C1218" si="18">LEFT(B1155,4)</f>
        <v>DGUN</v>
      </c>
      <c r="D1155" t="s">
        <v>804</v>
      </c>
      <c r="E1155">
        <v>11</v>
      </c>
      <c r="F1155" t="s">
        <v>840</v>
      </c>
      <c r="G1155">
        <v>1</v>
      </c>
      <c r="H1155" t="s">
        <v>806</v>
      </c>
      <c r="I1155">
        <v>1</v>
      </c>
      <c r="J1155">
        <v>5.2179000000000002</v>
      </c>
      <c r="K1155">
        <v>0.14080000000000001</v>
      </c>
    </row>
    <row r="1156" spans="1:11" x14ac:dyDescent="0.2">
      <c r="A1156">
        <v>75103</v>
      </c>
      <c r="B1156" t="s">
        <v>943</v>
      </c>
      <c r="C1156" t="str">
        <f t="shared" si="18"/>
        <v>DGUN</v>
      </c>
      <c r="D1156" t="s">
        <v>807</v>
      </c>
      <c r="E1156">
        <v>11</v>
      </c>
      <c r="F1156" t="s">
        <v>840</v>
      </c>
      <c r="G1156">
        <v>1</v>
      </c>
      <c r="H1156" t="s">
        <v>806</v>
      </c>
      <c r="I1156">
        <v>1</v>
      </c>
      <c r="J1156">
        <v>5.1722999999999999</v>
      </c>
      <c r="K1156">
        <v>0.1512</v>
      </c>
    </row>
    <row r="1157" spans="1:11" x14ac:dyDescent="0.2">
      <c r="A1157">
        <v>75116</v>
      </c>
      <c r="B1157" t="s">
        <v>965</v>
      </c>
      <c r="C1157" t="str">
        <f t="shared" si="18"/>
        <v>GBDK</v>
      </c>
      <c r="D1157" t="s">
        <v>804</v>
      </c>
      <c r="E1157">
        <v>11</v>
      </c>
      <c r="F1157" t="s">
        <v>840</v>
      </c>
      <c r="G1157">
        <v>1</v>
      </c>
      <c r="H1157" t="s">
        <v>806</v>
      </c>
      <c r="I1157">
        <v>1</v>
      </c>
      <c r="J1157">
        <v>10.6625</v>
      </c>
      <c r="K1157">
        <v>1.2643</v>
      </c>
    </row>
    <row r="1158" spans="1:11" x14ac:dyDescent="0.2">
      <c r="A1158">
        <v>75116</v>
      </c>
      <c r="B1158" t="s">
        <v>965</v>
      </c>
      <c r="C1158" t="str">
        <f t="shared" si="18"/>
        <v>GBDK</v>
      </c>
      <c r="D1158" t="s">
        <v>807</v>
      </c>
      <c r="E1158">
        <v>11</v>
      </c>
      <c r="F1158" t="s">
        <v>840</v>
      </c>
      <c r="G1158">
        <v>1</v>
      </c>
      <c r="H1158" t="s">
        <v>806</v>
      </c>
      <c r="I1158">
        <v>1</v>
      </c>
      <c r="J1158">
        <v>10.683199999999999</v>
      </c>
      <c r="K1158">
        <v>1.1846000000000001</v>
      </c>
    </row>
    <row r="1159" spans="1:11" x14ac:dyDescent="0.2">
      <c r="A1159">
        <v>75116</v>
      </c>
      <c r="B1159" t="s">
        <v>965</v>
      </c>
      <c r="C1159" t="str">
        <f t="shared" si="18"/>
        <v>GBDK</v>
      </c>
      <c r="D1159" t="s">
        <v>808</v>
      </c>
      <c r="E1159">
        <v>11</v>
      </c>
      <c r="F1159" t="s">
        <v>840</v>
      </c>
      <c r="G1159">
        <v>1</v>
      </c>
      <c r="H1159" t="s">
        <v>806</v>
      </c>
      <c r="I1159">
        <v>1</v>
      </c>
      <c r="J1159">
        <v>19.3752</v>
      </c>
      <c r="K1159">
        <v>0.15429999999999999</v>
      </c>
    </row>
    <row r="1160" spans="1:11" x14ac:dyDescent="0.2">
      <c r="A1160">
        <v>75116</v>
      </c>
      <c r="B1160" t="s">
        <v>965</v>
      </c>
      <c r="C1160" t="str">
        <f t="shared" si="18"/>
        <v>GBDK</v>
      </c>
      <c r="D1160" t="s">
        <v>809</v>
      </c>
      <c r="E1160">
        <v>11</v>
      </c>
      <c r="F1160" t="s">
        <v>840</v>
      </c>
      <c r="G1160">
        <v>1</v>
      </c>
      <c r="H1160" t="s">
        <v>806</v>
      </c>
      <c r="I1160">
        <v>1</v>
      </c>
      <c r="J1160">
        <v>19.429099999999998</v>
      </c>
      <c r="K1160">
        <v>0.1885</v>
      </c>
    </row>
    <row r="1161" spans="1:11" x14ac:dyDescent="0.2">
      <c r="A1161">
        <v>75299</v>
      </c>
      <c r="B1161" t="s">
        <v>994</v>
      </c>
      <c r="C1161" t="str">
        <f t="shared" si="18"/>
        <v>HTRG</v>
      </c>
      <c r="D1161" t="s">
        <v>804</v>
      </c>
      <c r="E1161">
        <v>11</v>
      </c>
      <c r="F1161" t="s">
        <v>840</v>
      </c>
      <c r="G1161">
        <v>1</v>
      </c>
      <c r="H1161" t="s">
        <v>806</v>
      </c>
      <c r="I1161">
        <v>1</v>
      </c>
      <c r="J1161">
        <v>0</v>
      </c>
      <c r="K1161">
        <v>0</v>
      </c>
    </row>
    <row r="1162" spans="1:11" x14ac:dyDescent="0.2">
      <c r="A1162">
        <v>75299</v>
      </c>
      <c r="B1162" t="s">
        <v>994</v>
      </c>
      <c r="C1162" t="str">
        <f t="shared" si="18"/>
        <v>HTRG</v>
      </c>
      <c r="D1162" t="s">
        <v>807</v>
      </c>
      <c r="E1162">
        <v>11</v>
      </c>
      <c r="F1162" t="s">
        <v>840</v>
      </c>
      <c r="G1162">
        <v>1</v>
      </c>
      <c r="H1162" t="s">
        <v>806</v>
      </c>
      <c r="I1162">
        <v>1</v>
      </c>
      <c r="J1162">
        <v>0</v>
      </c>
      <c r="K1162">
        <v>0</v>
      </c>
    </row>
    <row r="1163" spans="1:11" x14ac:dyDescent="0.2">
      <c r="A1163">
        <v>75926</v>
      </c>
      <c r="B1163" t="s">
        <v>995</v>
      </c>
      <c r="C1163" t="str">
        <f t="shared" si="18"/>
        <v>HTRG</v>
      </c>
      <c r="D1163" t="s">
        <v>869</v>
      </c>
      <c r="E1163">
        <v>11</v>
      </c>
      <c r="F1163" t="s">
        <v>840</v>
      </c>
      <c r="G1163">
        <v>1</v>
      </c>
      <c r="H1163" t="s">
        <v>806</v>
      </c>
      <c r="I1163">
        <v>1</v>
      </c>
      <c r="J1163">
        <v>0</v>
      </c>
      <c r="K1163">
        <v>0</v>
      </c>
    </row>
    <row r="1164" spans="1:11" x14ac:dyDescent="0.2">
      <c r="A1164">
        <v>75927</v>
      </c>
      <c r="B1164" t="s">
        <v>996</v>
      </c>
      <c r="C1164" t="str">
        <f t="shared" si="18"/>
        <v>HTRG</v>
      </c>
      <c r="D1164" t="s">
        <v>869</v>
      </c>
      <c r="E1164">
        <v>11</v>
      </c>
      <c r="F1164" t="s">
        <v>840</v>
      </c>
      <c r="G1164">
        <v>1</v>
      </c>
      <c r="H1164" t="s">
        <v>806</v>
      </c>
      <c r="I1164">
        <v>1</v>
      </c>
      <c r="J1164">
        <v>0</v>
      </c>
      <c r="K1164">
        <v>0</v>
      </c>
    </row>
    <row r="1165" spans="1:11" x14ac:dyDescent="0.2">
      <c r="A1165">
        <v>75140</v>
      </c>
      <c r="B1165" t="s">
        <v>1026</v>
      </c>
      <c r="C1165" t="str">
        <f t="shared" si="18"/>
        <v>KBRG</v>
      </c>
      <c r="D1165" t="s">
        <v>804</v>
      </c>
      <c r="E1165">
        <v>11</v>
      </c>
      <c r="F1165" t="s">
        <v>840</v>
      </c>
      <c r="G1165">
        <v>1</v>
      </c>
      <c r="H1165" t="s">
        <v>806</v>
      </c>
      <c r="I1165">
        <v>1</v>
      </c>
      <c r="J1165">
        <v>10.886200000000001</v>
      </c>
      <c r="K1165">
        <v>-0.55810000000000004</v>
      </c>
    </row>
    <row r="1166" spans="1:11" x14ac:dyDescent="0.2">
      <c r="A1166">
        <v>75140</v>
      </c>
      <c r="B1166" t="s">
        <v>1026</v>
      </c>
      <c r="C1166" t="str">
        <f t="shared" si="18"/>
        <v>KBRG</v>
      </c>
      <c r="D1166" t="s">
        <v>807</v>
      </c>
      <c r="E1166">
        <v>11</v>
      </c>
      <c r="F1166" t="s">
        <v>840</v>
      </c>
      <c r="G1166">
        <v>1</v>
      </c>
      <c r="H1166" t="s">
        <v>806</v>
      </c>
      <c r="I1166">
        <v>1</v>
      </c>
      <c r="J1166">
        <v>10.486499999999999</v>
      </c>
      <c r="K1166">
        <v>-0.82010000000000005</v>
      </c>
    </row>
    <row r="1167" spans="1:11" x14ac:dyDescent="0.2">
      <c r="A1167">
        <v>75140</v>
      </c>
      <c r="B1167" t="s">
        <v>1026</v>
      </c>
      <c r="C1167" t="str">
        <f t="shared" si="18"/>
        <v>KBRG</v>
      </c>
      <c r="D1167" t="s">
        <v>808</v>
      </c>
      <c r="E1167">
        <v>11</v>
      </c>
      <c r="F1167" t="s">
        <v>840</v>
      </c>
      <c r="G1167">
        <v>1</v>
      </c>
      <c r="H1167" t="s">
        <v>806</v>
      </c>
      <c r="I1167">
        <v>1</v>
      </c>
      <c r="J1167">
        <v>5.0563000000000002</v>
      </c>
      <c r="K1167">
        <v>-4.5044000000000004</v>
      </c>
    </row>
    <row r="1168" spans="1:11" x14ac:dyDescent="0.2">
      <c r="A1168">
        <v>75140</v>
      </c>
      <c r="B1168" t="s">
        <v>1026</v>
      </c>
      <c r="C1168" t="str">
        <f t="shared" si="18"/>
        <v>KBRG</v>
      </c>
      <c r="D1168" t="s">
        <v>809</v>
      </c>
      <c r="E1168">
        <v>11</v>
      </c>
      <c r="F1168" t="s">
        <v>840</v>
      </c>
      <c r="G1168">
        <v>1</v>
      </c>
      <c r="H1168" t="s">
        <v>806</v>
      </c>
      <c r="I1168">
        <v>1</v>
      </c>
      <c r="J1168">
        <v>5.133</v>
      </c>
      <c r="K1168">
        <v>-4.6349</v>
      </c>
    </row>
    <row r="1169" spans="1:11" x14ac:dyDescent="0.2">
      <c r="A1169">
        <v>75105</v>
      </c>
      <c r="B1169" t="s">
        <v>1072</v>
      </c>
      <c r="C1169" t="str">
        <f t="shared" si="18"/>
        <v>KMAN</v>
      </c>
      <c r="D1169" t="s">
        <v>804</v>
      </c>
      <c r="E1169">
        <v>11</v>
      </c>
      <c r="F1169" t="s">
        <v>840</v>
      </c>
      <c r="G1169">
        <v>1</v>
      </c>
      <c r="H1169" t="s">
        <v>806</v>
      </c>
      <c r="I1169">
        <v>1</v>
      </c>
      <c r="J1169">
        <v>9.6560000000000006</v>
      </c>
      <c r="K1169">
        <v>1.3337000000000001</v>
      </c>
    </row>
    <row r="1170" spans="1:11" x14ac:dyDescent="0.2">
      <c r="A1170">
        <v>75105</v>
      </c>
      <c r="B1170" t="s">
        <v>1072</v>
      </c>
      <c r="C1170" t="str">
        <f t="shared" si="18"/>
        <v>KMAN</v>
      </c>
      <c r="D1170" t="s">
        <v>807</v>
      </c>
      <c r="E1170">
        <v>11</v>
      </c>
      <c r="F1170" t="s">
        <v>840</v>
      </c>
      <c r="G1170">
        <v>1</v>
      </c>
      <c r="H1170" t="s">
        <v>806</v>
      </c>
      <c r="I1170">
        <v>1</v>
      </c>
      <c r="J1170">
        <v>9.6850000000000005</v>
      </c>
      <c r="K1170">
        <v>1.3089</v>
      </c>
    </row>
    <row r="1171" spans="1:11" x14ac:dyDescent="0.2">
      <c r="A1171">
        <v>75105</v>
      </c>
      <c r="B1171" t="s">
        <v>1072</v>
      </c>
      <c r="C1171" t="str">
        <f t="shared" si="18"/>
        <v>KMAN</v>
      </c>
      <c r="D1171" t="s">
        <v>808</v>
      </c>
      <c r="E1171">
        <v>11</v>
      </c>
      <c r="F1171" t="s">
        <v>840</v>
      </c>
      <c r="G1171">
        <v>1</v>
      </c>
      <c r="H1171" t="s">
        <v>806</v>
      </c>
      <c r="I1171">
        <v>1</v>
      </c>
      <c r="J1171">
        <v>2.8580000000000001</v>
      </c>
      <c r="K1171">
        <v>-2.8331</v>
      </c>
    </row>
    <row r="1172" spans="1:11" x14ac:dyDescent="0.2">
      <c r="A1172">
        <v>75105</v>
      </c>
      <c r="B1172" t="s">
        <v>1072</v>
      </c>
      <c r="C1172" t="str">
        <f t="shared" si="18"/>
        <v>KMAN</v>
      </c>
      <c r="D1172" t="s">
        <v>809</v>
      </c>
      <c r="E1172">
        <v>11</v>
      </c>
      <c r="F1172" t="s">
        <v>840</v>
      </c>
      <c r="G1172">
        <v>1</v>
      </c>
      <c r="H1172" t="s">
        <v>806</v>
      </c>
      <c r="I1172">
        <v>1</v>
      </c>
      <c r="J1172">
        <v>2.8776999999999999</v>
      </c>
      <c r="K1172">
        <v>-2.8279000000000001</v>
      </c>
    </row>
    <row r="1173" spans="1:11" x14ac:dyDescent="0.2">
      <c r="A1173">
        <v>75102</v>
      </c>
      <c r="B1173" t="s">
        <v>1076</v>
      </c>
      <c r="C1173" t="str">
        <f t="shared" si="18"/>
        <v>KNYR</v>
      </c>
      <c r="D1173" t="s">
        <v>804</v>
      </c>
      <c r="E1173">
        <v>11</v>
      </c>
      <c r="F1173" t="s">
        <v>840</v>
      </c>
      <c r="G1173">
        <v>1</v>
      </c>
      <c r="H1173" t="s">
        <v>806</v>
      </c>
      <c r="I1173">
        <v>1</v>
      </c>
      <c r="J1173">
        <v>0</v>
      </c>
      <c r="K1173">
        <v>0</v>
      </c>
    </row>
    <row r="1174" spans="1:11" x14ac:dyDescent="0.2">
      <c r="A1174">
        <v>75102</v>
      </c>
      <c r="B1174" t="s">
        <v>1076</v>
      </c>
      <c r="C1174" t="str">
        <f t="shared" si="18"/>
        <v>KNYR</v>
      </c>
      <c r="D1174" t="s">
        <v>807</v>
      </c>
      <c r="E1174">
        <v>11</v>
      </c>
      <c r="F1174" t="s">
        <v>840</v>
      </c>
      <c r="G1174">
        <v>1</v>
      </c>
      <c r="H1174" t="s">
        <v>806</v>
      </c>
      <c r="I1174">
        <v>1</v>
      </c>
      <c r="J1174">
        <v>0</v>
      </c>
      <c r="K1174">
        <v>0</v>
      </c>
    </row>
    <row r="1175" spans="1:11" x14ac:dyDescent="0.2">
      <c r="A1175">
        <v>75115</v>
      </c>
      <c r="B1175" t="s">
        <v>1107</v>
      </c>
      <c r="C1175" t="str">
        <f t="shared" si="18"/>
        <v>KTGU</v>
      </c>
      <c r="D1175" t="s">
        <v>804</v>
      </c>
      <c r="E1175">
        <v>11</v>
      </c>
      <c r="F1175" t="s">
        <v>840</v>
      </c>
      <c r="G1175">
        <v>1</v>
      </c>
      <c r="H1175" t="s">
        <v>806</v>
      </c>
      <c r="I1175">
        <v>1</v>
      </c>
      <c r="J1175">
        <v>13.361000000000001</v>
      </c>
      <c r="K1175">
        <v>1.3895999999999999</v>
      </c>
    </row>
    <row r="1176" spans="1:11" x14ac:dyDescent="0.2">
      <c r="A1176">
        <v>75115</v>
      </c>
      <c r="B1176" t="s">
        <v>1107</v>
      </c>
      <c r="C1176" t="str">
        <f t="shared" si="18"/>
        <v>KTGU</v>
      </c>
      <c r="D1176" t="s">
        <v>807</v>
      </c>
      <c r="E1176">
        <v>11</v>
      </c>
      <c r="F1176" t="s">
        <v>840</v>
      </c>
      <c r="G1176">
        <v>1</v>
      </c>
      <c r="H1176" t="s">
        <v>806</v>
      </c>
      <c r="I1176">
        <v>1</v>
      </c>
      <c r="J1176">
        <v>11.4909</v>
      </c>
      <c r="K1176">
        <v>1.2716000000000001</v>
      </c>
    </row>
    <row r="1177" spans="1:11" x14ac:dyDescent="0.2">
      <c r="A1177">
        <v>75115</v>
      </c>
      <c r="B1177" t="s">
        <v>1107</v>
      </c>
      <c r="C1177" t="str">
        <f t="shared" si="18"/>
        <v>KTGU</v>
      </c>
      <c r="D1177" t="s">
        <v>808</v>
      </c>
      <c r="E1177">
        <v>11</v>
      </c>
      <c r="F1177" t="s">
        <v>840</v>
      </c>
      <c r="G1177">
        <v>1</v>
      </c>
      <c r="H1177" t="s">
        <v>806</v>
      </c>
      <c r="I1177">
        <v>1</v>
      </c>
      <c r="J1177">
        <v>11.521000000000001</v>
      </c>
      <c r="K1177">
        <v>1.7126999999999999</v>
      </c>
    </row>
    <row r="1178" spans="1:11" x14ac:dyDescent="0.2">
      <c r="A1178">
        <v>75115</v>
      </c>
      <c r="B1178" t="s">
        <v>1107</v>
      </c>
      <c r="C1178" t="str">
        <f t="shared" si="18"/>
        <v>KTGU</v>
      </c>
      <c r="D1178" t="s">
        <v>809</v>
      </c>
      <c r="E1178">
        <v>11</v>
      </c>
      <c r="F1178" t="s">
        <v>840</v>
      </c>
      <c r="G1178">
        <v>1</v>
      </c>
      <c r="H1178" t="s">
        <v>806</v>
      </c>
      <c r="I1178">
        <v>1</v>
      </c>
      <c r="J1178">
        <v>11.5365</v>
      </c>
      <c r="K1178">
        <v>1.7262</v>
      </c>
    </row>
    <row r="1179" spans="1:11" x14ac:dyDescent="0.2">
      <c r="A1179">
        <v>75124</v>
      </c>
      <c r="B1179" t="s">
        <v>1108</v>
      </c>
      <c r="C1179" t="str">
        <f t="shared" si="18"/>
        <v>KTIH</v>
      </c>
      <c r="D1179" t="s">
        <v>804</v>
      </c>
      <c r="E1179">
        <v>11</v>
      </c>
      <c r="F1179" t="s">
        <v>840</v>
      </c>
      <c r="G1179">
        <v>1</v>
      </c>
      <c r="H1179" t="s">
        <v>806</v>
      </c>
      <c r="I1179">
        <v>1</v>
      </c>
      <c r="J1179">
        <v>5.9676</v>
      </c>
      <c r="K1179">
        <v>0.96719999999999995</v>
      </c>
    </row>
    <row r="1180" spans="1:11" x14ac:dyDescent="0.2">
      <c r="A1180">
        <v>75124</v>
      </c>
      <c r="B1180" t="s">
        <v>1108</v>
      </c>
      <c r="C1180" t="str">
        <f t="shared" si="18"/>
        <v>KTIH</v>
      </c>
      <c r="D1180" t="s">
        <v>807</v>
      </c>
      <c r="E1180">
        <v>11</v>
      </c>
      <c r="F1180" t="s">
        <v>840</v>
      </c>
      <c r="G1180">
        <v>1</v>
      </c>
      <c r="H1180" t="s">
        <v>806</v>
      </c>
      <c r="I1180">
        <v>1</v>
      </c>
      <c r="J1180">
        <v>5.9614000000000003</v>
      </c>
      <c r="K1180">
        <v>0.96399999999999997</v>
      </c>
    </row>
    <row r="1181" spans="1:11" x14ac:dyDescent="0.2">
      <c r="A1181">
        <v>74261</v>
      </c>
      <c r="B1181" t="s">
        <v>1132</v>
      </c>
      <c r="C1181" t="str">
        <f t="shared" si="18"/>
        <v>MCKP</v>
      </c>
      <c r="D1181" t="s">
        <v>804</v>
      </c>
      <c r="E1181">
        <v>11</v>
      </c>
      <c r="F1181" t="s">
        <v>840</v>
      </c>
      <c r="G1181">
        <v>1</v>
      </c>
      <c r="H1181" t="s">
        <v>806</v>
      </c>
      <c r="I1181">
        <v>1</v>
      </c>
      <c r="J1181">
        <v>0.50090000000000001</v>
      </c>
      <c r="K1181">
        <v>-0.41299999999999998</v>
      </c>
    </row>
    <row r="1182" spans="1:11" x14ac:dyDescent="0.2">
      <c r="A1182">
        <v>74261</v>
      </c>
      <c r="B1182" t="s">
        <v>1132</v>
      </c>
      <c r="C1182" t="str">
        <f t="shared" si="18"/>
        <v>MCKP</v>
      </c>
      <c r="D1182" t="s">
        <v>807</v>
      </c>
      <c r="E1182">
        <v>11</v>
      </c>
      <c r="F1182" t="s">
        <v>840</v>
      </c>
      <c r="G1182">
        <v>1</v>
      </c>
      <c r="H1182" t="s">
        <v>806</v>
      </c>
      <c r="I1182">
        <v>1</v>
      </c>
      <c r="J1182">
        <v>0.50090000000000001</v>
      </c>
      <c r="K1182">
        <v>-0.41299999999999998</v>
      </c>
    </row>
    <row r="1183" spans="1:11" x14ac:dyDescent="0.2">
      <c r="A1183">
        <v>75910</v>
      </c>
      <c r="B1183" t="s">
        <v>1133</v>
      </c>
      <c r="C1183" t="str">
        <f t="shared" si="18"/>
        <v>MCLS</v>
      </c>
      <c r="D1183" t="s">
        <v>869</v>
      </c>
      <c r="E1183">
        <v>11</v>
      </c>
      <c r="F1183" t="s">
        <v>840</v>
      </c>
      <c r="G1183">
        <v>1</v>
      </c>
      <c r="H1183" t="s">
        <v>806</v>
      </c>
      <c r="I1183">
        <v>1</v>
      </c>
      <c r="J1183">
        <v>0</v>
      </c>
      <c r="K1183">
        <v>0</v>
      </c>
    </row>
    <row r="1184" spans="1:11" x14ac:dyDescent="0.2">
      <c r="A1184">
        <v>75104</v>
      </c>
      <c r="B1184" t="s">
        <v>1185</v>
      </c>
      <c r="C1184" t="str">
        <f t="shared" si="18"/>
        <v>PAKA</v>
      </c>
      <c r="D1184" t="s">
        <v>1186</v>
      </c>
      <c r="E1184">
        <v>11</v>
      </c>
      <c r="F1184" t="s">
        <v>840</v>
      </c>
      <c r="G1184">
        <v>1</v>
      </c>
      <c r="H1184" t="s">
        <v>806</v>
      </c>
      <c r="I1184">
        <v>1</v>
      </c>
      <c r="J1184">
        <v>0</v>
      </c>
      <c r="K1184">
        <v>0</v>
      </c>
    </row>
    <row r="1185" spans="1:11" x14ac:dyDescent="0.2">
      <c r="A1185">
        <v>75104</v>
      </c>
      <c r="B1185" t="s">
        <v>1185</v>
      </c>
      <c r="C1185" t="str">
        <f t="shared" si="18"/>
        <v>PAKA</v>
      </c>
      <c r="D1185" t="s">
        <v>1187</v>
      </c>
      <c r="E1185">
        <v>11</v>
      </c>
      <c r="F1185" t="s">
        <v>840</v>
      </c>
      <c r="G1185">
        <v>1</v>
      </c>
      <c r="H1185" t="s">
        <v>806</v>
      </c>
      <c r="I1185">
        <v>1</v>
      </c>
      <c r="J1185">
        <v>0</v>
      </c>
      <c r="K1185">
        <v>0</v>
      </c>
    </row>
    <row r="1186" spans="1:11" x14ac:dyDescent="0.2">
      <c r="A1186">
        <v>75104</v>
      </c>
      <c r="B1186" t="s">
        <v>1185</v>
      </c>
      <c r="C1186" t="str">
        <f t="shared" si="18"/>
        <v>PAKA</v>
      </c>
      <c r="D1186" t="s">
        <v>804</v>
      </c>
      <c r="E1186">
        <v>11</v>
      </c>
      <c r="F1186" t="s">
        <v>840</v>
      </c>
      <c r="G1186">
        <v>1</v>
      </c>
      <c r="H1186" t="s">
        <v>806</v>
      </c>
      <c r="I1186">
        <v>1</v>
      </c>
      <c r="J1186">
        <v>6.6199000000000003</v>
      </c>
      <c r="K1186">
        <v>1.8908</v>
      </c>
    </row>
    <row r="1187" spans="1:11" x14ac:dyDescent="0.2">
      <c r="A1187">
        <v>75104</v>
      </c>
      <c r="B1187" t="s">
        <v>1185</v>
      </c>
      <c r="C1187" t="str">
        <f t="shared" si="18"/>
        <v>PAKA</v>
      </c>
      <c r="D1187" t="s">
        <v>807</v>
      </c>
      <c r="E1187">
        <v>11</v>
      </c>
      <c r="F1187" t="s">
        <v>840</v>
      </c>
      <c r="G1187">
        <v>1</v>
      </c>
      <c r="H1187" t="s">
        <v>806</v>
      </c>
      <c r="I1187">
        <v>1</v>
      </c>
      <c r="J1187">
        <v>6.5991999999999997</v>
      </c>
      <c r="K1187">
        <v>1.7717000000000001</v>
      </c>
    </row>
    <row r="1188" spans="1:11" x14ac:dyDescent="0.2">
      <c r="A1188">
        <v>75104</v>
      </c>
      <c r="B1188" t="s">
        <v>1185</v>
      </c>
      <c r="C1188" t="str">
        <f t="shared" si="18"/>
        <v>PAKA</v>
      </c>
      <c r="D1188" t="s">
        <v>810</v>
      </c>
      <c r="E1188">
        <v>11</v>
      </c>
      <c r="F1188" t="s">
        <v>840</v>
      </c>
      <c r="G1188">
        <v>1</v>
      </c>
      <c r="H1188" t="s">
        <v>806</v>
      </c>
      <c r="I1188">
        <v>1</v>
      </c>
      <c r="J1188">
        <v>2.4407000000000001</v>
      </c>
      <c r="K1188">
        <v>0.53539999999999999</v>
      </c>
    </row>
    <row r="1189" spans="1:11" x14ac:dyDescent="0.2">
      <c r="A1189">
        <v>75104</v>
      </c>
      <c r="B1189" t="s">
        <v>1185</v>
      </c>
      <c r="C1189" t="str">
        <f t="shared" si="18"/>
        <v>PAKA</v>
      </c>
      <c r="D1189" t="s">
        <v>812</v>
      </c>
      <c r="E1189">
        <v>11</v>
      </c>
      <c r="F1189" t="s">
        <v>840</v>
      </c>
      <c r="G1189">
        <v>1</v>
      </c>
      <c r="H1189" t="s">
        <v>806</v>
      </c>
      <c r="I1189">
        <v>1</v>
      </c>
      <c r="J1189">
        <v>2.4064999999999999</v>
      </c>
      <c r="K1189">
        <v>0.5302</v>
      </c>
    </row>
    <row r="1190" spans="1:11" x14ac:dyDescent="0.2">
      <c r="A1190">
        <v>75111</v>
      </c>
      <c r="B1190" t="s">
        <v>1261</v>
      </c>
      <c r="C1190" t="str">
        <f t="shared" si="18"/>
        <v>RPTS</v>
      </c>
      <c r="D1190" t="s">
        <v>804</v>
      </c>
      <c r="E1190">
        <v>11</v>
      </c>
      <c r="F1190" t="s">
        <v>840</v>
      </c>
      <c r="G1190">
        <v>1</v>
      </c>
      <c r="H1190" t="s">
        <v>806</v>
      </c>
      <c r="I1190">
        <v>1</v>
      </c>
      <c r="J1190">
        <v>6.4108000000000001</v>
      </c>
      <c r="K1190">
        <v>0.15740000000000001</v>
      </c>
    </row>
    <row r="1191" spans="1:11" x14ac:dyDescent="0.2">
      <c r="A1191">
        <v>75111</v>
      </c>
      <c r="B1191" t="s">
        <v>1261</v>
      </c>
      <c r="C1191" t="str">
        <f t="shared" si="18"/>
        <v>RPTS</v>
      </c>
      <c r="D1191" t="s">
        <v>807</v>
      </c>
      <c r="E1191">
        <v>11</v>
      </c>
      <c r="F1191" t="s">
        <v>840</v>
      </c>
      <c r="G1191">
        <v>1</v>
      </c>
      <c r="H1191" t="s">
        <v>806</v>
      </c>
      <c r="I1191">
        <v>1</v>
      </c>
      <c r="J1191">
        <v>6.4046000000000003</v>
      </c>
      <c r="K1191">
        <v>0.15640000000000001</v>
      </c>
    </row>
    <row r="1192" spans="1:11" x14ac:dyDescent="0.2">
      <c r="A1192">
        <v>75120</v>
      </c>
      <c r="B1192" t="s">
        <v>1339</v>
      </c>
      <c r="C1192" t="str">
        <f t="shared" si="18"/>
        <v>STNG</v>
      </c>
      <c r="D1192" t="s">
        <v>804</v>
      </c>
      <c r="E1192">
        <v>11</v>
      </c>
      <c r="F1192" t="s">
        <v>840</v>
      </c>
      <c r="G1192">
        <v>1</v>
      </c>
      <c r="H1192" t="s">
        <v>806</v>
      </c>
      <c r="I1192">
        <v>1</v>
      </c>
      <c r="J1192">
        <v>6.4593999999999996</v>
      </c>
      <c r="K1192">
        <v>-0.48880000000000001</v>
      </c>
    </row>
    <row r="1193" spans="1:11" x14ac:dyDescent="0.2">
      <c r="A1193">
        <v>75120</v>
      </c>
      <c r="B1193" t="s">
        <v>1339</v>
      </c>
      <c r="C1193" t="str">
        <f t="shared" si="18"/>
        <v>STNG</v>
      </c>
      <c r="D1193" t="s">
        <v>807</v>
      </c>
      <c r="E1193">
        <v>11</v>
      </c>
      <c r="F1193" t="s">
        <v>840</v>
      </c>
      <c r="G1193">
        <v>1</v>
      </c>
      <c r="H1193" t="s">
        <v>806</v>
      </c>
      <c r="I1193">
        <v>1</v>
      </c>
      <c r="J1193">
        <v>6.5205000000000002</v>
      </c>
      <c r="K1193">
        <v>-0.48880000000000001</v>
      </c>
    </row>
    <row r="1194" spans="1:11" x14ac:dyDescent="0.2">
      <c r="A1194">
        <v>75126</v>
      </c>
      <c r="B1194" t="s">
        <v>1369</v>
      </c>
      <c r="C1194" t="str">
        <f t="shared" si="18"/>
        <v>TKLG</v>
      </c>
      <c r="D1194" t="s">
        <v>804</v>
      </c>
      <c r="E1194">
        <v>11</v>
      </c>
      <c r="F1194" t="s">
        <v>840</v>
      </c>
      <c r="G1194">
        <v>1</v>
      </c>
      <c r="H1194" t="s">
        <v>806</v>
      </c>
      <c r="I1194">
        <v>1</v>
      </c>
      <c r="J1194">
        <v>3.6097000000000001</v>
      </c>
      <c r="K1194">
        <v>-0.18740000000000001</v>
      </c>
    </row>
    <row r="1195" spans="1:11" x14ac:dyDescent="0.2">
      <c r="A1195">
        <v>75126</v>
      </c>
      <c r="B1195" t="s">
        <v>1369</v>
      </c>
      <c r="C1195" t="str">
        <f t="shared" si="18"/>
        <v>TKLG</v>
      </c>
      <c r="D1195" t="s">
        <v>807</v>
      </c>
      <c r="E1195">
        <v>11</v>
      </c>
      <c r="F1195" t="s">
        <v>840</v>
      </c>
      <c r="G1195">
        <v>1</v>
      </c>
      <c r="H1195" t="s">
        <v>806</v>
      </c>
      <c r="I1195">
        <v>1</v>
      </c>
      <c r="J1195">
        <v>3.6086999999999998</v>
      </c>
      <c r="K1195">
        <v>-0.1895</v>
      </c>
    </row>
    <row r="1196" spans="1:11" x14ac:dyDescent="0.2">
      <c r="A1196">
        <v>75126</v>
      </c>
      <c r="B1196" t="s">
        <v>1369</v>
      </c>
      <c r="C1196" t="str">
        <f t="shared" si="18"/>
        <v>TKLG</v>
      </c>
      <c r="D1196" t="s">
        <v>808</v>
      </c>
      <c r="E1196">
        <v>11</v>
      </c>
      <c r="F1196" t="s">
        <v>840</v>
      </c>
      <c r="G1196">
        <v>1</v>
      </c>
      <c r="H1196" t="s">
        <v>806</v>
      </c>
      <c r="I1196">
        <v>1</v>
      </c>
      <c r="J1196">
        <v>18.737300000000001</v>
      </c>
      <c r="K1196">
        <v>3.56</v>
      </c>
    </row>
    <row r="1197" spans="1:11" x14ac:dyDescent="0.2">
      <c r="A1197">
        <v>75126</v>
      </c>
      <c r="B1197" t="s">
        <v>1369</v>
      </c>
      <c r="C1197" t="str">
        <f t="shared" si="18"/>
        <v>TKLG</v>
      </c>
      <c r="D1197" t="s">
        <v>809</v>
      </c>
      <c r="E1197">
        <v>11</v>
      </c>
      <c r="F1197" t="s">
        <v>840</v>
      </c>
      <c r="G1197">
        <v>1</v>
      </c>
      <c r="H1197" t="s">
        <v>806</v>
      </c>
      <c r="I1197">
        <v>1</v>
      </c>
      <c r="J1197">
        <v>18.7881</v>
      </c>
      <c r="K1197">
        <v>3.5507</v>
      </c>
    </row>
    <row r="1198" spans="1:11" x14ac:dyDescent="0.2">
      <c r="A1198">
        <v>75133</v>
      </c>
      <c r="B1198" t="s">
        <v>974</v>
      </c>
      <c r="C1198" t="str">
        <f t="shared" si="18"/>
        <v>GMSG</v>
      </c>
      <c r="D1198" t="s">
        <v>804</v>
      </c>
      <c r="E1198">
        <v>12</v>
      </c>
      <c r="F1198" t="s">
        <v>947</v>
      </c>
      <c r="G1198">
        <v>1</v>
      </c>
      <c r="H1198" t="s">
        <v>806</v>
      </c>
      <c r="I1198">
        <v>1</v>
      </c>
      <c r="J1198">
        <v>5.9768999999999997</v>
      </c>
      <c r="K1198">
        <v>0.49909999999999999</v>
      </c>
    </row>
    <row r="1199" spans="1:11" x14ac:dyDescent="0.2">
      <c r="A1199">
        <v>75133</v>
      </c>
      <c r="B1199" t="s">
        <v>974</v>
      </c>
      <c r="C1199" t="str">
        <f t="shared" si="18"/>
        <v>GMSG</v>
      </c>
      <c r="D1199" t="s">
        <v>807</v>
      </c>
      <c r="E1199">
        <v>12</v>
      </c>
      <c r="F1199" t="s">
        <v>947</v>
      </c>
      <c r="G1199">
        <v>1</v>
      </c>
      <c r="H1199" t="s">
        <v>806</v>
      </c>
      <c r="I1199">
        <v>1</v>
      </c>
      <c r="J1199">
        <v>5.9489000000000001</v>
      </c>
      <c r="K1199">
        <v>0.50119999999999998</v>
      </c>
    </row>
    <row r="1200" spans="1:11" x14ac:dyDescent="0.2">
      <c r="A1200">
        <v>75133</v>
      </c>
      <c r="B1200" t="s">
        <v>974</v>
      </c>
      <c r="C1200" t="str">
        <f t="shared" si="18"/>
        <v>GMSG</v>
      </c>
      <c r="D1200" t="s">
        <v>808</v>
      </c>
      <c r="E1200">
        <v>12</v>
      </c>
      <c r="F1200" t="s">
        <v>947</v>
      </c>
      <c r="G1200">
        <v>1</v>
      </c>
      <c r="H1200" t="s">
        <v>806</v>
      </c>
      <c r="I1200">
        <v>1</v>
      </c>
      <c r="J1200">
        <v>6.2378</v>
      </c>
      <c r="K1200">
        <v>-1.0105999999999999</v>
      </c>
    </row>
    <row r="1201" spans="1:11" x14ac:dyDescent="0.2">
      <c r="A1201">
        <v>75133</v>
      </c>
      <c r="B1201" t="s">
        <v>974</v>
      </c>
      <c r="C1201" t="str">
        <f t="shared" si="18"/>
        <v>GMSG</v>
      </c>
      <c r="D1201" t="s">
        <v>809</v>
      </c>
      <c r="E1201">
        <v>12</v>
      </c>
      <c r="F1201" t="s">
        <v>947</v>
      </c>
      <c r="G1201">
        <v>1</v>
      </c>
      <c r="H1201" t="s">
        <v>806</v>
      </c>
      <c r="I1201">
        <v>1</v>
      </c>
      <c r="J1201">
        <v>6.2450999999999999</v>
      </c>
      <c r="K1201">
        <v>-0.99719999999999998</v>
      </c>
    </row>
    <row r="1202" spans="1:11" x14ac:dyDescent="0.2">
      <c r="A1202">
        <v>75206</v>
      </c>
      <c r="B1202" t="s">
        <v>1013</v>
      </c>
      <c r="C1202" t="str">
        <f t="shared" si="18"/>
        <v>JELI</v>
      </c>
      <c r="D1202" t="s">
        <v>804</v>
      </c>
      <c r="E1202">
        <v>12</v>
      </c>
      <c r="F1202" t="s">
        <v>947</v>
      </c>
      <c r="G1202">
        <v>1</v>
      </c>
      <c r="H1202" t="s">
        <v>806</v>
      </c>
      <c r="I1202">
        <v>1</v>
      </c>
      <c r="J1202">
        <v>6.3818000000000001</v>
      </c>
      <c r="K1202">
        <v>-1.4559</v>
      </c>
    </row>
    <row r="1203" spans="1:11" x14ac:dyDescent="0.2">
      <c r="A1203">
        <v>75206</v>
      </c>
      <c r="B1203" t="s">
        <v>1013</v>
      </c>
      <c r="C1203" t="str">
        <f t="shared" si="18"/>
        <v>JELI</v>
      </c>
      <c r="D1203" t="s">
        <v>807</v>
      </c>
      <c r="E1203">
        <v>12</v>
      </c>
      <c r="F1203" t="s">
        <v>947</v>
      </c>
      <c r="G1203">
        <v>1</v>
      </c>
      <c r="H1203" t="s">
        <v>806</v>
      </c>
      <c r="I1203">
        <v>1</v>
      </c>
      <c r="J1203">
        <v>6.1704999999999997</v>
      </c>
      <c r="K1203">
        <v>-2.0823999999999998</v>
      </c>
    </row>
    <row r="1204" spans="1:11" x14ac:dyDescent="0.2">
      <c r="A1204">
        <v>75112</v>
      </c>
      <c r="B1204" t="s">
        <v>1028</v>
      </c>
      <c r="C1204" t="str">
        <f t="shared" si="18"/>
        <v>KBRU</v>
      </c>
      <c r="D1204" t="s">
        <v>804</v>
      </c>
      <c r="E1204">
        <v>12</v>
      </c>
      <c r="F1204" t="s">
        <v>947</v>
      </c>
      <c r="G1204">
        <v>1</v>
      </c>
      <c r="H1204" t="s">
        <v>806</v>
      </c>
      <c r="I1204">
        <v>1</v>
      </c>
      <c r="J1204">
        <v>25.575800000000001</v>
      </c>
      <c r="K1204">
        <v>-4.2527999999999997</v>
      </c>
    </row>
    <row r="1205" spans="1:11" x14ac:dyDescent="0.2">
      <c r="A1205">
        <v>75112</v>
      </c>
      <c r="B1205" t="s">
        <v>1028</v>
      </c>
      <c r="C1205" t="str">
        <f t="shared" si="18"/>
        <v>KBRU</v>
      </c>
      <c r="D1205" t="s">
        <v>807</v>
      </c>
      <c r="E1205">
        <v>12</v>
      </c>
      <c r="F1205" t="s">
        <v>947</v>
      </c>
      <c r="G1205">
        <v>1</v>
      </c>
      <c r="H1205" t="s">
        <v>806</v>
      </c>
      <c r="I1205">
        <v>1</v>
      </c>
      <c r="J1205">
        <v>15.169</v>
      </c>
      <c r="K1205">
        <v>2.7957999999999998</v>
      </c>
    </row>
    <row r="1206" spans="1:11" x14ac:dyDescent="0.2">
      <c r="A1206">
        <v>75112</v>
      </c>
      <c r="B1206" t="s">
        <v>1028</v>
      </c>
      <c r="C1206" t="str">
        <f t="shared" si="18"/>
        <v>KBRU</v>
      </c>
      <c r="D1206" t="s">
        <v>808</v>
      </c>
      <c r="E1206">
        <v>12</v>
      </c>
      <c r="F1206" t="s">
        <v>947</v>
      </c>
      <c r="G1206">
        <v>1</v>
      </c>
      <c r="H1206" t="s">
        <v>806</v>
      </c>
      <c r="I1206">
        <v>1</v>
      </c>
      <c r="J1206">
        <v>24.926500000000001</v>
      </c>
      <c r="K1206">
        <v>10.201700000000001</v>
      </c>
    </row>
    <row r="1207" spans="1:11" x14ac:dyDescent="0.2">
      <c r="A1207">
        <v>75112</v>
      </c>
      <c r="B1207" t="s">
        <v>1028</v>
      </c>
      <c r="C1207" t="str">
        <f t="shared" si="18"/>
        <v>KBRU</v>
      </c>
      <c r="D1207" t="s">
        <v>809</v>
      </c>
      <c r="E1207">
        <v>12</v>
      </c>
      <c r="F1207" t="s">
        <v>947</v>
      </c>
      <c r="G1207">
        <v>1</v>
      </c>
      <c r="H1207" t="s">
        <v>806</v>
      </c>
      <c r="I1207">
        <v>1</v>
      </c>
      <c r="J1207">
        <v>8.5345999999999993</v>
      </c>
      <c r="K1207">
        <v>1.4248000000000001</v>
      </c>
    </row>
    <row r="1208" spans="1:11" x14ac:dyDescent="0.2">
      <c r="A1208">
        <v>75112</v>
      </c>
      <c r="B1208" t="s">
        <v>1028</v>
      </c>
      <c r="C1208" t="str">
        <f t="shared" si="18"/>
        <v>KBRU</v>
      </c>
      <c r="D1208" t="s">
        <v>810</v>
      </c>
      <c r="E1208">
        <v>12</v>
      </c>
      <c r="F1208" t="s">
        <v>947</v>
      </c>
      <c r="G1208">
        <v>1</v>
      </c>
      <c r="H1208" t="s">
        <v>806</v>
      </c>
      <c r="I1208">
        <v>1</v>
      </c>
      <c r="J1208">
        <v>24.981400000000001</v>
      </c>
      <c r="K1208">
        <v>10.213100000000001</v>
      </c>
    </row>
    <row r="1209" spans="1:11" x14ac:dyDescent="0.2">
      <c r="A1209">
        <v>75131</v>
      </c>
      <c r="B1209" t="s">
        <v>1033</v>
      </c>
      <c r="C1209" t="str">
        <f t="shared" si="18"/>
        <v>KDIS</v>
      </c>
      <c r="D1209" t="s">
        <v>804</v>
      </c>
      <c r="E1209">
        <v>12</v>
      </c>
      <c r="F1209" t="s">
        <v>947</v>
      </c>
      <c r="G1209">
        <v>1</v>
      </c>
      <c r="H1209" t="s">
        <v>806</v>
      </c>
      <c r="I1209">
        <v>1</v>
      </c>
      <c r="J1209">
        <v>17.123000000000001</v>
      </c>
      <c r="K1209">
        <v>1.1815</v>
      </c>
    </row>
    <row r="1210" spans="1:11" x14ac:dyDescent="0.2">
      <c r="A1210">
        <v>75131</v>
      </c>
      <c r="B1210" t="s">
        <v>1033</v>
      </c>
      <c r="C1210" t="str">
        <f t="shared" si="18"/>
        <v>KDIS</v>
      </c>
      <c r="D1210" t="s">
        <v>807</v>
      </c>
      <c r="E1210">
        <v>12</v>
      </c>
      <c r="F1210" t="s">
        <v>947</v>
      </c>
      <c r="G1210">
        <v>1</v>
      </c>
      <c r="H1210" t="s">
        <v>806</v>
      </c>
      <c r="I1210">
        <v>1</v>
      </c>
      <c r="J1210">
        <v>17.0764</v>
      </c>
      <c r="K1210">
        <v>1.1762999999999999</v>
      </c>
    </row>
    <row r="1211" spans="1:11" x14ac:dyDescent="0.2">
      <c r="A1211">
        <v>75113</v>
      </c>
      <c r="B1211" t="s">
        <v>1050</v>
      </c>
      <c r="C1211" t="str">
        <f t="shared" si="18"/>
        <v>KKRI</v>
      </c>
      <c r="D1211" t="s">
        <v>804</v>
      </c>
      <c r="E1211">
        <v>12</v>
      </c>
      <c r="F1211" t="s">
        <v>947</v>
      </c>
      <c r="G1211">
        <v>1</v>
      </c>
      <c r="H1211" t="s">
        <v>806</v>
      </c>
      <c r="I1211">
        <v>1</v>
      </c>
      <c r="J1211">
        <v>8.8556000000000008</v>
      </c>
      <c r="K1211">
        <v>1.0738000000000001</v>
      </c>
    </row>
    <row r="1212" spans="1:11" x14ac:dyDescent="0.2">
      <c r="A1212">
        <v>75113</v>
      </c>
      <c r="B1212" t="s">
        <v>1050</v>
      </c>
      <c r="C1212" t="str">
        <f t="shared" si="18"/>
        <v>KKRI</v>
      </c>
      <c r="D1212" t="s">
        <v>807</v>
      </c>
      <c r="E1212">
        <v>12</v>
      </c>
      <c r="F1212" t="s">
        <v>947</v>
      </c>
      <c r="G1212">
        <v>1</v>
      </c>
      <c r="H1212" t="s">
        <v>806</v>
      </c>
      <c r="I1212">
        <v>1</v>
      </c>
      <c r="J1212">
        <v>8.7934999999999999</v>
      </c>
      <c r="K1212">
        <v>1.0541</v>
      </c>
    </row>
    <row r="1213" spans="1:11" x14ac:dyDescent="0.2">
      <c r="A1213">
        <v>75132</v>
      </c>
      <c r="B1213" t="s">
        <v>1125</v>
      </c>
      <c r="C1213" t="str">
        <f t="shared" si="18"/>
        <v>LMAL</v>
      </c>
      <c r="D1213" t="s">
        <v>804</v>
      </c>
      <c r="E1213">
        <v>12</v>
      </c>
      <c r="F1213" t="s">
        <v>947</v>
      </c>
      <c r="G1213">
        <v>1</v>
      </c>
      <c r="H1213" t="s">
        <v>806</v>
      </c>
      <c r="I1213">
        <v>1</v>
      </c>
      <c r="J1213">
        <v>38.821899999999999</v>
      </c>
      <c r="K1213">
        <v>7.7797000000000001</v>
      </c>
    </row>
    <row r="1214" spans="1:11" x14ac:dyDescent="0.2">
      <c r="A1214">
        <v>75132</v>
      </c>
      <c r="B1214" t="s">
        <v>1125</v>
      </c>
      <c r="C1214" t="str">
        <f t="shared" si="18"/>
        <v>LMAL</v>
      </c>
      <c r="D1214" t="s">
        <v>807</v>
      </c>
      <c r="E1214">
        <v>12</v>
      </c>
      <c r="F1214" t="s">
        <v>947</v>
      </c>
      <c r="G1214">
        <v>1</v>
      </c>
      <c r="H1214" t="s">
        <v>806</v>
      </c>
      <c r="I1214">
        <v>1</v>
      </c>
      <c r="J1214">
        <v>38.488500000000002</v>
      </c>
      <c r="K1214">
        <v>7.7858999999999998</v>
      </c>
    </row>
    <row r="1215" spans="1:11" x14ac:dyDescent="0.2">
      <c r="A1215">
        <v>75947</v>
      </c>
      <c r="B1215" t="s">
        <v>1130</v>
      </c>
      <c r="C1215" t="str">
        <f t="shared" si="18"/>
        <v>MALS</v>
      </c>
      <c r="D1215" t="s">
        <v>869</v>
      </c>
      <c r="E1215">
        <v>12</v>
      </c>
      <c r="F1215" t="s">
        <v>947</v>
      </c>
      <c r="G1215">
        <v>1</v>
      </c>
      <c r="H1215" t="s">
        <v>806</v>
      </c>
      <c r="I1215">
        <v>1</v>
      </c>
      <c r="J1215">
        <v>0</v>
      </c>
      <c r="K1215">
        <v>0</v>
      </c>
    </row>
    <row r="1216" spans="1:11" x14ac:dyDescent="0.2">
      <c r="A1216">
        <v>75129</v>
      </c>
      <c r="B1216" t="s">
        <v>1197</v>
      </c>
      <c r="C1216" t="str">
        <f t="shared" si="18"/>
        <v>PCOR</v>
      </c>
      <c r="D1216" t="s">
        <v>807</v>
      </c>
      <c r="E1216">
        <v>12</v>
      </c>
      <c r="F1216" t="s">
        <v>947</v>
      </c>
      <c r="G1216">
        <v>1</v>
      </c>
      <c r="H1216" t="s">
        <v>806</v>
      </c>
      <c r="I1216">
        <v>1</v>
      </c>
      <c r="J1216">
        <v>38.965800000000002</v>
      </c>
      <c r="K1216">
        <v>5.8609</v>
      </c>
    </row>
    <row r="1217" spans="1:11" x14ac:dyDescent="0.2">
      <c r="A1217">
        <v>75129</v>
      </c>
      <c r="B1217" t="s">
        <v>1197</v>
      </c>
      <c r="C1217" t="str">
        <f t="shared" si="18"/>
        <v>PCOR</v>
      </c>
      <c r="D1217" t="s">
        <v>808</v>
      </c>
      <c r="E1217">
        <v>12</v>
      </c>
      <c r="F1217" t="s">
        <v>947</v>
      </c>
      <c r="G1217">
        <v>1</v>
      </c>
      <c r="H1217" t="s">
        <v>806</v>
      </c>
      <c r="I1217">
        <v>1</v>
      </c>
      <c r="J1217">
        <v>32.940199999999997</v>
      </c>
      <c r="K1217">
        <v>16.972899999999999</v>
      </c>
    </row>
    <row r="1218" spans="1:11" x14ac:dyDescent="0.2">
      <c r="A1218">
        <v>75129</v>
      </c>
      <c r="B1218" t="s">
        <v>1197</v>
      </c>
      <c r="C1218" t="str">
        <f t="shared" si="18"/>
        <v>PCOR</v>
      </c>
      <c r="D1218" t="s">
        <v>809</v>
      </c>
      <c r="E1218">
        <v>12</v>
      </c>
      <c r="F1218" t="s">
        <v>947</v>
      </c>
      <c r="G1218">
        <v>1</v>
      </c>
      <c r="H1218" t="s">
        <v>806</v>
      </c>
      <c r="I1218">
        <v>1</v>
      </c>
      <c r="J1218">
        <v>29.625599999999999</v>
      </c>
      <c r="K1218">
        <v>-4.7975000000000003</v>
      </c>
    </row>
    <row r="1219" spans="1:11" x14ac:dyDescent="0.2">
      <c r="A1219">
        <v>75208</v>
      </c>
      <c r="B1219" t="s">
        <v>1201</v>
      </c>
      <c r="C1219" t="str">
        <f t="shared" ref="C1219:C1282" si="19">LEFT(B1219,4)</f>
        <v>PGAU</v>
      </c>
      <c r="D1219" t="s">
        <v>1202</v>
      </c>
      <c r="E1219">
        <v>12</v>
      </c>
      <c r="F1219" t="s">
        <v>947</v>
      </c>
      <c r="G1219">
        <v>1</v>
      </c>
      <c r="H1219" t="s">
        <v>806</v>
      </c>
      <c r="I1219">
        <v>1</v>
      </c>
      <c r="J1219">
        <v>0</v>
      </c>
      <c r="K1219">
        <v>0</v>
      </c>
    </row>
    <row r="1220" spans="1:11" x14ac:dyDescent="0.2">
      <c r="A1220">
        <v>75208</v>
      </c>
      <c r="B1220" t="s">
        <v>1201</v>
      </c>
      <c r="C1220" t="str">
        <f t="shared" si="19"/>
        <v>PGAU</v>
      </c>
      <c r="D1220" t="s">
        <v>1203</v>
      </c>
      <c r="E1220">
        <v>12</v>
      </c>
      <c r="F1220" t="s">
        <v>947</v>
      </c>
      <c r="G1220">
        <v>1</v>
      </c>
      <c r="H1220" t="s">
        <v>806</v>
      </c>
      <c r="I1220">
        <v>1</v>
      </c>
      <c r="J1220">
        <v>0</v>
      </c>
      <c r="K1220">
        <v>0</v>
      </c>
    </row>
    <row r="1221" spans="1:11" x14ac:dyDescent="0.2">
      <c r="A1221">
        <v>75114</v>
      </c>
      <c r="B1221" t="s">
        <v>1237</v>
      </c>
      <c r="C1221" t="str">
        <f t="shared" si="19"/>
        <v>PPTH</v>
      </c>
      <c r="D1221" t="s">
        <v>804</v>
      </c>
      <c r="E1221">
        <v>12</v>
      </c>
      <c r="F1221" t="s">
        <v>947</v>
      </c>
      <c r="G1221">
        <v>1</v>
      </c>
      <c r="H1221" t="s">
        <v>806</v>
      </c>
      <c r="I1221">
        <v>1</v>
      </c>
      <c r="J1221">
        <v>19.610299999999999</v>
      </c>
      <c r="K1221">
        <v>2.9790999999999999</v>
      </c>
    </row>
    <row r="1222" spans="1:11" x14ac:dyDescent="0.2">
      <c r="A1222">
        <v>75114</v>
      </c>
      <c r="B1222" t="s">
        <v>1237</v>
      </c>
      <c r="C1222" t="str">
        <f t="shared" si="19"/>
        <v>PPTH</v>
      </c>
      <c r="D1222" t="s">
        <v>807</v>
      </c>
      <c r="E1222">
        <v>12</v>
      </c>
      <c r="F1222" t="s">
        <v>947</v>
      </c>
      <c r="G1222">
        <v>1</v>
      </c>
      <c r="H1222" t="s">
        <v>806</v>
      </c>
      <c r="I1222">
        <v>1</v>
      </c>
      <c r="J1222">
        <v>19.122599999999998</v>
      </c>
      <c r="K1222">
        <v>2.1652</v>
      </c>
    </row>
    <row r="1223" spans="1:11" x14ac:dyDescent="0.2">
      <c r="A1223">
        <v>75134</v>
      </c>
      <c r="B1223" t="s">
        <v>1260</v>
      </c>
      <c r="C1223" t="str">
        <f t="shared" si="19"/>
        <v>RPJG</v>
      </c>
      <c r="D1223" t="s">
        <v>804</v>
      </c>
      <c r="E1223">
        <v>12</v>
      </c>
      <c r="F1223" t="s">
        <v>947</v>
      </c>
      <c r="G1223">
        <v>1</v>
      </c>
      <c r="H1223" t="s">
        <v>806</v>
      </c>
      <c r="I1223">
        <v>1</v>
      </c>
      <c r="J1223">
        <v>6.3258999999999999</v>
      </c>
      <c r="K1223">
        <v>-1.1919</v>
      </c>
    </row>
    <row r="1224" spans="1:11" x14ac:dyDescent="0.2">
      <c r="A1224">
        <v>75134</v>
      </c>
      <c r="B1224" t="s">
        <v>1260</v>
      </c>
      <c r="C1224" t="str">
        <f t="shared" si="19"/>
        <v>RPJG</v>
      </c>
      <c r="D1224" t="s">
        <v>807</v>
      </c>
      <c r="E1224">
        <v>12</v>
      </c>
      <c r="F1224" t="s">
        <v>947</v>
      </c>
      <c r="G1224">
        <v>1</v>
      </c>
      <c r="H1224" t="s">
        <v>806</v>
      </c>
      <c r="I1224">
        <v>1</v>
      </c>
      <c r="J1224">
        <v>6.1818999999999997</v>
      </c>
      <c r="K1224">
        <v>-0.7</v>
      </c>
    </row>
    <row r="1225" spans="1:11" x14ac:dyDescent="0.2">
      <c r="A1225">
        <v>75106</v>
      </c>
      <c r="B1225" t="s">
        <v>1298</v>
      </c>
      <c r="C1225" t="str">
        <f t="shared" si="19"/>
        <v>SJTH</v>
      </c>
      <c r="D1225" t="s">
        <v>804</v>
      </c>
      <c r="E1225">
        <v>12</v>
      </c>
      <c r="F1225" t="s">
        <v>947</v>
      </c>
      <c r="G1225">
        <v>1</v>
      </c>
      <c r="H1225" t="s">
        <v>806</v>
      </c>
      <c r="I1225">
        <v>1</v>
      </c>
      <c r="J1225">
        <v>21.3261</v>
      </c>
      <c r="K1225">
        <v>-2.2284000000000002</v>
      </c>
    </row>
    <row r="1226" spans="1:11" x14ac:dyDescent="0.2">
      <c r="A1226">
        <v>75106</v>
      </c>
      <c r="B1226" t="s">
        <v>1298</v>
      </c>
      <c r="C1226" t="str">
        <f t="shared" si="19"/>
        <v>SJTH</v>
      </c>
      <c r="D1226" t="s">
        <v>807</v>
      </c>
      <c r="E1226">
        <v>12</v>
      </c>
      <c r="F1226" t="s">
        <v>947</v>
      </c>
      <c r="G1226">
        <v>1</v>
      </c>
      <c r="H1226" t="s">
        <v>806</v>
      </c>
      <c r="I1226">
        <v>1</v>
      </c>
      <c r="J1226">
        <v>21.5291</v>
      </c>
      <c r="K1226">
        <v>-2.2252999999999998</v>
      </c>
    </row>
    <row r="1227" spans="1:11" x14ac:dyDescent="0.2">
      <c r="A1227">
        <v>75106</v>
      </c>
      <c r="B1227" t="s">
        <v>1298</v>
      </c>
      <c r="C1227" t="str">
        <f t="shared" si="19"/>
        <v>SJTH</v>
      </c>
      <c r="D1227" t="s">
        <v>810</v>
      </c>
      <c r="E1227">
        <v>12</v>
      </c>
      <c r="F1227" t="s">
        <v>947</v>
      </c>
      <c r="G1227">
        <v>1</v>
      </c>
      <c r="H1227" t="s">
        <v>806</v>
      </c>
      <c r="I1227">
        <v>1</v>
      </c>
      <c r="J1227">
        <v>14.891500000000001</v>
      </c>
      <c r="K1227">
        <v>-0.25369999999999998</v>
      </c>
    </row>
    <row r="1228" spans="1:11" x14ac:dyDescent="0.2">
      <c r="A1228">
        <v>75127</v>
      </c>
      <c r="B1228" t="s">
        <v>1364</v>
      </c>
      <c r="C1228" t="str">
        <f t="shared" si="19"/>
        <v>TJUG</v>
      </c>
      <c r="D1228" t="s">
        <v>804</v>
      </c>
      <c r="E1228">
        <v>12</v>
      </c>
      <c r="F1228" t="s">
        <v>947</v>
      </c>
      <c r="G1228">
        <v>1</v>
      </c>
      <c r="H1228" t="s">
        <v>806</v>
      </c>
      <c r="I1228">
        <v>1</v>
      </c>
      <c r="J1228">
        <v>26.621600000000001</v>
      </c>
      <c r="K1228">
        <v>2.0969000000000002</v>
      </c>
    </row>
    <row r="1229" spans="1:11" x14ac:dyDescent="0.2">
      <c r="A1229">
        <v>75127</v>
      </c>
      <c r="B1229" t="s">
        <v>1364</v>
      </c>
      <c r="C1229" t="str">
        <f t="shared" si="19"/>
        <v>TJUG</v>
      </c>
      <c r="D1229" t="s">
        <v>807</v>
      </c>
      <c r="E1229">
        <v>12</v>
      </c>
      <c r="F1229" t="s">
        <v>947</v>
      </c>
      <c r="G1229">
        <v>1</v>
      </c>
      <c r="H1229" t="s">
        <v>806</v>
      </c>
      <c r="I1229">
        <v>1</v>
      </c>
      <c r="J1229">
        <v>30.404299999999999</v>
      </c>
      <c r="K1229">
        <v>4.5883000000000003</v>
      </c>
    </row>
    <row r="1230" spans="1:11" x14ac:dyDescent="0.2">
      <c r="A1230">
        <v>75101</v>
      </c>
      <c r="B1230" t="s">
        <v>1380</v>
      </c>
      <c r="C1230" t="str">
        <f t="shared" si="19"/>
        <v>TMRH</v>
      </c>
      <c r="D1230" t="s">
        <v>804</v>
      </c>
      <c r="E1230">
        <v>12</v>
      </c>
      <c r="F1230" t="s">
        <v>947</v>
      </c>
      <c r="G1230">
        <v>1</v>
      </c>
      <c r="H1230" t="s">
        <v>806</v>
      </c>
      <c r="I1230">
        <v>1</v>
      </c>
      <c r="J1230">
        <v>0</v>
      </c>
      <c r="K1230">
        <v>0</v>
      </c>
    </row>
    <row r="1231" spans="1:11" x14ac:dyDescent="0.2">
      <c r="A1231">
        <v>75101</v>
      </c>
      <c r="B1231" t="s">
        <v>1380</v>
      </c>
      <c r="C1231" t="str">
        <f t="shared" si="19"/>
        <v>TMRH</v>
      </c>
      <c r="D1231" t="s">
        <v>807</v>
      </c>
      <c r="E1231">
        <v>12</v>
      </c>
      <c r="F1231" t="s">
        <v>947</v>
      </c>
      <c r="G1231">
        <v>1</v>
      </c>
      <c r="H1231" t="s">
        <v>806</v>
      </c>
      <c r="I1231">
        <v>1</v>
      </c>
      <c r="J1231">
        <v>33.808999999999997</v>
      </c>
      <c r="K1231">
        <v>4.9207000000000001</v>
      </c>
    </row>
    <row r="1232" spans="1:11" x14ac:dyDescent="0.2">
      <c r="A1232">
        <v>75101</v>
      </c>
      <c r="B1232" t="s">
        <v>1380</v>
      </c>
      <c r="C1232" t="str">
        <f t="shared" si="19"/>
        <v>TMRH</v>
      </c>
      <c r="D1232" t="s">
        <v>808</v>
      </c>
      <c r="E1232">
        <v>12</v>
      </c>
      <c r="F1232" t="s">
        <v>947</v>
      </c>
      <c r="G1232">
        <v>1</v>
      </c>
      <c r="H1232" t="s">
        <v>806</v>
      </c>
      <c r="I1232">
        <v>1</v>
      </c>
      <c r="J1232">
        <v>34.047199999999997</v>
      </c>
      <c r="K1232">
        <v>5.0004</v>
      </c>
    </row>
    <row r="1233" spans="1:11" x14ac:dyDescent="0.2">
      <c r="A1233">
        <v>61103</v>
      </c>
      <c r="B1233" t="s">
        <v>1350</v>
      </c>
      <c r="C1233" t="str">
        <f t="shared" si="19"/>
        <v>TEWA</v>
      </c>
      <c r="D1233" t="s">
        <v>804</v>
      </c>
      <c r="E1233">
        <v>15</v>
      </c>
      <c r="F1233" t="s">
        <v>1030</v>
      </c>
      <c r="G1233">
        <v>1</v>
      </c>
      <c r="H1233" t="s">
        <v>806</v>
      </c>
      <c r="I1233">
        <v>1</v>
      </c>
      <c r="J1233">
        <v>0</v>
      </c>
      <c r="K1233">
        <v>0</v>
      </c>
    </row>
    <row r="1234" spans="1:11" x14ac:dyDescent="0.2">
      <c r="A1234">
        <v>61103</v>
      </c>
      <c r="B1234" t="s">
        <v>1350</v>
      </c>
      <c r="C1234" t="str">
        <f t="shared" si="19"/>
        <v>TEWA</v>
      </c>
      <c r="D1234" t="s">
        <v>807</v>
      </c>
      <c r="E1234">
        <v>15</v>
      </c>
      <c r="F1234" t="s">
        <v>1030</v>
      </c>
      <c r="G1234">
        <v>1</v>
      </c>
      <c r="H1234" t="s">
        <v>806</v>
      </c>
      <c r="I1234">
        <v>1</v>
      </c>
      <c r="J1234">
        <v>33.288200000000003</v>
      </c>
      <c r="K1234">
        <v>-6.3952</v>
      </c>
    </row>
    <row r="1235" spans="1:11" x14ac:dyDescent="0.2">
      <c r="A1235">
        <v>61125</v>
      </c>
      <c r="B1235" t="s">
        <v>1399</v>
      </c>
      <c r="C1235" t="str">
        <f t="shared" si="19"/>
        <v>UMKA</v>
      </c>
      <c r="D1235" t="s">
        <v>804</v>
      </c>
      <c r="E1235">
        <v>15</v>
      </c>
      <c r="F1235" t="s">
        <v>1030</v>
      </c>
      <c r="G1235">
        <v>1</v>
      </c>
      <c r="H1235" t="s">
        <v>806</v>
      </c>
      <c r="I1235">
        <v>1</v>
      </c>
      <c r="J1235">
        <v>3.7267999999999999</v>
      </c>
      <c r="K1235">
        <v>0.45350000000000001</v>
      </c>
    </row>
    <row r="1236" spans="1:11" x14ac:dyDescent="0.2">
      <c r="A1236">
        <v>61125</v>
      </c>
      <c r="B1236" t="s">
        <v>1399</v>
      </c>
      <c r="C1236" t="str">
        <f t="shared" si="19"/>
        <v>UMKA</v>
      </c>
      <c r="D1236" t="s">
        <v>807</v>
      </c>
      <c r="E1236">
        <v>15</v>
      </c>
      <c r="F1236" t="s">
        <v>1030</v>
      </c>
      <c r="G1236">
        <v>1</v>
      </c>
      <c r="H1236" t="s">
        <v>806</v>
      </c>
      <c r="I1236">
        <v>1</v>
      </c>
      <c r="J1236">
        <v>3.7237</v>
      </c>
      <c r="K1236">
        <v>0.50639999999999996</v>
      </c>
    </row>
    <row r="1237" spans="1:11" x14ac:dyDescent="0.2">
      <c r="A1237">
        <v>61125</v>
      </c>
      <c r="B1237" t="s">
        <v>1399</v>
      </c>
      <c r="C1237" t="str">
        <f t="shared" si="19"/>
        <v>UMKA</v>
      </c>
      <c r="D1237" t="s">
        <v>808</v>
      </c>
      <c r="E1237">
        <v>15</v>
      </c>
      <c r="F1237" t="s">
        <v>1030</v>
      </c>
      <c r="G1237">
        <v>1</v>
      </c>
      <c r="H1237" t="s">
        <v>806</v>
      </c>
      <c r="I1237">
        <v>1</v>
      </c>
      <c r="J1237">
        <v>17.298999999999999</v>
      </c>
      <c r="K1237">
        <v>0.4587</v>
      </c>
    </row>
    <row r="1238" spans="1:11" x14ac:dyDescent="0.2">
      <c r="A1238">
        <v>61125</v>
      </c>
      <c r="B1238" t="s">
        <v>1399</v>
      </c>
      <c r="C1238" t="str">
        <f t="shared" si="19"/>
        <v>UMKA</v>
      </c>
      <c r="D1238" t="s">
        <v>809</v>
      </c>
      <c r="E1238">
        <v>15</v>
      </c>
      <c r="F1238" t="s">
        <v>1030</v>
      </c>
      <c r="G1238">
        <v>1</v>
      </c>
      <c r="H1238" t="s">
        <v>806</v>
      </c>
      <c r="I1238">
        <v>1</v>
      </c>
      <c r="J1238">
        <v>17.1541</v>
      </c>
      <c r="K1238">
        <v>0.47739999999999999</v>
      </c>
    </row>
    <row r="1239" spans="1:11" x14ac:dyDescent="0.2">
      <c r="A1239">
        <v>61114</v>
      </c>
      <c r="B1239" t="s">
        <v>930</v>
      </c>
      <c r="C1239" t="str">
        <f t="shared" si="19"/>
        <v>CIMA</v>
      </c>
      <c r="D1239" t="s">
        <v>823</v>
      </c>
      <c r="E1239">
        <v>1</v>
      </c>
      <c r="F1239" t="s">
        <v>849</v>
      </c>
      <c r="G1239">
        <v>100</v>
      </c>
      <c r="H1239" t="s">
        <v>825</v>
      </c>
      <c r="I1239">
        <v>1</v>
      </c>
      <c r="J1239">
        <v>1.0250999999999999</v>
      </c>
      <c r="K1239">
        <v>0.7248</v>
      </c>
    </row>
    <row r="1240" spans="1:11" x14ac:dyDescent="0.2">
      <c r="A1240">
        <v>61114</v>
      </c>
      <c r="B1240" t="s">
        <v>930</v>
      </c>
      <c r="C1240" t="str">
        <f t="shared" si="19"/>
        <v>CIMA</v>
      </c>
      <c r="D1240" t="s">
        <v>826</v>
      </c>
      <c r="E1240">
        <v>1</v>
      </c>
      <c r="F1240" t="s">
        <v>849</v>
      </c>
      <c r="G1240">
        <v>100</v>
      </c>
      <c r="H1240" t="s">
        <v>825</v>
      </c>
      <c r="I1240">
        <v>1</v>
      </c>
      <c r="J1240">
        <v>16.039899999999999</v>
      </c>
      <c r="K1240">
        <v>7.2691999999999997</v>
      </c>
    </row>
    <row r="1241" spans="1:11" x14ac:dyDescent="0.2">
      <c r="A1241">
        <v>61130</v>
      </c>
      <c r="B1241" t="s">
        <v>1027</v>
      </c>
      <c r="C1241" t="str">
        <f t="shared" si="19"/>
        <v>KBRI</v>
      </c>
      <c r="D1241" t="s">
        <v>823</v>
      </c>
      <c r="E1241">
        <v>1</v>
      </c>
      <c r="F1241" t="s">
        <v>849</v>
      </c>
      <c r="G1241">
        <v>100</v>
      </c>
      <c r="H1241" t="s">
        <v>825</v>
      </c>
      <c r="I1241">
        <v>1</v>
      </c>
      <c r="J1241">
        <v>0.47120000000000001</v>
      </c>
      <c r="K1241">
        <v>0.1118</v>
      </c>
    </row>
    <row r="1242" spans="1:11" x14ac:dyDescent="0.2">
      <c r="A1242">
        <v>61130</v>
      </c>
      <c r="B1242" t="s">
        <v>1027</v>
      </c>
      <c r="C1242" t="str">
        <f t="shared" si="19"/>
        <v>KBRI</v>
      </c>
      <c r="D1242" t="s">
        <v>826</v>
      </c>
      <c r="E1242">
        <v>1</v>
      </c>
      <c r="F1242" t="s">
        <v>849</v>
      </c>
      <c r="G1242">
        <v>100</v>
      </c>
      <c r="H1242" t="s">
        <v>825</v>
      </c>
      <c r="I1242">
        <v>1</v>
      </c>
      <c r="J1242">
        <v>0.46079999999999999</v>
      </c>
      <c r="K1242">
        <v>0.13250000000000001</v>
      </c>
    </row>
    <row r="1243" spans="1:11" x14ac:dyDescent="0.2">
      <c r="A1243">
        <v>61118</v>
      </c>
      <c r="B1243" t="s">
        <v>1042</v>
      </c>
      <c r="C1243" t="str">
        <f t="shared" si="19"/>
        <v>KHTC</v>
      </c>
      <c r="D1243" t="s">
        <v>823</v>
      </c>
      <c r="E1243">
        <v>2</v>
      </c>
      <c r="F1243" t="s">
        <v>820</v>
      </c>
      <c r="G1243">
        <v>100</v>
      </c>
      <c r="H1243" t="s">
        <v>825</v>
      </c>
      <c r="I1243">
        <v>1</v>
      </c>
      <c r="J1243">
        <v>11.719799999999999</v>
      </c>
      <c r="K1243">
        <v>-0.77459999999999996</v>
      </c>
    </row>
    <row r="1244" spans="1:11" x14ac:dyDescent="0.2">
      <c r="A1244">
        <v>61118</v>
      </c>
      <c r="B1244" t="s">
        <v>1042</v>
      </c>
      <c r="C1244" t="str">
        <f t="shared" si="19"/>
        <v>KHTC</v>
      </c>
      <c r="D1244" t="s">
        <v>827</v>
      </c>
      <c r="E1244">
        <v>2</v>
      </c>
      <c r="F1244" t="s">
        <v>820</v>
      </c>
      <c r="G1244">
        <v>100</v>
      </c>
      <c r="H1244" t="s">
        <v>825</v>
      </c>
      <c r="I1244">
        <v>1</v>
      </c>
      <c r="J1244">
        <v>11.869899999999999</v>
      </c>
      <c r="K1244">
        <v>0.62649999999999995</v>
      </c>
    </row>
    <row r="1245" spans="1:11" x14ac:dyDescent="0.2">
      <c r="A1245">
        <v>61118</v>
      </c>
      <c r="B1245" t="s">
        <v>1042</v>
      </c>
      <c r="C1245" t="str">
        <f t="shared" si="19"/>
        <v>KHTC</v>
      </c>
      <c r="D1245" t="s">
        <v>971</v>
      </c>
      <c r="E1245">
        <v>2</v>
      </c>
      <c r="F1245" t="s">
        <v>820</v>
      </c>
      <c r="G1245">
        <v>100</v>
      </c>
      <c r="H1245" t="s">
        <v>825</v>
      </c>
      <c r="I1245">
        <v>1</v>
      </c>
      <c r="J1245">
        <v>0</v>
      </c>
      <c r="K1245">
        <v>0</v>
      </c>
    </row>
    <row r="1246" spans="1:11" x14ac:dyDescent="0.2">
      <c r="A1246">
        <v>1962</v>
      </c>
      <c r="B1246" t="s">
        <v>1043</v>
      </c>
      <c r="C1246" t="str">
        <f t="shared" si="19"/>
        <v>KHTE</v>
      </c>
      <c r="D1246" t="s">
        <v>823</v>
      </c>
      <c r="E1246">
        <v>2</v>
      </c>
      <c r="F1246" t="s">
        <v>820</v>
      </c>
      <c r="G1246">
        <v>100</v>
      </c>
      <c r="H1246" t="s">
        <v>825</v>
      </c>
      <c r="I1246">
        <v>1</v>
      </c>
      <c r="J1246">
        <v>0</v>
      </c>
      <c r="K1246">
        <v>0</v>
      </c>
    </row>
    <row r="1247" spans="1:11" x14ac:dyDescent="0.2">
      <c r="A1247">
        <v>1962</v>
      </c>
      <c r="B1247" t="s">
        <v>1043</v>
      </c>
      <c r="C1247" t="str">
        <f t="shared" si="19"/>
        <v>KHTE</v>
      </c>
      <c r="D1247" t="s">
        <v>826</v>
      </c>
      <c r="E1247">
        <v>2</v>
      </c>
      <c r="F1247" t="s">
        <v>820</v>
      </c>
      <c r="G1247">
        <v>100</v>
      </c>
      <c r="H1247" t="s">
        <v>825</v>
      </c>
      <c r="I1247">
        <v>1</v>
      </c>
      <c r="J1247">
        <v>0</v>
      </c>
      <c r="K1247">
        <v>0</v>
      </c>
    </row>
    <row r="1248" spans="1:11" x14ac:dyDescent="0.2">
      <c r="A1248">
        <v>1962</v>
      </c>
      <c r="B1248" t="s">
        <v>1043</v>
      </c>
      <c r="C1248" t="str">
        <f t="shared" si="19"/>
        <v>KHTE</v>
      </c>
      <c r="D1248" t="s">
        <v>827</v>
      </c>
      <c r="E1248">
        <v>2</v>
      </c>
      <c r="F1248" t="s">
        <v>820</v>
      </c>
      <c r="G1248">
        <v>100</v>
      </c>
      <c r="H1248" t="s">
        <v>825</v>
      </c>
      <c r="I1248">
        <v>1</v>
      </c>
      <c r="J1248">
        <v>0</v>
      </c>
      <c r="K1248">
        <v>0</v>
      </c>
    </row>
    <row r="1249" spans="1:11" x14ac:dyDescent="0.2">
      <c r="A1249">
        <v>1962</v>
      </c>
      <c r="B1249" t="s">
        <v>1043</v>
      </c>
      <c r="C1249" t="str">
        <f t="shared" si="19"/>
        <v>KHTE</v>
      </c>
      <c r="D1249" t="s">
        <v>971</v>
      </c>
      <c r="E1249">
        <v>2</v>
      </c>
      <c r="F1249" t="s">
        <v>820</v>
      </c>
      <c r="G1249">
        <v>100</v>
      </c>
      <c r="H1249" t="s">
        <v>825</v>
      </c>
      <c r="I1249">
        <v>1</v>
      </c>
      <c r="J1249">
        <v>0</v>
      </c>
      <c r="K1249">
        <v>0</v>
      </c>
    </row>
    <row r="1250" spans="1:11" x14ac:dyDescent="0.2">
      <c r="A1250">
        <v>61129</v>
      </c>
      <c r="B1250" t="s">
        <v>1109</v>
      </c>
      <c r="C1250" t="str">
        <f t="shared" si="19"/>
        <v>KTJG</v>
      </c>
      <c r="D1250" t="s">
        <v>823</v>
      </c>
      <c r="E1250">
        <v>2</v>
      </c>
      <c r="F1250" t="s">
        <v>820</v>
      </c>
      <c r="G1250">
        <v>100</v>
      </c>
      <c r="H1250" t="s">
        <v>825</v>
      </c>
      <c r="I1250">
        <v>1</v>
      </c>
      <c r="J1250">
        <v>0.36449999999999999</v>
      </c>
      <c r="K1250">
        <v>5.5899999999999998E-2</v>
      </c>
    </row>
    <row r="1251" spans="1:11" x14ac:dyDescent="0.2">
      <c r="A1251">
        <v>61129</v>
      </c>
      <c r="B1251" t="s">
        <v>1109</v>
      </c>
      <c r="C1251" t="str">
        <f t="shared" si="19"/>
        <v>KTJG</v>
      </c>
      <c r="D1251" t="s">
        <v>826</v>
      </c>
      <c r="E1251">
        <v>2</v>
      </c>
      <c r="F1251" t="s">
        <v>820</v>
      </c>
      <c r="G1251">
        <v>100</v>
      </c>
      <c r="H1251" t="s">
        <v>825</v>
      </c>
      <c r="I1251">
        <v>1</v>
      </c>
      <c r="J1251">
        <v>0.52290000000000003</v>
      </c>
      <c r="K1251">
        <v>-6.0100000000000001E-2</v>
      </c>
    </row>
    <row r="1252" spans="1:11" x14ac:dyDescent="0.2">
      <c r="A1252">
        <v>61134</v>
      </c>
      <c r="B1252" t="s">
        <v>1199</v>
      </c>
      <c r="C1252" t="str">
        <f t="shared" si="19"/>
        <v>PFTZ</v>
      </c>
      <c r="D1252" t="s">
        <v>823</v>
      </c>
      <c r="E1252">
        <v>2</v>
      </c>
      <c r="F1252" t="s">
        <v>820</v>
      </c>
      <c r="G1252">
        <v>100</v>
      </c>
      <c r="H1252" t="s">
        <v>825</v>
      </c>
      <c r="I1252">
        <v>1</v>
      </c>
      <c r="J1252">
        <v>8.2083999999999993</v>
      </c>
      <c r="K1252">
        <v>4.2869999999999999</v>
      </c>
    </row>
    <row r="1253" spans="1:11" x14ac:dyDescent="0.2">
      <c r="A1253">
        <v>61134</v>
      </c>
      <c r="B1253" t="s">
        <v>1199</v>
      </c>
      <c r="C1253" t="str">
        <f t="shared" si="19"/>
        <v>PFTZ</v>
      </c>
      <c r="D1253" t="s">
        <v>826</v>
      </c>
      <c r="E1253">
        <v>2</v>
      </c>
      <c r="F1253" t="s">
        <v>820</v>
      </c>
      <c r="G1253">
        <v>100</v>
      </c>
      <c r="H1253" t="s">
        <v>825</v>
      </c>
      <c r="I1253">
        <v>1</v>
      </c>
      <c r="J1253">
        <v>6.8136000000000001</v>
      </c>
      <c r="K1253">
        <v>3.2317999999999998</v>
      </c>
    </row>
    <row r="1254" spans="1:11" x14ac:dyDescent="0.2">
      <c r="A1254">
        <v>61225</v>
      </c>
      <c r="B1254" t="s">
        <v>1253</v>
      </c>
      <c r="C1254" t="str">
        <f t="shared" si="19"/>
        <v>PWGR</v>
      </c>
      <c r="D1254" t="s">
        <v>823</v>
      </c>
      <c r="E1254">
        <v>2</v>
      </c>
      <c r="F1254" t="s">
        <v>820</v>
      </c>
      <c r="G1254">
        <v>100</v>
      </c>
      <c r="H1254" t="s">
        <v>825</v>
      </c>
      <c r="I1254">
        <v>1</v>
      </c>
      <c r="J1254">
        <v>0</v>
      </c>
      <c r="K1254">
        <v>0</v>
      </c>
    </row>
    <row r="1255" spans="1:11" x14ac:dyDescent="0.2">
      <c r="A1255">
        <v>61225</v>
      </c>
      <c r="B1255" t="s">
        <v>1253</v>
      </c>
      <c r="C1255" t="str">
        <f t="shared" si="19"/>
        <v>PWGR</v>
      </c>
      <c r="D1255" t="s">
        <v>826</v>
      </c>
      <c r="E1255">
        <v>2</v>
      </c>
      <c r="F1255" t="s">
        <v>820</v>
      </c>
      <c r="G1255">
        <v>100</v>
      </c>
      <c r="H1255" t="s">
        <v>825</v>
      </c>
      <c r="I1255">
        <v>1</v>
      </c>
      <c r="J1255">
        <v>0</v>
      </c>
      <c r="K1255">
        <v>0</v>
      </c>
    </row>
    <row r="1256" spans="1:11" x14ac:dyDescent="0.2">
      <c r="A1256">
        <v>62148</v>
      </c>
      <c r="B1256" t="s">
        <v>1000</v>
      </c>
      <c r="C1256" t="str">
        <f t="shared" si="19"/>
        <v>IBDN</v>
      </c>
      <c r="D1256" t="s">
        <v>823</v>
      </c>
      <c r="E1256">
        <v>3</v>
      </c>
      <c r="F1256" t="s">
        <v>845</v>
      </c>
      <c r="G1256">
        <v>100</v>
      </c>
      <c r="H1256" t="s">
        <v>825</v>
      </c>
      <c r="I1256">
        <v>1</v>
      </c>
      <c r="J1256">
        <v>0</v>
      </c>
      <c r="K1256">
        <v>0</v>
      </c>
    </row>
    <row r="1257" spans="1:11" x14ac:dyDescent="0.2">
      <c r="A1257">
        <v>62148</v>
      </c>
      <c r="B1257" t="s">
        <v>1000</v>
      </c>
      <c r="C1257" t="str">
        <f t="shared" si="19"/>
        <v>IBDN</v>
      </c>
      <c r="D1257" t="s">
        <v>826</v>
      </c>
      <c r="E1257">
        <v>3</v>
      </c>
      <c r="F1257" t="s">
        <v>845</v>
      </c>
      <c r="G1257">
        <v>100</v>
      </c>
      <c r="H1257" t="s">
        <v>825</v>
      </c>
      <c r="I1257">
        <v>1</v>
      </c>
      <c r="J1257">
        <v>9.8466000000000005</v>
      </c>
      <c r="K1257">
        <v>3.2214</v>
      </c>
    </row>
    <row r="1258" spans="1:11" x14ac:dyDescent="0.2">
      <c r="A1258">
        <v>62143</v>
      </c>
      <c r="B1258" t="s">
        <v>1004</v>
      </c>
      <c r="C1258" t="str">
        <f t="shared" si="19"/>
        <v>INTL</v>
      </c>
      <c r="D1258" t="s">
        <v>823</v>
      </c>
      <c r="E1258">
        <v>3</v>
      </c>
      <c r="F1258" t="s">
        <v>845</v>
      </c>
      <c r="G1258">
        <v>100</v>
      </c>
      <c r="H1258" t="s">
        <v>825</v>
      </c>
      <c r="I1258">
        <v>1</v>
      </c>
      <c r="J1258">
        <v>2.69E-2</v>
      </c>
      <c r="K1258">
        <v>-6.1100000000000002E-2</v>
      </c>
    </row>
    <row r="1259" spans="1:11" x14ac:dyDescent="0.2">
      <c r="A1259">
        <v>562143</v>
      </c>
      <c r="B1259" t="s">
        <v>1005</v>
      </c>
      <c r="C1259" t="str">
        <f t="shared" si="19"/>
        <v>INTL</v>
      </c>
      <c r="D1259" t="s">
        <v>826</v>
      </c>
      <c r="E1259">
        <v>3</v>
      </c>
      <c r="F1259" t="s">
        <v>845</v>
      </c>
      <c r="G1259">
        <v>100</v>
      </c>
      <c r="H1259" t="s">
        <v>825</v>
      </c>
      <c r="I1259">
        <v>1</v>
      </c>
      <c r="J1259">
        <v>22.467199999999998</v>
      </c>
      <c r="K1259">
        <v>5.5202</v>
      </c>
    </row>
    <row r="1260" spans="1:11" x14ac:dyDescent="0.2">
      <c r="A1260">
        <v>62126</v>
      </c>
      <c r="B1260" t="s">
        <v>1018</v>
      </c>
      <c r="C1260" t="str">
        <f t="shared" si="19"/>
        <v>JNKO</v>
      </c>
      <c r="D1260" t="s">
        <v>823</v>
      </c>
      <c r="E1260">
        <v>3</v>
      </c>
      <c r="F1260" t="s">
        <v>845</v>
      </c>
      <c r="G1260">
        <v>100</v>
      </c>
      <c r="H1260" t="s">
        <v>825</v>
      </c>
      <c r="I1260">
        <v>1</v>
      </c>
      <c r="J1260">
        <v>0.33339999999999997</v>
      </c>
      <c r="K1260">
        <v>-0.40699999999999997</v>
      </c>
    </row>
    <row r="1261" spans="1:11" x14ac:dyDescent="0.2">
      <c r="A1261">
        <v>62126</v>
      </c>
      <c r="B1261" t="s">
        <v>1018</v>
      </c>
      <c r="C1261" t="str">
        <f t="shared" si="19"/>
        <v>JNKO</v>
      </c>
      <c r="D1261" t="s">
        <v>826</v>
      </c>
      <c r="E1261">
        <v>3</v>
      </c>
      <c r="F1261" t="s">
        <v>845</v>
      </c>
      <c r="G1261">
        <v>100</v>
      </c>
      <c r="H1261" t="s">
        <v>825</v>
      </c>
      <c r="I1261">
        <v>1</v>
      </c>
      <c r="J1261">
        <v>3.32E-2</v>
      </c>
      <c r="K1261">
        <v>0.15429999999999999</v>
      </c>
    </row>
    <row r="1262" spans="1:11" x14ac:dyDescent="0.2">
      <c r="A1262">
        <v>61128</v>
      </c>
      <c r="B1262" t="s">
        <v>1041</v>
      </c>
      <c r="C1262" t="str">
        <f t="shared" si="19"/>
        <v>KGRN</v>
      </c>
      <c r="D1262" t="s">
        <v>823</v>
      </c>
      <c r="E1262">
        <v>3</v>
      </c>
      <c r="F1262" t="s">
        <v>845</v>
      </c>
      <c r="G1262">
        <v>100</v>
      </c>
      <c r="H1262" t="s">
        <v>825</v>
      </c>
      <c r="I1262">
        <v>1</v>
      </c>
      <c r="J1262">
        <v>0.84499999999999997</v>
      </c>
      <c r="K1262">
        <v>-6.2100000000000002E-2</v>
      </c>
    </row>
    <row r="1263" spans="1:11" x14ac:dyDescent="0.2">
      <c r="A1263">
        <v>61118</v>
      </c>
      <c r="B1263" t="s">
        <v>1042</v>
      </c>
      <c r="C1263" t="str">
        <f t="shared" si="19"/>
        <v>KHTC</v>
      </c>
      <c r="D1263" t="s">
        <v>826</v>
      </c>
      <c r="E1263">
        <v>3</v>
      </c>
      <c r="F1263" t="s">
        <v>845</v>
      </c>
      <c r="G1263">
        <v>100</v>
      </c>
      <c r="H1263" t="s">
        <v>825</v>
      </c>
      <c r="I1263">
        <v>1</v>
      </c>
      <c r="J1263">
        <v>12.631</v>
      </c>
      <c r="K1263">
        <v>-0.14810000000000001</v>
      </c>
    </row>
    <row r="1264" spans="1:11" x14ac:dyDescent="0.2">
      <c r="A1264">
        <v>62121</v>
      </c>
      <c r="B1264" t="s">
        <v>1093</v>
      </c>
      <c r="C1264" t="str">
        <f t="shared" si="19"/>
        <v>KSMP</v>
      </c>
      <c r="D1264" t="s">
        <v>823</v>
      </c>
      <c r="E1264">
        <v>3</v>
      </c>
      <c r="F1264" t="s">
        <v>845</v>
      </c>
      <c r="G1264">
        <v>100</v>
      </c>
      <c r="H1264" t="s">
        <v>825</v>
      </c>
      <c r="I1264">
        <v>1</v>
      </c>
      <c r="J1264">
        <v>0.83879999999999999</v>
      </c>
      <c r="K1264">
        <v>0.19159999999999999</v>
      </c>
    </row>
    <row r="1265" spans="1:11" x14ac:dyDescent="0.2">
      <c r="A1265">
        <v>62121</v>
      </c>
      <c r="B1265" t="s">
        <v>1093</v>
      </c>
      <c r="C1265" t="str">
        <f t="shared" si="19"/>
        <v>KSMP</v>
      </c>
      <c r="D1265" t="s">
        <v>826</v>
      </c>
      <c r="E1265">
        <v>3</v>
      </c>
      <c r="F1265" t="s">
        <v>845</v>
      </c>
      <c r="G1265">
        <v>100</v>
      </c>
      <c r="H1265" t="s">
        <v>825</v>
      </c>
      <c r="I1265">
        <v>1</v>
      </c>
      <c r="J1265">
        <v>0.2268</v>
      </c>
      <c r="K1265">
        <v>-8.1799999999999998E-2</v>
      </c>
    </row>
    <row r="1266" spans="1:11" x14ac:dyDescent="0.2">
      <c r="A1266">
        <v>62123</v>
      </c>
      <c r="B1266" t="s">
        <v>1106</v>
      </c>
      <c r="C1266" t="str">
        <f t="shared" si="19"/>
        <v>KTGR</v>
      </c>
      <c r="D1266" t="s">
        <v>823</v>
      </c>
      <c r="E1266">
        <v>3</v>
      </c>
      <c r="F1266" t="s">
        <v>845</v>
      </c>
      <c r="G1266">
        <v>100</v>
      </c>
      <c r="H1266" t="s">
        <v>825</v>
      </c>
      <c r="I1266">
        <v>1</v>
      </c>
      <c r="J1266">
        <v>0.64410000000000001</v>
      </c>
      <c r="K1266">
        <v>-0.1077</v>
      </c>
    </row>
    <row r="1267" spans="1:11" x14ac:dyDescent="0.2">
      <c r="A1267">
        <v>62123</v>
      </c>
      <c r="B1267" t="s">
        <v>1106</v>
      </c>
      <c r="C1267" t="str">
        <f t="shared" si="19"/>
        <v>KTGR</v>
      </c>
      <c r="D1267" t="s">
        <v>826</v>
      </c>
      <c r="E1267">
        <v>3</v>
      </c>
      <c r="F1267" t="s">
        <v>845</v>
      </c>
      <c r="G1267">
        <v>100</v>
      </c>
      <c r="H1267" t="s">
        <v>825</v>
      </c>
      <c r="I1267">
        <v>1</v>
      </c>
      <c r="J1267">
        <v>0</v>
      </c>
      <c r="K1267">
        <v>0</v>
      </c>
    </row>
    <row r="1268" spans="1:11" x14ac:dyDescent="0.2">
      <c r="A1268">
        <v>62145</v>
      </c>
      <c r="B1268" t="s">
        <v>1135</v>
      </c>
      <c r="C1268" t="str">
        <f t="shared" si="19"/>
        <v>MCRN</v>
      </c>
      <c r="D1268" t="s">
        <v>823</v>
      </c>
      <c r="E1268">
        <v>3</v>
      </c>
      <c r="F1268" t="s">
        <v>845</v>
      </c>
      <c r="G1268">
        <v>100</v>
      </c>
      <c r="H1268" t="s">
        <v>825</v>
      </c>
      <c r="I1268">
        <v>1</v>
      </c>
      <c r="J1268">
        <v>14.557</v>
      </c>
      <c r="K1268">
        <v>-0.54049999999999998</v>
      </c>
    </row>
    <row r="1269" spans="1:11" x14ac:dyDescent="0.2">
      <c r="A1269">
        <v>62145</v>
      </c>
      <c r="B1269" t="s">
        <v>1135</v>
      </c>
      <c r="C1269" t="str">
        <f t="shared" si="19"/>
        <v>MCRN</v>
      </c>
      <c r="D1269" t="s">
        <v>826</v>
      </c>
      <c r="E1269">
        <v>3</v>
      </c>
      <c r="F1269" t="s">
        <v>845</v>
      </c>
      <c r="G1269">
        <v>100</v>
      </c>
      <c r="H1269" t="s">
        <v>825</v>
      </c>
      <c r="I1269">
        <v>1</v>
      </c>
      <c r="J1269">
        <v>15.2156</v>
      </c>
      <c r="K1269">
        <v>-0.47839999999999999</v>
      </c>
    </row>
    <row r="1270" spans="1:11" x14ac:dyDescent="0.2">
      <c r="A1270">
        <v>62146</v>
      </c>
      <c r="B1270" t="s">
        <v>1169</v>
      </c>
      <c r="C1270" t="str">
        <f t="shared" si="19"/>
        <v>MWTA</v>
      </c>
      <c r="D1270" t="s">
        <v>823</v>
      </c>
      <c r="E1270">
        <v>3</v>
      </c>
      <c r="F1270" t="s">
        <v>845</v>
      </c>
      <c r="G1270">
        <v>100</v>
      </c>
      <c r="H1270" t="s">
        <v>825</v>
      </c>
      <c r="I1270">
        <v>1</v>
      </c>
      <c r="J1270">
        <v>18.363499999999998</v>
      </c>
      <c r="K1270">
        <v>-28.623200000000001</v>
      </c>
    </row>
    <row r="1271" spans="1:11" x14ac:dyDescent="0.2">
      <c r="A1271">
        <v>562146</v>
      </c>
      <c r="B1271" t="s">
        <v>1170</v>
      </c>
      <c r="C1271" t="str">
        <f t="shared" si="19"/>
        <v>MWTA</v>
      </c>
      <c r="D1271" t="s">
        <v>826</v>
      </c>
      <c r="E1271">
        <v>3</v>
      </c>
      <c r="F1271" t="s">
        <v>845</v>
      </c>
      <c r="G1271">
        <v>100</v>
      </c>
      <c r="H1271" t="s">
        <v>825</v>
      </c>
      <c r="I1271">
        <v>1</v>
      </c>
      <c r="J1271">
        <v>35.886200000000002</v>
      </c>
      <c r="K1271">
        <v>16.551400000000001</v>
      </c>
    </row>
    <row r="1272" spans="1:11" x14ac:dyDescent="0.2">
      <c r="A1272">
        <v>62147</v>
      </c>
      <c r="B1272" t="s">
        <v>1266</v>
      </c>
      <c r="C1272" t="str">
        <f t="shared" si="19"/>
        <v>SAND</v>
      </c>
      <c r="D1272" t="s">
        <v>823</v>
      </c>
      <c r="E1272">
        <v>3</v>
      </c>
      <c r="F1272" t="s">
        <v>845</v>
      </c>
      <c r="G1272">
        <v>100</v>
      </c>
      <c r="H1272" t="s">
        <v>825</v>
      </c>
      <c r="I1272">
        <v>1</v>
      </c>
      <c r="J1272">
        <v>10.0578</v>
      </c>
      <c r="K1272">
        <v>3.0827</v>
      </c>
    </row>
    <row r="1273" spans="1:11" x14ac:dyDescent="0.2">
      <c r="A1273">
        <v>62147</v>
      </c>
      <c r="B1273" t="s">
        <v>1266</v>
      </c>
      <c r="C1273" t="str">
        <f t="shared" si="19"/>
        <v>SAND</v>
      </c>
      <c r="D1273" t="s">
        <v>826</v>
      </c>
      <c r="E1273">
        <v>3</v>
      </c>
      <c r="F1273" t="s">
        <v>845</v>
      </c>
      <c r="G1273">
        <v>100</v>
      </c>
      <c r="H1273" t="s">
        <v>825</v>
      </c>
      <c r="I1273">
        <v>1</v>
      </c>
      <c r="J1273">
        <v>8.3772000000000002</v>
      </c>
      <c r="K1273">
        <v>2.6280999999999999</v>
      </c>
    </row>
    <row r="1274" spans="1:11" x14ac:dyDescent="0.2">
      <c r="A1274">
        <v>662144</v>
      </c>
      <c r="B1274" t="s">
        <v>1325</v>
      </c>
      <c r="C1274" t="str">
        <f t="shared" si="19"/>
        <v>SRNW</v>
      </c>
      <c r="D1274" t="s">
        <v>823</v>
      </c>
      <c r="E1274">
        <v>3</v>
      </c>
      <c r="F1274" t="s">
        <v>845</v>
      </c>
      <c r="G1274">
        <v>100</v>
      </c>
      <c r="H1274" t="s">
        <v>825</v>
      </c>
      <c r="I1274">
        <v>1</v>
      </c>
      <c r="J1274">
        <v>11.630699999999999</v>
      </c>
      <c r="K1274">
        <v>3.3622999999999998</v>
      </c>
    </row>
    <row r="1275" spans="1:11" x14ac:dyDescent="0.2">
      <c r="A1275">
        <v>62144</v>
      </c>
      <c r="B1275" t="s">
        <v>1326</v>
      </c>
      <c r="C1275" t="str">
        <f t="shared" si="19"/>
        <v>SRON</v>
      </c>
      <c r="D1275" t="s">
        <v>823</v>
      </c>
      <c r="E1275">
        <v>3</v>
      </c>
      <c r="F1275" t="s">
        <v>845</v>
      </c>
      <c r="G1275">
        <v>100</v>
      </c>
      <c r="H1275" t="s">
        <v>825</v>
      </c>
      <c r="I1275">
        <v>1</v>
      </c>
      <c r="J1275">
        <v>0</v>
      </c>
      <c r="K1275">
        <v>0</v>
      </c>
    </row>
    <row r="1276" spans="1:11" x14ac:dyDescent="0.2">
      <c r="A1276">
        <v>62144</v>
      </c>
      <c r="B1276" t="s">
        <v>1326</v>
      </c>
      <c r="C1276" t="str">
        <f t="shared" si="19"/>
        <v>SRON</v>
      </c>
      <c r="D1276" t="s">
        <v>826</v>
      </c>
      <c r="E1276">
        <v>3</v>
      </c>
      <c r="F1276" t="s">
        <v>845</v>
      </c>
      <c r="G1276">
        <v>100</v>
      </c>
      <c r="H1276" t="s">
        <v>825</v>
      </c>
      <c r="I1276">
        <v>1</v>
      </c>
      <c r="J1276">
        <v>15.246700000000001</v>
      </c>
      <c r="K1276">
        <v>5.4126000000000003</v>
      </c>
    </row>
    <row r="1277" spans="1:11" x14ac:dyDescent="0.2">
      <c r="A1277">
        <v>62144</v>
      </c>
      <c r="B1277" t="s">
        <v>1326</v>
      </c>
      <c r="C1277" t="str">
        <f t="shared" si="19"/>
        <v>SRON</v>
      </c>
      <c r="D1277" t="s">
        <v>827</v>
      </c>
      <c r="E1277">
        <v>3</v>
      </c>
      <c r="F1277" t="s">
        <v>845</v>
      </c>
      <c r="G1277">
        <v>100</v>
      </c>
      <c r="H1277" t="s">
        <v>825</v>
      </c>
      <c r="I1277">
        <v>1</v>
      </c>
      <c r="J1277">
        <v>0</v>
      </c>
      <c r="K1277">
        <v>0</v>
      </c>
    </row>
    <row r="1278" spans="1:11" x14ac:dyDescent="0.2">
      <c r="A1278">
        <v>562144</v>
      </c>
      <c r="B1278" t="s">
        <v>1327</v>
      </c>
      <c r="C1278" t="str">
        <f t="shared" si="19"/>
        <v>SRON</v>
      </c>
      <c r="D1278" t="s">
        <v>827</v>
      </c>
      <c r="E1278">
        <v>3</v>
      </c>
      <c r="F1278" t="s">
        <v>845</v>
      </c>
      <c r="G1278">
        <v>100</v>
      </c>
      <c r="H1278" t="s">
        <v>825</v>
      </c>
      <c r="I1278">
        <v>1</v>
      </c>
      <c r="J1278">
        <v>0</v>
      </c>
      <c r="K1278">
        <v>0</v>
      </c>
    </row>
    <row r="1279" spans="1:11" x14ac:dyDescent="0.2">
      <c r="A1279">
        <v>63137</v>
      </c>
      <c r="B1279" t="s">
        <v>833</v>
      </c>
      <c r="C1279" t="str">
        <f t="shared" si="19"/>
        <v>APMC</v>
      </c>
      <c r="D1279" t="s">
        <v>823</v>
      </c>
      <c r="E1279">
        <v>4</v>
      </c>
      <c r="F1279" t="s">
        <v>834</v>
      </c>
      <c r="G1279">
        <v>100</v>
      </c>
      <c r="H1279" t="s">
        <v>825</v>
      </c>
      <c r="I1279">
        <v>1</v>
      </c>
      <c r="J1279">
        <v>12.0573</v>
      </c>
      <c r="K1279">
        <v>3.8769</v>
      </c>
    </row>
    <row r="1280" spans="1:11" x14ac:dyDescent="0.2">
      <c r="A1280">
        <v>563137</v>
      </c>
      <c r="B1280" t="s">
        <v>835</v>
      </c>
      <c r="C1280" t="str">
        <f t="shared" si="19"/>
        <v>APMC</v>
      </c>
      <c r="D1280" t="s">
        <v>826</v>
      </c>
      <c r="E1280">
        <v>4</v>
      </c>
      <c r="F1280" t="s">
        <v>834</v>
      </c>
      <c r="G1280">
        <v>100</v>
      </c>
      <c r="H1280" t="s">
        <v>825</v>
      </c>
      <c r="I1280">
        <v>1</v>
      </c>
      <c r="J1280">
        <v>10.507199999999999</v>
      </c>
      <c r="K1280">
        <v>4.3842999999999996</v>
      </c>
    </row>
    <row r="1281" spans="1:11" x14ac:dyDescent="0.2">
      <c r="A1281">
        <v>63114</v>
      </c>
      <c r="B1281" t="s">
        <v>998</v>
      </c>
      <c r="C1281" t="str">
        <f t="shared" si="19"/>
        <v>HUME</v>
      </c>
      <c r="D1281" t="s">
        <v>823</v>
      </c>
      <c r="E1281">
        <v>4</v>
      </c>
      <c r="F1281" t="s">
        <v>834</v>
      </c>
      <c r="G1281">
        <v>100</v>
      </c>
      <c r="H1281" t="s">
        <v>825</v>
      </c>
      <c r="I1281">
        <v>1</v>
      </c>
      <c r="J1281">
        <v>6.7596999999999996</v>
      </c>
      <c r="K1281">
        <v>3.2111000000000001</v>
      </c>
    </row>
    <row r="1282" spans="1:11" x14ac:dyDescent="0.2">
      <c r="A1282">
        <v>563114</v>
      </c>
      <c r="B1282" t="s">
        <v>999</v>
      </c>
      <c r="C1282" t="str">
        <f t="shared" si="19"/>
        <v>HUME</v>
      </c>
      <c r="D1282" t="s">
        <v>826</v>
      </c>
      <c r="E1282">
        <v>4</v>
      </c>
      <c r="F1282" t="s">
        <v>834</v>
      </c>
      <c r="G1282">
        <v>100</v>
      </c>
      <c r="H1282" t="s">
        <v>825</v>
      </c>
      <c r="I1282">
        <v>1</v>
      </c>
      <c r="J1282">
        <v>16.840299999999999</v>
      </c>
      <c r="K1282">
        <v>4.4733999999999998</v>
      </c>
    </row>
    <row r="1283" spans="1:11" x14ac:dyDescent="0.2">
      <c r="A1283">
        <v>63110</v>
      </c>
      <c r="B1283" t="s">
        <v>1025</v>
      </c>
      <c r="C1283" t="str">
        <f t="shared" ref="C1283:C1346" si="20">LEFT(B1283,4)</f>
        <v>KBMH</v>
      </c>
      <c r="D1283" t="s">
        <v>823</v>
      </c>
      <c r="E1283">
        <v>4</v>
      </c>
      <c r="F1283" t="s">
        <v>834</v>
      </c>
      <c r="G1283">
        <v>100</v>
      </c>
      <c r="H1283" t="s">
        <v>825</v>
      </c>
      <c r="I1283">
        <v>1</v>
      </c>
      <c r="J1283">
        <v>2.3800000000000002E-2</v>
      </c>
      <c r="K1283">
        <v>-0.12529999999999999</v>
      </c>
    </row>
    <row r="1284" spans="1:11" x14ac:dyDescent="0.2">
      <c r="A1284">
        <v>63110</v>
      </c>
      <c r="B1284" t="s">
        <v>1025</v>
      </c>
      <c r="C1284" t="str">
        <f t="shared" si="20"/>
        <v>KBMH</v>
      </c>
      <c r="D1284" t="s">
        <v>826</v>
      </c>
      <c r="E1284">
        <v>4</v>
      </c>
      <c r="F1284" t="s">
        <v>834</v>
      </c>
      <c r="G1284">
        <v>100</v>
      </c>
      <c r="H1284" t="s">
        <v>825</v>
      </c>
      <c r="I1284">
        <v>1</v>
      </c>
      <c r="J1284">
        <v>0.1336</v>
      </c>
      <c r="K1284">
        <v>-6.9400000000000003E-2</v>
      </c>
    </row>
    <row r="1285" spans="1:11" x14ac:dyDescent="0.2">
      <c r="A1285">
        <v>63199</v>
      </c>
      <c r="B1285" t="s">
        <v>1062</v>
      </c>
      <c r="C1285" t="str">
        <f t="shared" si="20"/>
        <v>KLHT</v>
      </c>
      <c r="D1285" t="s">
        <v>823</v>
      </c>
      <c r="E1285">
        <v>4</v>
      </c>
      <c r="F1285" t="s">
        <v>834</v>
      </c>
      <c r="G1285">
        <v>100</v>
      </c>
      <c r="H1285" t="s">
        <v>825</v>
      </c>
      <c r="I1285">
        <v>1</v>
      </c>
      <c r="J1285">
        <v>0.9879</v>
      </c>
      <c r="K1285">
        <v>0.3241</v>
      </c>
    </row>
    <row r="1286" spans="1:11" x14ac:dyDescent="0.2">
      <c r="A1286">
        <v>63199</v>
      </c>
      <c r="B1286" t="s">
        <v>1062</v>
      </c>
      <c r="C1286" t="str">
        <f t="shared" si="20"/>
        <v>KLHT</v>
      </c>
      <c r="D1286" t="s">
        <v>826</v>
      </c>
      <c r="E1286">
        <v>4</v>
      </c>
      <c r="F1286" t="s">
        <v>834</v>
      </c>
      <c r="G1286">
        <v>100</v>
      </c>
      <c r="H1286" t="s">
        <v>825</v>
      </c>
      <c r="I1286">
        <v>1</v>
      </c>
      <c r="J1286">
        <v>0.82320000000000004</v>
      </c>
      <c r="K1286">
        <v>0.2288</v>
      </c>
    </row>
    <row r="1287" spans="1:11" x14ac:dyDescent="0.2">
      <c r="A1287">
        <v>63197</v>
      </c>
      <c r="B1287" t="s">
        <v>1091</v>
      </c>
      <c r="C1287" t="str">
        <f t="shared" si="20"/>
        <v>KSKI</v>
      </c>
      <c r="D1287" t="s">
        <v>823</v>
      </c>
      <c r="E1287">
        <v>4</v>
      </c>
      <c r="F1287" t="s">
        <v>834</v>
      </c>
      <c r="G1287">
        <v>100</v>
      </c>
      <c r="H1287" t="s">
        <v>825</v>
      </c>
      <c r="I1287">
        <v>1</v>
      </c>
      <c r="J1287">
        <v>1.3720000000000001</v>
      </c>
      <c r="K1287">
        <v>0.26819999999999999</v>
      </c>
    </row>
    <row r="1288" spans="1:11" x14ac:dyDescent="0.2">
      <c r="A1288">
        <v>63108</v>
      </c>
      <c r="B1288" t="s">
        <v>1095</v>
      </c>
      <c r="C1288" t="str">
        <f t="shared" si="20"/>
        <v>KSPT</v>
      </c>
      <c r="D1288" t="s">
        <v>823</v>
      </c>
      <c r="E1288">
        <v>4</v>
      </c>
      <c r="F1288" t="s">
        <v>834</v>
      </c>
      <c r="G1288">
        <v>100</v>
      </c>
      <c r="H1288" t="s">
        <v>825</v>
      </c>
      <c r="I1288">
        <v>1</v>
      </c>
      <c r="J1288">
        <v>0.56330000000000002</v>
      </c>
      <c r="K1288">
        <v>0.12740000000000001</v>
      </c>
    </row>
    <row r="1289" spans="1:11" x14ac:dyDescent="0.2">
      <c r="A1289">
        <v>563108</v>
      </c>
      <c r="B1289" t="s">
        <v>1096</v>
      </c>
      <c r="C1289" t="str">
        <f t="shared" si="20"/>
        <v>KSPT</v>
      </c>
      <c r="D1289" t="s">
        <v>826</v>
      </c>
      <c r="E1289">
        <v>4</v>
      </c>
      <c r="F1289" t="s">
        <v>834</v>
      </c>
      <c r="G1289">
        <v>100</v>
      </c>
      <c r="H1289" t="s">
        <v>825</v>
      </c>
      <c r="I1289">
        <v>1</v>
      </c>
      <c r="J1289">
        <v>0.86260000000000003</v>
      </c>
      <c r="K1289">
        <v>0.19670000000000001</v>
      </c>
    </row>
    <row r="1290" spans="1:11" x14ac:dyDescent="0.2">
      <c r="A1290">
        <v>63109</v>
      </c>
      <c r="B1290" t="s">
        <v>1110</v>
      </c>
      <c r="C1290" t="str">
        <f t="shared" si="20"/>
        <v>KTPG</v>
      </c>
      <c r="D1290" t="s">
        <v>823</v>
      </c>
      <c r="E1290">
        <v>4</v>
      </c>
      <c r="F1290" t="s">
        <v>834</v>
      </c>
      <c r="G1290">
        <v>100</v>
      </c>
      <c r="H1290" t="s">
        <v>825</v>
      </c>
      <c r="I1290">
        <v>1</v>
      </c>
      <c r="J1290">
        <v>0.18640000000000001</v>
      </c>
      <c r="K1290">
        <v>-0.12429999999999999</v>
      </c>
    </row>
    <row r="1291" spans="1:11" x14ac:dyDescent="0.2">
      <c r="A1291">
        <v>63109</v>
      </c>
      <c r="B1291" t="s">
        <v>1110</v>
      </c>
      <c r="C1291" t="str">
        <f t="shared" si="20"/>
        <v>KTPG</v>
      </c>
      <c r="D1291" t="s">
        <v>826</v>
      </c>
      <c r="E1291">
        <v>4</v>
      </c>
      <c r="F1291" t="s">
        <v>834</v>
      </c>
      <c r="G1291">
        <v>100</v>
      </c>
      <c r="H1291" t="s">
        <v>825</v>
      </c>
      <c r="I1291">
        <v>1</v>
      </c>
      <c r="J1291">
        <v>0.20710000000000001</v>
      </c>
      <c r="K1291">
        <v>-7.2499999999999995E-2</v>
      </c>
    </row>
    <row r="1292" spans="1:11" x14ac:dyDescent="0.2">
      <c r="A1292">
        <v>63122</v>
      </c>
      <c r="B1292" t="s">
        <v>1211</v>
      </c>
      <c r="C1292" t="str">
        <f t="shared" si="20"/>
        <v>PHCT</v>
      </c>
      <c r="D1292" t="s">
        <v>823</v>
      </c>
      <c r="E1292">
        <v>4</v>
      </c>
      <c r="F1292" t="s">
        <v>834</v>
      </c>
      <c r="G1292">
        <v>100</v>
      </c>
      <c r="H1292" t="s">
        <v>825</v>
      </c>
      <c r="I1292">
        <v>1</v>
      </c>
      <c r="J1292">
        <v>8.3056999999999999</v>
      </c>
      <c r="K1292">
        <v>4.6069000000000004</v>
      </c>
    </row>
    <row r="1293" spans="1:11" x14ac:dyDescent="0.2">
      <c r="A1293">
        <v>63122</v>
      </c>
      <c r="B1293" t="s">
        <v>1211</v>
      </c>
      <c r="C1293" t="str">
        <f t="shared" si="20"/>
        <v>PHCT</v>
      </c>
      <c r="D1293" t="s">
        <v>826</v>
      </c>
      <c r="E1293">
        <v>4</v>
      </c>
      <c r="F1293" t="s">
        <v>834</v>
      </c>
      <c r="G1293">
        <v>100</v>
      </c>
      <c r="H1293" t="s">
        <v>825</v>
      </c>
      <c r="I1293">
        <v>1</v>
      </c>
      <c r="J1293">
        <v>8.3729999999999993</v>
      </c>
      <c r="K1293">
        <v>5.1661000000000001</v>
      </c>
    </row>
    <row r="1294" spans="1:11" x14ac:dyDescent="0.2">
      <c r="A1294">
        <v>63103</v>
      </c>
      <c r="B1294" t="s">
        <v>1349</v>
      </c>
      <c r="C1294" t="str">
        <f t="shared" si="20"/>
        <v>TCOP</v>
      </c>
      <c r="D1294" t="s">
        <v>823</v>
      </c>
      <c r="E1294">
        <v>4</v>
      </c>
      <c r="F1294" t="s">
        <v>834</v>
      </c>
      <c r="G1294">
        <v>100</v>
      </c>
      <c r="H1294" t="s">
        <v>825</v>
      </c>
      <c r="I1294">
        <v>1</v>
      </c>
      <c r="J1294">
        <v>10.0754</v>
      </c>
      <c r="K1294">
        <v>1.1525000000000001</v>
      </c>
    </row>
    <row r="1295" spans="1:11" x14ac:dyDescent="0.2">
      <c r="A1295">
        <v>63103</v>
      </c>
      <c r="B1295" t="s">
        <v>1349</v>
      </c>
      <c r="C1295" t="str">
        <f t="shared" si="20"/>
        <v>TCOP</v>
      </c>
      <c r="D1295" t="s">
        <v>826</v>
      </c>
      <c r="E1295">
        <v>4</v>
      </c>
      <c r="F1295" t="s">
        <v>834</v>
      </c>
      <c r="G1295">
        <v>100</v>
      </c>
      <c r="H1295" t="s">
        <v>825</v>
      </c>
      <c r="I1295">
        <v>1</v>
      </c>
      <c r="J1295">
        <v>6.3372999999999999</v>
      </c>
      <c r="K1295">
        <v>2.0171999999999999</v>
      </c>
    </row>
    <row r="1296" spans="1:11" x14ac:dyDescent="0.2">
      <c r="A1296">
        <v>63217</v>
      </c>
      <c r="B1296" t="s">
        <v>1405</v>
      </c>
      <c r="C1296" t="str">
        <f t="shared" si="20"/>
        <v>VALE</v>
      </c>
      <c r="D1296" t="s">
        <v>823</v>
      </c>
      <c r="E1296">
        <v>4</v>
      </c>
      <c r="F1296" t="s">
        <v>834</v>
      </c>
      <c r="G1296">
        <v>100</v>
      </c>
      <c r="H1296" t="s">
        <v>825</v>
      </c>
      <c r="I1296">
        <v>1</v>
      </c>
      <c r="J1296">
        <v>4.5457999999999998</v>
      </c>
      <c r="K1296">
        <v>3.1375999999999999</v>
      </c>
    </row>
    <row r="1297" spans="1:11" x14ac:dyDescent="0.2">
      <c r="A1297">
        <v>63217</v>
      </c>
      <c r="B1297" t="s">
        <v>1405</v>
      </c>
      <c r="C1297" t="str">
        <f t="shared" si="20"/>
        <v>VALE</v>
      </c>
      <c r="D1297" t="s">
        <v>826</v>
      </c>
      <c r="E1297">
        <v>4</v>
      </c>
      <c r="F1297" t="s">
        <v>834</v>
      </c>
      <c r="G1297">
        <v>100</v>
      </c>
      <c r="H1297" t="s">
        <v>825</v>
      </c>
      <c r="I1297">
        <v>1</v>
      </c>
      <c r="J1297">
        <v>4.2766000000000002</v>
      </c>
      <c r="K1297">
        <v>3.21</v>
      </c>
    </row>
    <row r="1298" spans="1:11" x14ac:dyDescent="0.2">
      <c r="A1298">
        <v>51000</v>
      </c>
      <c r="B1298" t="s">
        <v>836</v>
      </c>
      <c r="C1298" t="str">
        <f t="shared" si="20"/>
        <v>APMR</v>
      </c>
      <c r="D1298" t="s">
        <v>826</v>
      </c>
      <c r="E1298">
        <v>5</v>
      </c>
      <c r="F1298" t="s">
        <v>805</v>
      </c>
      <c r="G1298">
        <v>100</v>
      </c>
      <c r="H1298" t="s">
        <v>825</v>
      </c>
      <c r="I1298">
        <v>1</v>
      </c>
      <c r="J1298">
        <v>2.4899999999999999E-2</v>
      </c>
      <c r="K1298">
        <v>1.9699999999999999E-2</v>
      </c>
    </row>
    <row r="1299" spans="1:11" x14ac:dyDescent="0.2">
      <c r="A1299">
        <v>551000</v>
      </c>
      <c r="B1299" t="s">
        <v>837</v>
      </c>
      <c r="C1299" t="str">
        <f t="shared" si="20"/>
        <v>APMR</v>
      </c>
      <c r="D1299" t="s">
        <v>823</v>
      </c>
      <c r="E1299">
        <v>5</v>
      </c>
      <c r="F1299" t="s">
        <v>805</v>
      </c>
      <c r="G1299">
        <v>100</v>
      </c>
      <c r="H1299" t="s">
        <v>825</v>
      </c>
      <c r="I1299">
        <v>1</v>
      </c>
      <c r="J1299">
        <v>0</v>
      </c>
      <c r="K1299">
        <v>0</v>
      </c>
    </row>
    <row r="1300" spans="1:11" x14ac:dyDescent="0.2">
      <c r="A1300">
        <v>51999</v>
      </c>
      <c r="B1300" t="s">
        <v>838</v>
      </c>
      <c r="C1300" t="str">
        <f t="shared" si="20"/>
        <v>ASMB</v>
      </c>
      <c r="D1300" t="s">
        <v>823</v>
      </c>
      <c r="E1300">
        <v>5</v>
      </c>
      <c r="F1300" t="s">
        <v>805</v>
      </c>
      <c r="G1300">
        <v>100</v>
      </c>
      <c r="H1300" t="s">
        <v>825</v>
      </c>
      <c r="I1300">
        <v>1</v>
      </c>
      <c r="J1300">
        <v>3.2608000000000001</v>
      </c>
      <c r="K1300">
        <v>1.8287</v>
      </c>
    </row>
    <row r="1301" spans="1:11" x14ac:dyDescent="0.2">
      <c r="A1301">
        <v>51999</v>
      </c>
      <c r="B1301" t="s">
        <v>838</v>
      </c>
      <c r="C1301" t="str">
        <f t="shared" si="20"/>
        <v>ASMB</v>
      </c>
      <c r="D1301" t="s">
        <v>826</v>
      </c>
      <c r="E1301">
        <v>5</v>
      </c>
      <c r="F1301" t="s">
        <v>805</v>
      </c>
      <c r="G1301">
        <v>100</v>
      </c>
      <c r="H1301" t="s">
        <v>825</v>
      </c>
      <c r="I1301">
        <v>1</v>
      </c>
      <c r="J1301">
        <v>3.2504</v>
      </c>
      <c r="K1301">
        <v>1.839</v>
      </c>
    </row>
    <row r="1302" spans="1:11" x14ac:dyDescent="0.2">
      <c r="A1302">
        <v>52004</v>
      </c>
      <c r="B1302" t="s">
        <v>951</v>
      </c>
      <c r="C1302" t="str">
        <f t="shared" si="20"/>
        <v>ELPN</v>
      </c>
      <c r="D1302" t="s">
        <v>823</v>
      </c>
      <c r="E1302">
        <v>5</v>
      </c>
      <c r="F1302" t="s">
        <v>805</v>
      </c>
      <c r="G1302">
        <v>100</v>
      </c>
      <c r="H1302" t="s">
        <v>825</v>
      </c>
      <c r="I1302">
        <v>1</v>
      </c>
      <c r="J1302">
        <v>0</v>
      </c>
      <c r="K1302">
        <v>0</v>
      </c>
    </row>
    <row r="1303" spans="1:11" x14ac:dyDescent="0.2">
      <c r="A1303">
        <v>52004</v>
      </c>
      <c r="B1303" t="s">
        <v>951</v>
      </c>
      <c r="C1303" t="str">
        <f t="shared" si="20"/>
        <v>ELPN</v>
      </c>
      <c r="D1303" t="s">
        <v>826</v>
      </c>
      <c r="E1303">
        <v>5</v>
      </c>
      <c r="F1303" t="s">
        <v>805</v>
      </c>
      <c r="G1303">
        <v>100</v>
      </c>
      <c r="H1303" t="s">
        <v>825</v>
      </c>
      <c r="I1303">
        <v>1</v>
      </c>
      <c r="J1303">
        <v>0</v>
      </c>
      <c r="K1303">
        <v>0</v>
      </c>
    </row>
    <row r="1304" spans="1:11" x14ac:dyDescent="0.2">
      <c r="A1304">
        <v>51210</v>
      </c>
      <c r="B1304" t="s">
        <v>956</v>
      </c>
      <c r="C1304" t="str">
        <f t="shared" si="20"/>
        <v>ERLA</v>
      </c>
      <c r="D1304" t="s">
        <v>823</v>
      </c>
      <c r="E1304">
        <v>5</v>
      </c>
      <c r="F1304" t="s">
        <v>805</v>
      </c>
      <c r="G1304">
        <v>100</v>
      </c>
      <c r="H1304" t="s">
        <v>825</v>
      </c>
      <c r="I1304">
        <v>1</v>
      </c>
      <c r="J1304">
        <v>3.9866999999999999</v>
      </c>
      <c r="K1304">
        <v>-1.139</v>
      </c>
    </row>
    <row r="1305" spans="1:11" x14ac:dyDescent="0.2">
      <c r="A1305">
        <v>51210</v>
      </c>
      <c r="B1305" t="s">
        <v>956</v>
      </c>
      <c r="C1305" t="str">
        <f t="shared" si="20"/>
        <v>ERLA</v>
      </c>
      <c r="D1305" t="s">
        <v>826</v>
      </c>
      <c r="E1305">
        <v>5</v>
      </c>
      <c r="F1305" t="s">
        <v>805</v>
      </c>
      <c r="G1305">
        <v>100</v>
      </c>
      <c r="H1305" t="s">
        <v>825</v>
      </c>
      <c r="I1305">
        <v>1</v>
      </c>
      <c r="J1305">
        <v>0</v>
      </c>
      <c r="K1305">
        <v>0</v>
      </c>
    </row>
    <row r="1306" spans="1:11" x14ac:dyDescent="0.2">
      <c r="A1306">
        <v>51076</v>
      </c>
      <c r="B1306" t="s">
        <v>957</v>
      </c>
      <c r="C1306" t="str">
        <f t="shared" si="20"/>
        <v>ESMI</v>
      </c>
      <c r="D1306" t="s">
        <v>804</v>
      </c>
      <c r="E1306">
        <v>5</v>
      </c>
      <c r="F1306" t="s">
        <v>805</v>
      </c>
      <c r="G1306">
        <v>100</v>
      </c>
      <c r="H1306" t="s">
        <v>825</v>
      </c>
      <c r="I1306">
        <v>1</v>
      </c>
      <c r="J1306">
        <v>4.99E-2</v>
      </c>
      <c r="K1306">
        <v>-7.8700000000000006E-2</v>
      </c>
    </row>
    <row r="1307" spans="1:11" x14ac:dyDescent="0.2">
      <c r="A1307">
        <v>51076</v>
      </c>
      <c r="B1307" t="s">
        <v>957</v>
      </c>
      <c r="C1307" t="str">
        <f t="shared" si="20"/>
        <v>ESMI</v>
      </c>
      <c r="D1307" t="s">
        <v>807</v>
      </c>
      <c r="E1307">
        <v>5</v>
      </c>
      <c r="F1307" t="s">
        <v>805</v>
      </c>
      <c r="G1307">
        <v>100</v>
      </c>
      <c r="H1307" t="s">
        <v>825</v>
      </c>
      <c r="I1307">
        <v>1</v>
      </c>
      <c r="J1307">
        <v>4.99E-2</v>
      </c>
      <c r="K1307">
        <v>-7.8700000000000006E-2</v>
      </c>
    </row>
    <row r="1308" spans="1:11" x14ac:dyDescent="0.2">
      <c r="A1308">
        <v>51115</v>
      </c>
      <c r="B1308" t="s">
        <v>1045</v>
      </c>
      <c r="C1308" t="str">
        <f t="shared" si="20"/>
        <v>KJKM</v>
      </c>
      <c r="D1308" t="s">
        <v>823</v>
      </c>
      <c r="E1308">
        <v>5</v>
      </c>
      <c r="F1308" t="s">
        <v>805</v>
      </c>
      <c r="G1308">
        <v>100</v>
      </c>
      <c r="H1308" t="s">
        <v>825</v>
      </c>
      <c r="I1308">
        <v>1</v>
      </c>
      <c r="J1308">
        <v>0</v>
      </c>
      <c r="K1308">
        <v>0</v>
      </c>
    </row>
    <row r="1309" spans="1:11" x14ac:dyDescent="0.2">
      <c r="A1309">
        <v>51126</v>
      </c>
      <c r="B1309" t="s">
        <v>1049</v>
      </c>
      <c r="C1309" t="str">
        <f t="shared" si="20"/>
        <v>KKPG</v>
      </c>
      <c r="D1309" t="s">
        <v>823</v>
      </c>
      <c r="E1309">
        <v>5</v>
      </c>
      <c r="F1309" t="s">
        <v>805</v>
      </c>
      <c r="G1309">
        <v>100</v>
      </c>
      <c r="H1309" t="s">
        <v>825</v>
      </c>
      <c r="I1309">
        <v>1</v>
      </c>
      <c r="J1309">
        <v>0</v>
      </c>
      <c r="K1309">
        <v>0</v>
      </c>
    </row>
    <row r="1310" spans="1:11" x14ac:dyDescent="0.2">
      <c r="A1310">
        <v>51126</v>
      </c>
      <c r="B1310" t="s">
        <v>1049</v>
      </c>
      <c r="C1310" t="str">
        <f t="shared" si="20"/>
        <v>KKPG</v>
      </c>
      <c r="D1310" t="s">
        <v>826</v>
      </c>
      <c r="E1310">
        <v>5</v>
      </c>
      <c r="F1310" t="s">
        <v>805</v>
      </c>
      <c r="G1310">
        <v>100</v>
      </c>
      <c r="H1310" t="s">
        <v>825</v>
      </c>
      <c r="I1310">
        <v>1</v>
      </c>
      <c r="J1310">
        <v>0</v>
      </c>
      <c r="K1310">
        <v>0</v>
      </c>
    </row>
    <row r="1311" spans="1:11" x14ac:dyDescent="0.2">
      <c r="A1311">
        <v>51118</v>
      </c>
      <c r="B1311" t="s">
        <v>1085</v>
      </c>
      <c r="C1311" t="str">
        <f t="shared" si="20"/>
        <v>KRWG</v>
      </c>
      <c r="D1311" t="s">
        <v>823</v>
      </c>
      <c r="E1311">
        <v>5</v>
      </c>
      <c r="F1311" t="s">
        <v>805</v>
      </c>
      <c r="G1311">
        <v>100</v>
      </c>
      <c r="H1311" t="s">
        <v>825</v>
      </c>
      <c r="I1311">
        <v>1</v>
      </c>
      <c r="J1311">
        <v>0</v>
      </c>
      <c r="K1311">
        <v>0</v>
      </c>
    </row>
    <row r="1312" spans="1:11" x14ac:dyDescent="0.2">
      <c r="A1312">
        <v>51118</v>
      </c>
      <c r="B1312" t="s">
        <v>1085</v>
      </c>
      <c r="C1312" t="str">
        <f t="shared" si="20"/>
        <v>KRWG</v>
      </c>
      <c r="D1312" t="s">
        <v>826</v>
      </c>
      <c r="E1312">
        <v>5</v>
      </c>
      <c r="F1312" t="s">
        <v>805</v>
      </c>
      <c r="G1312">
        <v>100</v>
      </c>
      <c r="H1312" t="s">
        <v>825</v>
      </c>
      <c r="I1312">
        <v>1</v>
      </c>
      <c r="J1312">
        <v>0</v>
      </c>
      <c r="K1312">
        <v>0</v>
      </c>
    </row>
    <row r="1313" spans="1:11" x14ac:dyDescent="0.2">
      <c r="A1313">
        <v>51211</v>
      </c>
      <c r="B1313" t="s">
        <v>1087</v>
      </c>
      <c r="C1313" t="str">
        <f t="shared" si="20"/>
        <v>KSAS</v>
      </c>
      <c r="D1313" t="s">
        <v>823</v>
      </c>
      <c r="E1313">
        <v>5</v>
      </c>
      <c r="F1313" t="s">
        <v>805</v>
      </c>
      <c r="G1313">
        <v>100</v>
      </c>
      <c r="H1313" t="s">
        <v>825</v>
      </c>
      <c r="I1313">
        <v>1</v>
      </c>
      <c r="J1313">
        <v>0.27439999999999998</v>
      </c>
      <c r="K1313">
        <v>4.1399999999999999E-2</v>
      </c>
    </row>
    <row r="1314" spans="1:11" x14ac:dyDescent="0.2">
      <c r="A1314">
        <v>51120</v>
      </c>
      <c r="B1314" t="s">
        <v>1090</v>
      </c>
      <c r="C1314" t="str">
        <f t="shared" si="20"/>
        <v>KSJS</v>
      </c>
      <c r="D1314" t="s">
        <v>823</v>
      </c>
      <c r="E1314">
        <v>5</v>
      </c>
      <c r="F1314" t="s">
        <v>805</v>
      </c>
      <c r="G1314">
        <v>100</v>
      </c>
      <c r="H1314" t="s">
        <v>825</v>
      </c>
      <c r="I1314">
        <v>1</v>
      </c>
      <c r="J1314">
        <v>0.50739999999999996</v>
      </c>
      <c r="K1314">
        <v>0.1822</v>
      </c>
    </row>
    <row r="1315" spans="1:11" x14ac:dyDescent="0.2">
      <c r="A1315">
        <v>51086</v>
      </c>
      <c r="B1315" t="s">
        <v>1118</v>
      </c>
      <c r="C1315" t="str">
        <f t="shared" si="20"/>
        <v>LCCT</v>
      </c>
      <c r="D1315" t="s">
        <v>804</v>
      </c>
      <c r="E1315">
        <v>5</v>
      </c>
      <c r="F1315" t="s">
        <v>805</v>
      </c>
      <c r="G1315">
        <v>100</v>
      </c>
      <c r="H1315" t="s">
        <v>825</v>
      </c>
      <c r="I1315">
        <v>1</v>
      </c>
      <c r="J1315">
        <v>12.3566</v>
      </c>
      <c r="K1315">
        <v>-7.5156000000000001</v>
      </c>
    </row>
    <row r="1316" spans="1:11" x14ac:dyDescent="0.2">
      <c r="A1316">
        <v>51086</v>
      </c>
      <c r="B1316" t="s">
        <v>1118</v>
      </c>
      <c r="C1316" t="str">
        <f t="shared" si="20"/>
        <v>LCCT</v>
      </c>
      <c r="D1316" t="s">
        <v>807</v>
      </c>
      <c r="E1316">
        <v>5</v>
      </c>
      <c r="F1316" t="s">
        <v>805</v>
      </c>
      <c r="G1316">
        <v>100</v>
      </c>
      <c r="H1316" t="s">
        <v>825</v>
      </c>
      <c r="I1316">
        <v>1</v>
      </c>
      <c r="J1316">
        <v>12.465299999999999</v>
      </c>
      <c r="K1316">
        <v>-7.6346999999999996</v>
      </c>
    </row>
    <row r="1317" spans="1:11" x14ac:dyDescent="0.2">
      <c r="A1317">
        <v>52038</v>
      </c>
      <c r="B1317" t="s">
        <v>1143</v>
      </c>
      <c r="C1317" t="str">
        <f t="shared" si="20"/>
        <v>MGST</v>
      </c>
      <c r="D1317" t="s">
        <v>823</v>
      </c>
      <c r="E1317">
        <v>5</v>
      </c>
      <c r="F1317" t="s">
        <v>805</v>
      </c>
      <c r="G1317">
        <v>100</v>
      </c>
      <c r="H1317" t="s">
        <v>825</v>
      </c>
      <c r="I1317">
        <v>1</v>
      </c>
      <c r="J1317">
        <v>2.3816000000000002</v>
      </c>
      <c r="K1317">
        <v>-1.8638999999999999</v>
      </c>
    </row>
    <row r="1318" spans="1:11" x14ac:dyDescent="0.2">
      <c r="A1318">
        <v>52038</v>
      </c>
      <c r="B1318" t="s">
        <v>1143</v>
      </c>
      <c r="C1318" t="str">
        <f t="shared" si="20"/>
        <v>MGST</v>
      </c>
      <c r="D1318" t="s">
        <v>826</v>
      </c>
      <c r="E1318">
        <v>5</v>
      </c>
      <c r="F1318" t="s">
        <v>805</v>
      </c>
      <c r="G1318">
        <v>100</v>
      </c>
      <c r="H1318" t="s">
        <v>825</v>
      </c>
      <c r="I1318">
        <v>1</v>
      </c>
      <c r="J1318">
        <v>1.0355000000000001</v>
      </c>
      <c r="K1318">
        <v>1.4497</v>
      </c>
    </row>
    <row r="1319" spans="1:11" x14ac:dyDescent="0.2">
      <c r="A1319">
        <v>50114</v>
      </c>
      <c r="B1319" t="s">
        <v>1155</v>
      </c>
      <c r="C1319" t="str">
        <f t="shared" si="20"/>
        <v>MOXY</v>
      </c>
      <c r="D1319" t="s">
        <v>823</v>
      </c>
      <c r="E1319">
        <v>5</v>
      </c>
      <c r="F1319" t="s">
        <v>805</v>
      </c>
      <c r="G1319">
        <v>100</v>
      </c>
      <c r="H1319" t="s">
        <v>825</v>
      </c>
      <c r="I1319">
        <v>1</v>
      </c>
      <c r="J1319">
        <v>8.7582000000000004</v>
      </c>
      <c r="K1319">
        <v>3.0444</v>
      </c>
    </row>
    <row r="1320" spans="1:11" x14ac:dyDescent="0.2">
      <c r="A1320">
        <v>50114</v>
      </c>
      <c r="B1320" t="s">
        <v>1155</v>
      </c>
      <c r="C1320" t="str">
        <f t="shared" si="20"/>
        <v>MOXY</v>
      </c>
      <c r="D1320" t="s">
        <v>826</v>
      </c>
      <c r="E1320">
        <v>5</v>
      </c>
      <c r="F1320" t="s">
        <v>805</v>
      </c>
      <c r="G1320">
        <v>100</v>
      </c>
      <c r="H1320" t="s">
        <v>825</v>
      </c>
      <c r="I1320">
        <v>1</v>
      </c>
      <c r="J1320">
        <v>7.0465999999999998</v>
      </c>
      <c r="K1320">
        <v>3.3809</v>
      </c>
    </row>
    <row r="1321" spans="1:11" x14ac:dyDescent="0.2">
      <c r="A1321">
        <v>51012</v>
      </c>
      <c r="B1321" t="s">
        <v>1160</v>
      </c>
      <c r="C1321" t="str">
        <f t="shared" si="20"/>
        <v>MSWK</v>
      </c>
      <c r="D1321" t="s">
        <v>823</v>
      </c>
      <c r="E1321">
        <v>5</v>
      </c>
      <c r="F1321" t="s">
        <v>805</v>
      </c>
      <c r="G1321">
        <v>100</v>
      </c>
      <c r="H1321" t="s">
        <v>825</v>
      </c>
      <c r="I1321">
        <v>1</v>
      </c>
      <c r="J1321">
        <v>57.501199999999997</v>
      </c>
      <c r="K1321">
        <v>22.387499999999999</v>
      </c>
    </row>
    <row r="1322" spans="1:11" x14ac:dyDescent="0.2">
      <c r="A1322">
        <v>51064</v>
      </c>
      <c r="B1322" t="s">
        <v>1171</v>
      </c>
      <c r="C1322" t="str">
        <f t="shared" si="20"/>
        <v>NEGM</v>
      </c>
      <c r="D1322" t="s">
        <v>823</v>
      </c>
      <c r="E1322">
        <v>5</v>
      </c>
      <c r="F1322" t="s">
        <v>805</v>
      </c>
      <c r="G1322">
        <v>100</v>
      </c>
      <c r="H1322" t="s">
        <v>825</v>
      </c>
      <c r="I1322">
        <v>1</v>
      </c>
      <c r="J1322">
        <v>25.8264</v>
      </c>
      <c r="K1322">
        <v>10.7951</v>
      </c>
    </row>
    <row r="1323" spans="1:11" x14ac:dyDescent="0.2">
      <c r="A1323">
        <v>51064</v>
      </c>
      <c r="B1323" t="s">
        <v>1171</v>
      </c>
      <c r="C1323" t="str">
        <f t="shared" si="20"/>
        <v>NEGM</v>
      </c>
      <c r="D1323" t="s">
        <v>826</v>
      </c>
      <c r="E1323">
        <v>5</v>
      </c>
      <c r="F1323" t="s">
        <v>805</v>
      </c>
      <c r="G1323">
        <v>100</v>
      </c>
      <c r="H1323" t="s">
        <v>825</v>
      </c>
      <c r="I1323">
        <v>1</v>
      </c>
      <c r="J1323">
        <v>26.581299999999999</v>
      </c>
      <c r="K1323">
        <v>10.119899999999999</v>
      </c>
    </row>
    <row r="1324" spans="1:11" x14ac:dyDescent="0.2">
      <c r="A1324">
        <v>51064</v>
      </c>
      <c r="B1324" t="s">
        <v>1171</v>
      </c>
      <c r="C1324" t="str">
        <f t="shared" si="20"/>
        <v>NEGM</v>
      </c>
      <c r="D1324" t="s">
        <v>808</v>
      </c>
      <c r="E1324">
        <v>5</v>
      </c>
      <c r="F1324" t="s">
        <v>805</v>
      </c>
      <c r="G1324">
        <v>100</v>
      </c>
      <c r="H1324" t="s">
        <v>825</v>
      </c>
      <c r="I1324">
        <v>1</v>
      </c>
      <c r="J1324">
        <v>16.599699999999999</v>
      </c>
      <c r="K1324">
        <v>10.220700000000001</v>
      </c>
    </row>
    <row r="1325" spans="1:11" x14ac:dyDescent="0.2">
      <c r="A1325">
        <v>551064</v>
      </c>
      <c r="B1325" t="s">
        <v>1172</v>
      </c>
      <c r="C1325" t="str">
        <f t="shared" si="20"/>
        <v>NEGM</v>
      </c>
      <c r="D1325" t="s">
        <v>827</v>
      </c>
      <c r="E1325">
        <v>5</v>
      </c>
      <c r="F1325" t="s">
        <v>805</v>
      </c>
      <c r="G1325">
        <v>100</v>
      </c>
      <c r="H1325" t="s">
        <v>825</v>
      </c>
      <c r="I1325">
        <v>1</v>
      </c>
      <c r="J1325">
        <v>0</v>
      </c>
      <c r="K1325">
        <v>0</v>
      </c>
    </row>
    <row r="1326" spans="1:11" x14ac:dyDescent="0.2">
      <c r="A1326">
        <v>51044</v>
      </c>
      <c r="B1326" t="s">
        <v>1282</v>
      </c>
      <c r="C1326" t="str">
        <f t="shared" si="20"/>
        <v>SGLC</v>
      </c>
      <c r="D1326" t="s">
        <v>823</v>
      </c>
      <c r="E1326">
        <v>5</v>
      </c>
      <c r="F1326" t="s">
        <v>805</v>
      </c>
      <c r="G1326">
        <v>100</v>
      </c>
      <c r="H1326" t="s">
        <v>825</v>
      </c>
      <c r="I1326">
        <v>1</v>
      </c>
      <c r="J1326">
        <v>0.28370000000000001</v>
      </c>
      <c r="K1326">
        <v>0.25369999999999998</v>
      </c>
    </row>
    <row r="1327" spans="1:11" x14ac:dyDescent="0.2">
      <c r="A1327">
        <v>51044</v>
      </c>
      <c r="B1327" t="s">
        <v>1282</v>
      </c>
      <c r="C1327" t="str">
        <f t="shared" si="20"/>
        <v>SGLC</v>
      </c>
      <c r="D1327" t="s">
        <v>826</v>
      </c>
      <c r="E1327">
        <v>5</v>
      </c>
      <c r="F1327" t="s">
        <v>805</v>
      </c>
      <c r="G1327">
        <v>100</v>
      </c>
      <c r="H1327" t="s">
        <v>825</v>
      </c>
      <c r="I1327">
        <v>1</v>
      </c>
      <c r="J1327">
        <v>0.22370000000000001</v>
      </c>
      <c r="K1327">
        <v>0.22370000000000001</v>
      </c>
    </row>
    <row r="1328" spans="1:11" x14ac:dyDescent="0.2">
      <c r="A1328">
        <v>51128</v>
      </c>
      <c r="B1328" t="s">
        <v>866</v>
      </c>
      <c r="C1328" t="str">
        <f t="shared" si="20"/>
        <v>BCDC</v>
      </c>
      <c r="D1328" t="s">
        <v>804</v>
      </c>
      <c r="E1328">
        <v>6</v>
      </c>
      <c r="F1328" t="s">
        <v>811</v>
      </c>
      <c r="G1328">
        <v>100</v>
      </c>
      <c r="H1328" t="s">
        <v>825</v>
      </c>
      <c r="I1328">
        <v>1</v>
      </c>
      <c r="J1328">
        <v>1.2571000000000001</v>
      </c>
      <c r="K1328">
        <v>5.7497999999999996</v>
      </c>
    </row>
    <row r="1329" spans="1:11" x14ac:dyDescent="0.2">
      <c r="A1329">
        <v>51080</v>
      </c>
      <c r="B1329" t="s">
        <v>919</v>
      </c>
      <c r="C1329" t="str">
        <f t="shared" si="20"/>
        <v>BUTM</v>
      </c>
      <c r="D1329" t="s">
        <v>823</v>
      </c>
      <c r="E1329">
        <v>6</v>
      </c>
      <c r="F1329" t="s">
        <v>811</v>
      </c>
      <c r="G1329">
        <v>100</v>
      </c>
      <c r="H1329" t="s">
        <v>825</v>
      </c>
      <c r="I1329">
        <v>1</v>
      </c>
      <c r="J1329">
        <v>17.085699999999999</v>
      </c>
      <c r="K1329">
        <v>-5.0739000000000001</v>
      </c>
    </row>
    <row r="1330" spans="1:11" x14ac:dyDescent="0.2">
      <c r="A1330">
        <v>51080</v>
      </c>
      <c r="B1330" t="s">
        <v>919</v>
      </c>
      <c r="C1330" t="str">
        <f t="shared" si="20"/>
        <v>BUTM</v>
      </c>
      <c r="D1330" t="s">
        <v>826</v>
      </c>
      <c r="E1330">
        <v>6</v>
      </c>
      <c r="F1330" t="s">
        <v>811</v>
      </c>
      <c r="G1330">
        <v>100</v>
      </c>
      <c r="H1330" t="s">
        <v>825</v>
      </c>
      <c r="I1330">
        <v>1</v>
      </c>
      <c r="J1330">
        <v>13.7721</v>
      </c>
      <c r="K1330">
        <v>7.4555999999999996</v>
      </c>
    </row>
    <row r="1331" spans="1:11" x14ac:dyDescent="0.2">
      <c r="A1331">
        <v>51070</v>
      </c>
      <c r="B1331" t="s">
        <v>963</v>
      </c>
      <c r="C1331" t="str">
        <f t="shared" si="20"/>
        <v>FSCL</v>
      </c>
      <c r="D1331" t="s">
        <v>823</v>
      </c>
      <c r="E1331">
        <v>6</v>
      </c>
      <c r="F1331" t="s">
        <v>811</v>
      </c>
      <c r="G1331">
        <v>100</v>
      </c>
      <c r="H1331" t="s">
        <v>825</v>
      </c>
      <c r="I1331">
        <v>1</v>
      </c>
      <c r="J1331">
        <v>0</v>
      </c>
      <c r="K1331">
        <v>0</v>
      </c>
    </row>
    <row r="1332" spans="1:11" x14ac:dyDescent="0.2">
      <c r="A1332">
        <v>551070</v>
      </c>
      <c r="B1332" t="s">
        <v>964</v>
      </c>
      <c r="C1332" t="str">
        <f t="shared" si="20"/>
        <v>FSCL</v>
      </c>
      <c r="D1332" t="s">
        <v>826</v>
      </c>
      <c r="E1332">
        <v>6</v>
      </c>
      <c r="F1332" t="s">
        <v>811</v>
      </c>
      <c r="G1332">
        <v>100</v>
      </c>
      <c r="H1332" t="s">
        <v>825</v>
      </c>
      <c r="I1332">
        <v>1</v>
      </c>
      <c r="J1332">
        <v>24.294899999999998</v>
      </c>
      <c r="K1332">
        <v>11.6204</v>
      </c>
    </row>
    <row r="1333" spans="1:11" x14ac:dyDescent="0.2">
      <c r="A1333">
        <v>51077</v>
      </c>
      <c r="B1333" t="s">
        <v>992</v>
      </c>
      <c r="C1333" t="str">
        <f t="shared" si="20"/>
        <v>HNQC</v>
      </c>
      <c r="D1333" t="s">
        <v>823</v>
      </c>
      <c r="E1333">
        <v>6</v>
      </c>
      <c r="F1333" t="s">
        <v>811</v>
      </c>
      <c r="G1333">
        <v>100</v>
      </c>
      <c r="H1333" t="s">
        <v>825</v>
      </c>
      <c r="I1333">
        <v>1</v>
      </c>
      <c r="J1333">
        <v>10.8355</v>
      </c>
      <c r="K1333">
        <v>3.7174</v>
      </c>
    </row>
    <row r="1334" spans="1:11" x14ac:dyDescent="0.2">
      <c r="A1334">
        <v>51077</v>
      </c>
      <c r="B1334" t="s">
        <v>992</v>
      </c>
      <c r="C1334" t="str">
        <f t="shared" si="20"/>
        <v>HNQC</v>
      </c>
      <c r="D1334" t="s">
        <v>826</v>
      </c>
      <c r="E1334">
        <v>6</v>
      </c>
      <c r="F1334" t="s">
        <v>811</v>
      </c>
      <c r="G1334">
        <v>100</v>
      </c>
      <c r="H1334" t="s">
        <v>825</v>
      </c>
      <c r="I1334">
        <v>1</v>
      </c>
      <c r="J1334">
        <v>10.6366</v>
      </c>
      <c r="K1334">
        <v>3.8075000000000001</v>
      </c>
    </row>
    <row r="1335" spans="1:11" x14ac:dyDescent="0.2">
      <c r="A1335">
        <v>88110</v>
      </c>
      <c r="B1335" t="s">
        <v>1061</v>
      </c>
      <c r="C1335" t="str">
        <f t="shared" si="20"/>
        <v>KLCP</v>
      </c>
      <c r="D1335" t="s">
        <v>823</v>
      </c>
      <c r="E1335">
        <v>6</v>
      </c>
      <c r="F1335" t="s">
        <v>811</v>
      </c>
      <c r="G1335">
        <v>100</v>
      </c>
      <c r="H1335" t="s">
        <v>825</v>
      </c>
      <c r="I1335">
        <v>1</v>
      </c>
      <c r="J1335">
        <v>1.0634999999999999</v>
      </c>
      <c r="K1335">
        <v>6.2534000000000001</v>
      </c>
    </row>
    <row r="1336" spans="1:11" x14ac:dyDescent="0.2">
      <c r="A1336">
        <v>88110</v>
      </c>
      <c r="B1336" t="s">
        <v>1061</v>
      </c>
      <c r="C1336" t="str">
        <f t="shared" si="20"/>
        <v>KLCP</v>
      </c>
      <c r="D1336" t="s">
        <v>826</v>
      </c>
      <c r="E1336">
        <v>6</v>
      </c>
      <c r="F1336" t="s">
        <v>811</v>
      </c>
      <c r="G1336">
        <v>100</v>
      </c>
      <c r="H1336" t="s">
        <v>825</v>
      </c>
      <c r="I1336">
        <v>1</v>
      </c>
      <c r="J1336">
        <v>10.119899999999999</v>
      </c>
      <c r="K1336">
        <v>-1.8991</v>
      </c>
    </row>
    <row r="1337" spans="1:11" x14ac:dyDescent="0.2">
      <c r="A1337">
        <v>51116</v>
      </c>
      <c r="B1337" t="s">
        <v>1092</v>
      </c>
      <c r="C1337" t="str">
        <f t="shared" si="20"/>
        <v>KSLS</v>
      </c>
      <c r="D1337" t="s">
        <v>823</v>
      </c>
      <c r="E1337">
        <v>6</v>
      </c>
      <c r="F1337" t="s">
        <v>811</v>
      </c>
      <c r="G1337">
        <v>100</v>
      </c>
      <c r="H1337" t="s">
        <v>825</v>
      </c>
      <c r="I1337">
        <v>1</v>
      </c>
      <c r="J1337">
        <v>1.9259999999999999</v>
      </c>
      <c r="K1337">
        <v>0.81699999999999995</v>
      </c>
    </row>
    <row r="1338" spans="1:11" x14ac:dyDescent="0.2">
      <c r="A1338">
        <v>51116</v>
      </c>
      <c r="B1338" t="s">
        <v>1092</v>
      </c>
      <c r="C1338" t="str">
        <f t="shared" si="20"/>
        <v>KSLS</v>
      </c>
      <c r="D1338" t="s">
        <v>826</v>
      </c>
      <c r="E1338">
        <v>6</v>
      </c>
      <c r="F1338" t="s">
        <v>811</v>
      </c>
      <c r="G1338">
        <v>100</v>
      </c>
      <c r="H1338" t="s">
        <v>825</v>
      </c>
      <c r="I1338">
        <v>1</v>
      </c>
      <c r="J1338">
        <v>0.59960000000000002</v>
      </c>
      <c r="K1338">
        <v>0.1429</v>
      </c>
    </row>
    <row r="1339" spans="1:11" x14ac:dyDescent="0.2">
      <c r="A1339">
        <v>88147</v>
      </c>
      <c r="B1339" t="s">
        <v>1112</v>
      </c>
      <c r="C1339" t="str">
        <f t="shared" si="20"/>
        <v>KTST</v>
      </c>
      <c r="D1339" t="s">
        <v>823</v>
      </c>
      <c r="E1339">
        <v>6</v>
      </c>
      <c r="F1339" t="s">
        <v>811</v>
      </c>
      <c r="G1339">
        <v>100</v>
      </c>
      <c r="H1339" t="s">
        <v>825</v>
      </c>
      <c r="I1339">
        <v>1</v>
      </c>
      <c r="J1339">
        <v>0</v>
      </c>
      <c r="K1339">
        <v>0</v>
      </c>
    </row>
    <row r="1340" spans="1:11" x14ac:dyDescent="0.2">
      <c r="A1340">
        <v>88196</v>
      </c>
      <c r="B1340" t="s">
        <v>1120</v>
      </c>
      <c r="C1340" t="str">
        <f t="shared" si="20"/>
        <v>LJTK</v>
      </c>
      <c r="D1340" t="s">
        <v>823</v>
      </c>
      <c r="E1340">
        <v>6</v>
      </c>
      <c r="F1340" t="s">
        <v>811</v>
      </c>
      <c r="G1340">
        <v>100</v>
      </c>
      <c r="H1340" t="s">
        <v>825</v>
      </c>
      <c r="I1340">
        <v>1</v>
      </c>
      <c r="J1340">
        <v>3.5682999999999998</v>
      </c>
      <c r="K1340">
        <v>-0.37280000000000002</v>
      </c>
    </row>
    <row r="1341" spans="1:11" x14ac:dyDescent="0.2">
      <c r="A1341">
        <v>88196</v>
      </c>
      <c r="B1341" t="s">
        <v>1120</v>
      </c>
      <c r="C1341" t="str">
        <f t="shared" si="20"/>
        <v>LJTK</v>
      </c>
      <c r="D1341" t="s">
        <v>826</v>
      </c>
      <c r="E1341">
        <v>6</v>
      </c>
      <c r="F1341" t="s">
        <v>811</v>
      </c>
      <c r="G1341">
        <v>100</v>
      </c>
      <c r="H1341" t="s">
        <v>825</v>
      </c>
      <c r="I1341">
        <v>1</v>
      </c>
      <c r="J1341">
        <v>3.6086999999999998</v>
      </c>
      <c r="K1341">
        <v>-0.37280000000000002</v>
      </c>
    </row>
    <row r="1342" spans="1:11" x14ac:dyDescent="0.2">
      <c r="A1342">
        <v>88198</v>
      </c>
      <c r="B1342" t="s">
        <v>1123</v>
      </c>
      <c r="C1342" t="str">
        <f t="shared" si="20"/>
        <v>LKRC</v>
      </c>
      <c r="D1342" t="s">
        <v>823</v>
      </c>
      <c r="E1342">
        <v>6</v>
      </c>
      <c r="F1342" t="s">
        <v>811</v>
      </c>
      <c r="G1342">
        <v>100</v>
      </c>
      <c r="H1342" t="s">
        <v>825</v>
      </c>
      <c r="I1342">
        <v>1</v>
      </c>
      <c r="J1342">
        <v>4.4733999999999998</v>
      </c>
      <c r="K1342">
        <v>-0.91120000000000001</v>
      </c>
    </row>
    <row r="1343" spans="1:11" x14ac:dyDescent="0.2">
      <c r="A1343">
        <v>88198</v>
      </c>
      <c r="B1343" t="s">
        <v>1123</v>
      </c>
      <c r="C1343" t="str">
        <f t="shared" si="20"/>
        <v>LKRC</v>
      </c>
      <c r="D1343" t="s">
        <v>826</v>
      </c>
      <c r="E1343">
        <v>6</v>
      </c>
      <c r="F1343" t="s">
        <v>811</v>
      </c>
      <c r="G1343">
        <v>100</v>
      </c>
      <c r="H1343" t="s">
        <v>825</v>
      </c>
      <c r="I1343">
        <v>1</v>
      </c>
      <c r="J1343">
        <v>4.4836999999999998</v>
      </c>
      <c r="K1343">
        <v>-0.91120000000000001</v>
      </c>
    </row>
    <row r="1344" spans="1:11" x14ac:dyDescent="0.2">
      <c r="A1344">
        <v>51033</v>
      </c>
      <c r="B1344" t="s">
        <v>1131</v>
      </c>
      <c r="C1344" t="str">
        <f t="shared" si="20"/>
        <v>MBSD</v>
      </c>
      <c r="D1344" t="s">
        <v>823</v>
      </c>
      <c r="E1344">
        <v>6</v>
      </c>
      <c r="F1344" t="s">
        <v>811</v>
      </c>
      <c r="G1344">
        <v>100</v>
      </c>
      <c r="H1344" t="s">
        <v>825</v>
      </c>
      <c r="I1344">
        <v>1</v>
      </c>
      <c r="J1344">
        <v>2.6343000000000001</v>
      </c>
      <c r="K1344">
        <v>-1.5657000000000001</v>
      </c>
    </row>
    <row r="1345" spans="1:11" x14ac:dyDescent="0.2">
      <c r="A1345">
        <v>51033</v>
      </c>
      <c r="B1345" t="s">
        <v>1131</v>
      </c>
      <c r="C1345" t="str">
        <f t="shared" si="20"/>
        <v>MBSD</v>
      </c>
      <c r="D1345" t="s">
        <v>826</v>
      </c>
      <c r="E1345">
        <v>6</v>
      </c>
      <c r="F1345" t="s">
        <v>811</v>
      </c>
      <c r="G1345">
        <v>100</v>
      </c>
      <c r="H1345" t="s">
        <v>825</v>
      </c>
      <c r="I1345">
        <v>1</v>
      </c>
      <c r="J1345">
        <v>2.5152000000000001</v>
      </c>
      <c r="K1345">
        <v>-1.6744000000000001</v>
      </c>
    </row>
    <row r="1346" spans="1:11" x14ac:dyDescent="0.2">
      <c r="A1346">
        <v>88151</v>
      </c>
      <c r="B1346" t="s">
        <v>1145</v>
      </c>
      <c r="C1346" t="str">
        <f t="shared" si="20"/>
        <v>MJJG</v>
      </c>
      <c r="D1346" t="s">
        <v>823</v>
      </c>
      <c r="E1346">
        <v>6</v>
      </c>
      <c r="F1346" t="s">
        <v>811</v>
      </c>
      <c r="G1346">
        <v>100</v>
      </c>
      <c r="H1346" t="s">
        <v>825</v>
      </c>
      <c r="I1346">
        <v>1</v>
      </c>
      <c r="J1346">
        <v>2.7658</v>
      </c>
      <c r="K1346">
        <v>-1.2229000000000001</v>
      </c>
    </row>
    <row r="1347" spans="1:11" x14ac:dyDescent="0.2">
      <c r="A1347">
        <v>88151</v>
      </c>
      <c r="B1347" t="s">
        <v>1145</v>
      </c>
      <c r="C1347" t="str">
        <f t="shared" ref="C1347:C1410" si="21">LEFT(B1347,4)</f>
        <v>MJJG</v>
      </c>
      <c r="D1347" t="s">
        <v>826</v>
      </c>
      <c r="E1347">
        <v>6</v>
      </c>
      <c r="F1347" t="s">
        <v>811</v>
      </c>
      <c r="G1347">
        <v>100</v>
      </c>
      <c r="H1347" t="s">
        <v>825</v>
      </c>
      <c r="I1347">
        <v>1</v>
      </c>
      <c r="J1347">
        <v>3.4316</v>
      </c>
      <c r="K1347">
        <v>-1.1473</v>
      </c>
    </row>
    <row r="1348" spans="1:11" x14ac:dyDescent="0.2">
      <c r="A1348">
        <v>88126</v>
      </c>
      <c r="B1348" t="s">
        <v>1149</v>
      </c>
      <c r="C1348" t="str">
        <f t="shared" si="21"/>
        <v>MKCL</v>
      </c>
      <c r="D1348" t="s">
        <v>823</v>
      </c>
      <c r="E1348">
        <v>6</v>
      </c>
      <c r="F1348" t="s">
        <v>811</v>
      </c>
      <c r="G1348">
        <v>100</v>
      </c>
      <c r="H1348" t="s">
        <v>825</v>
      </c>
      <c r="I1348">
        <v>1</v>
      </c>
      <c r="J1348">
        <v>3.3208000000000002</v>
      </c>
      <c r="K1348">
        <v>-1.0925</v>
      </c>
    </row>
    <row r="1349" spans="1:11" x14ac:dyDescent="0.2">
      <c r="A1349">
        <v>88126</v>
      </c>
      <c r="B1349" t="s">
        <v>1149</v>
      </c>
      <c r="C1349" t="str">
        <f t="shared" si="21"/>
        <v>MKCL</v>
      </c>
      <c r="D1349" t="s">
        <v>826</v>
      </c>
      <c r="E1349">
        <v>6</v>
      </c>
      <c r="F1349" t="s">
        <v>811</v>
      </c>
      <c r="G1349">
        <v>100</v>
      </c>
      <c r="H1349" t="s">
        <v>825</v>
      </c>
      <c r="I1349">
        <v>1</v>
      </c>
      <c r="J1349">
        <v>3.1562000000000001</v>
      </c>
      <c r="K1349">
        <v>-1.1950000000000001</v>
      </c>
    </row>
    <row r="1350" spans="1:11" x14ac:dyDescent="0.2">
      <c r="A1350">
        <v>74148</v>
      </c>
      <c r="B1350" t="s">
        <v>1398</v>
      </c>
      <c r="C1350" t="str">
        <f t="shared" si="21"/>
        <v>UKLI</v>
      </c>
      <c r="D1350" t="s">
        <v>823</v>
      </c>
      <c r="E1350">
        <v>6</v>
      </c>
      <c r="F1350" t="s">
        <v>811</v>
      </c>
      <c r="G1350">
        <v>100</v>
      </c>
      <c r="H1350" t="s">
        <v>825</v>
      </c>
      <c r="I1350">
        <v>1</v>
      </c>
      <c r="J1350">
        <v>21.1035</v>
      </c>
      <c r="K1350">
        <v>3.0444</v>
      </c>
    </row>
    <row r="1351" spans="1:11" x14ac:dyDescent="0.2">
      <c r="A1351">
        <v>74148</v>
      </c>
      <c r="B1351" t="s">
        <v>1398</v>
      </c>
      <c r="C1351" t="str">
        <f t="shared" si="21"/>
        <v>UKLI</v>
      </c>
      <c r="D1351" t="s">
        <v>826</v>
      </c>
      <c r="E1351">
        <v>6</v>
      </c>
      <c r="F1351" t="s">
        <v>811</v>
      </c>
      <c r="G1351">
        <v>100</v>
      </c>
      <c r="H1351" t="s">
        <v>825</v>
      </c>
      <c r="I1351">
        <v>1</v>
      </c>
      <c r="J1351">
        <v>21.735099999999999</v>
      </c>
      <c r="K1351">
        <v>3.1065</v>
      </c>
    </row>
    <row r="1352" spans="1:11" x14ac:dyDescent="0.2">
      <c r="A1352">
        <v>96194</v>
      </c>
      <c r="B1352" t="s">
        <v>990</v>
      </c>
      <c r="C1352" t="str">
        <f t="shared" si="21"/>
        <v>HLNN</v>
      </c>
      <c r="D1352" t="s">
        <v>823</v>
      </c>
      <c r="E1352">
        <v>7</v>
      </c>
      <c r="F1352" t="s">
        <v>830</v>
      </c>
      <c r="G1352">
        <v>100</v>
      </c>
      <c r="H1352" t="s">
        <v>825</v>
      </c>
      <c r="I1352">
        <v>1</v>
      </c>
      <c r="J1352">
        <v>0.1118</v>
      </c>
      <c r="K1352">
        <v>-7.46E-2</v>
      </c>
    </row>
    <row r="1353" spans="1:11" x14ac:dyDescent="0.2">
      <c r="A1353">
        <v>96194</v>
      </c>
      <c r="B1353" t="s">
        <v>990</v>
      </c>
      <c r="C1353" t="str">
        <f t="shared" si="21"/>
        <v>HLNN</v>
      </c>
      <c r="D1353" t="s">
        <v>826</v>
      </c>
      <c r="E1353">
        <v>7</v>
      </c>
      <c r="F1353" t="s">
        <v>830</v>
      </c>
      <c r="G1353">
        <v>100</v>
      </c>
      <c r="H1353" t="s">
        <v>825</v>
      </c>
      <c r="I1353">
        <v>1</v>
      </c>
      <c r="J1353">
        <v>10.7143</v>
      </c>
      <c r="K1353">
        <v>5.0842999999999998</v>
      </c>
    </row>
    <row r="1354" spans="1:11" x14ac:dyDescent="0.2">
      <c r="A1354">
        <v>96194</v>
      </c>
      <c r="B1354" t="s">
        <v>990</v>
      </c>
      <c r="C1354" t="str">
        <f t="shared" si="21"/>
        <v>HLNN</v>
      </c>
      <c r="D1354" t="s">
        <v>827</v>
      </c>
      <c r="E1354">
        <v>7</v>
      </c>
      <c r="F1354" t="s">
        <v>830</v>
      </c>
      <c r="G1354">
        <v>100</v>
      </c>
      <c r="H1354" t="s">
        <v>825</v>
      </c>
      <c r="I1354">
        <v>1</v>
      </c>
      <c r="J1354">
        <v>10.868600000000001</v>
      </c>
      <c r="K1354">
        <v>3.7040000000000002</v>
      </c>
    </row>
    <row r="1355" spans="1:11" x14ac:dyDescent="0.2">
      <c r="A1355">
        <v>96194</v>
      </c>
      <c r="B1355" t="s">
        <v>990</v>
      </c>
      <c r="C1355" t="str">
        <f t="shared" si="21"/>
        <v>HLNN</v>
      </c>
      <c r="D1355" t="s">
        <v>971</v>
      </c>
      <c r="E1355">
        <v>7</v>
      </c>
      <c r="F1355" t="s">
        <v>830</v>
      </c>
      <c r="G1355">
        <v>100</v>
      </c>
      <c r="H1355" t="s">
        <v>825</v>
      </c>
      <c r="I1355">
        <v>1</v>
      </c>
      <c r="J1355">
        <v>0</v>
      </c>
      <c r="K1355">
        <v>0</v>
      </c>
    </row>
    <row r="1356" spans="1:11" x14ac:dyDescent="0.2">
      <c r="A1356">
        <v>96148</v>
      </c>
      <c r="B1356" t="s">
        <v>1023</v>
      </c>
      <c r="C1356" t="str">
        <f t="shared" si="21"/>
        <v>KBBR</v>
      </c>
      <c r="D1356" t="s">
        <v>823</v>
      </c>
      <c r="E1356">
        <v>7</v>
      </c>
      <c r="F1356" t="s">
        <v>830</v>
      </c>
      <c r="G1356">
        <v>100</v>
      </c>
      <c r="H1356" t="s">
        <v>825</v>
      </c>
      <c r="I1356">
        <v>1</v>
      </c>
      <c r="J1356">
        <v>0.97750000000000004</v>
      </c>
      <c r="K1356">
        <v>0.25369999999999998</v>
      </c>
    </row>
    <row r="1357" spans="1:11" x14ac:dyDescent="0.2">
      <c r="A1357">
        <v>96148</v>
      </c>
      <c r="B1357" t="s">
        <v>1023</v>
      </c>
      <c r="C1357" t="str">
        <f t="shared" si="21"/>
        <v>KBBR</v>
      </c>
      <c r="D1357" t="s">
        <v>826</v>
      </c>
      <c r="E1357">
        <v>7</v>
      </c>
      <c r="F1357" t="s">
        <v>830</v>
      </c>
      <c r="G1357">
        <v>100</v>
      </c>
      <c r="H1357" t="s">
        <v>825</v>
      </c>
      <c r="I1357">
        <v>1</v>
      </c>
      <c r="J1357">
        <v>0.90400000000000003</v>
      </c>
      <c r="K1357">
        <v>0.35720000000000002</v>
      </c>
    </row>
    <row r="1358" spans="1:11" x14ac:dyDescent="0.2">
      <c r="A1358">
        <v>96151</v>
      </c>
      <c r="B1358" t="s">
        <v>1177</v>
      </c>
      <c r="C1358" t="str">
        <f t="shared" si="21"/>
        <v>NSCI</v>
      </c>
      <c r="D1358" t="s">
        <v>804</v>
      </c>
      <c r="E1358">
        <v>7</v>
      </c>
      <c r="F1358" t="s">
        <v>830</v>
      </c>
      <c r="G1358">
        <v>100</v>
      </c>
      <c r="H1358" t="s">
        <v>825</v>
      </c>
      <c r="I1358">
        <v>1</v>
      </c>
      <c r="J1358">
        <v>12.6745</v>
      </c>
      <c r="K1358">
        <v>5.3876999999999997</v>
      </c>
    </row>
    <row r="1359" spans="1:11" x14ac:dyDescent="0.2">
      <c r="A1359">
        <v>96151</v>
      </c>
      <c r="B1359" t="s">
        <v>1177</v>
      </c>
      <c r="C1359" t="str">
        <f t="shared" si="21"/>
        <v>NSCI</v>
      </c>
      <c r="D1359" t="s">
        <v>807</v>
      </c>
      <c r="E1359">
        <v>7</v>
      </c>
      <c r="F1359" t="s">
        <v>830</v>
      </c>
      <c r="G1359">
        <v>100</v>
      </c>
      <c r="H1359" t="s">
        <v>825</v>
      </c>
      <c r="I1359">
        <v>1</v>
      </c>
      <c r="J1359">
        <v>13.5692</v>
      </c>
      <c r="K1359">
        <v>5.4581</v>
      </c>
    </row>
    <row r="1360" spans="1:11" x14ac:dyDescent="0.2">
      <c r="A1360">
        <v>96141</v>
      </c>
      <c r="B1360" t="s">
        <v>1289</v>
      </c>
      <c r="C1360" t="str">
        <f t="shared" si="21"/>
        <v>SHEL</v>
      </c>
      <c r="D1360" t="s">
        <v>823</v>
      </c>
      <c r="E1360">
        <v>7</v>
      </c>
      <c r="F1360" t="s">
        <v>830</v>
      </c>
      <c r="G1360">
        <v>100</v>
      </c>
      <c r="H1360" t="s">
        <v>825</v>
      </c>
      <c r="I1360">
        <v>1</v>
      </c>
      <c r="J1360">
        <v>15.939399999999999</v>
      </c>
      <c r="K1360">
        <v>4.1824000000000003</v>
      </c>
    </row>
    <row r="1361" spans="1:11" x14ac:dyDescent="0.2">
      <c r="A1361">
        <v>96141</v>
      </c>
      <c r="B1361" t="s">
        <v>1289</v>
      </c>
      <c r="C1361" t="str">
        <f t="shared" si="21"/>
        <v>SHEL</v>
      </c>
      <c r="D1361" t="s">
        <v>826</v>
      </c>
      <c r="E1361">
        <v>7</v>
      </c>
      <c r="F1361" t="s">
        <v>830</v>
      </c>
      <c r="G1361">
        <v>100</v>
      </c>
      <c r="H1361" t="s">
        <v>825</v>
      </c>
      <c r="I1361">
        <v>1</v>
      </c>
      <c r="J1361">
        <v>16.386800000000001</v>
      </c>
      <c r="K1361">
        <v>8.8649000000000004</v>
      </c>
    </row>
    <row r="1362" spans="1:11" x14ac:dyDescent="0.2">
      <c r="A1362">
        <v>96193</v>
      </c>
      <c r="B1362" t="s">
        <v>1333</v>
      </c>
      <c r="C1362" t="str">
        <f t="shared" si="21"/>
        <v>SSUN</v>
      </c>
      <c r="D1362" t="s">
        <v>808</v>
      </c>
      <c r="E1362">
        <v>7</v>
      </c>
      <c r="F1362" t="s">
        <v>830</v>
      </c>
      <c r="G1362">
        <v>100</v>
      </c>
      <c r="H1362" t="s">
        <v>825</v>
      </c>
      <c r="I1362">
        <v>1</v>
      </c>
      <c r="J1362">
        <v>0</v>
      </c>
      <c r="K1362">
        <v>0</v>
      </c>
    </row>
    <row r="1363" spans="1:11" x14ac:dyDescent="0.2">
      <c r="A1363">
        <v>96193</v>
      </c>
      <c r="B1363" t="s">
        <v>1333</v>
      </c>
      <c r="C1363" t="str">
        <f t="shared" si="21"/>
        <v>SSUN</v>
      </c>
      <c r="D1363" t="s">
        <v>809</v>
      </c>
      <c r="E1363">
        <v>7</v>
      </c>
      <c r="F1363" t="s">
        <v>830</v>
      </c>
      <c r="G1363">
        <v>100</v>
      </c>
      <c r="H1363" t="s">
        <v>825</v>
      </c>
      <c r="I1363">
        <v>1</v>
      </c>
      <c r="J1363">
        <v>0</v>
      </c>
      <c r="K1363">
        <v>0</v>
      </c>
    </row>
    <row r="1364" spans="1:11" x14ac:dyDescent="0.2">
      <c r="A1364">
        <v>96193</v>
      </c>
      <c r="B1364" t="s">
        <v>1333</v>
      </c>
      <c r="C1364" t="str">
        <f t="shared" si="21"/>
        <v>SSUN</v>
      </c>
      <c r="D1364" t="s">
        <v>810</v>
      </c>
      <c r="E1364">
        <v>7</v>
      </c>
      <c r="F1364" t="s">
        <v>830</v>
      </c>
      <c r="G1364">
        <v>100</v>
      </c>
      <c r="H1364" t="s">
        <v>825</v>
      </c>
      <c r="I1364">
        <v>1</v>
      </c>
      <c r="J1364">
        <v>0</v>
      </c>
      <c r="K1364">
        <v>0</v>
      </c>
    </row>
    <row r="1365" spans="1:11" x14ac:dyDescent="0.2">
      <c r="A1365">
        <v>596193</v>
      </c>
      <c r="B1365" t="s">
        <v>1334</v>
      </c>
      <c r="C1365" t="str">
        <f t="shared" si="21"/>
        <v>SSUN</v>
      </c>
      <c r="D1365" t="s">
        <v>804</v>
      </c>
      <c r="E1365">
        <v>7</v>
      </c>
      <c r="F1365" t="s">
        <v>830</v>
      </c>
      <c r="G1365">
        <v>100</v>
      </c>
      <c r="H1365" t="s">
        <v>825</v>
      </c>
      <c r="I1365">
        <v>1</v>
      </c>
      <c r="J1365">
        <v>18.528199999999998</v>
      </c>
      <c r="K1365">
        <v>6.7679999999999998</v>
      </c>
    </row>
    <row r="1366" spans="1:11" x14ac:dyDescent="0.2">
      <c r="A1366">
        <v>596193</v>
      </c>
      <c r="B1366" t="s">
        <v>1334</v>
      </c>
      <c r="C1366" t="str">
        <f t="shared" si="21"/>
        <v>SSUN</v>
      </c>
      <c r="D1366" t="s">
        <v>807</v>
      </c>
      <c r="E1366">
        <v>7</v>
      </c>
      <c r="F1366" t="s">
        <v>830</v>
      </c>
      <c r="G1366">
        <v>100</v>
      </c>
      <c r="H1366" t="s">
        <v>825</v>
      </c>
      <c r="I1366">
        <v>1</v>
      </c>
      <c r="J1366">
        <v>19.271699999999999</v>
      </c>
      <c r="K1366">
        <v>7.1729000000000003</v>
      </c>
    </row>
    <row r="1367" spans="1:11" x14ac:dyDescent="0.2">
      <c r="A1367">
        <v>96196</v>
      </c>
      <c r="B1367" t="s">
        <v>989</v>
      </c>
      <c r="C1367" t="str">
        <f t="shared" si="21"/>
        <v>HLNM</v>
      </c>
      <c r="D1367" t="s">
        <v>823</v>
      </c>
      <c r="E1367">
        <v>8</v>
      </c>
      <c r="F1367" t="s">
        <v>815</v>
      </c>
      <c r="G1367">
        <v>100</v>
      </c>
      <c r="H1367" t="s">
        <v>825</v>
      </c>
      <c r="I1367">
        <v>1</v>
      </c>
      <c r="J1367">
        <v>9.5389999999999997</v>
      </c>
      <c r="K1367">
        <v>4.1938000000000004</v>
      </c>
    </row>
    <row r="1368" spans="1:11" x14ac:dyDescent="0.2">
      <c r="A1368">
        <v>96199</v>
      </c>
      <c r="B1368" t="s">
        <v>1183</v>
      </c>
      <c r="C1368" t="str">
        <f t="shared" si="21"/>
        <v>ONST</v>
      </c>
      <c r="D1368" t="s">
        <v>823</v>
      </c>
      <c r="E1368">
        <v>8</v>
      </c>
      <c r="F1368" t="s">
        <v>815</v>
      </c>
      <c r="G1368">
        <v>100</v>
      </c>
      <c r="H1368" t="s">
        <v>825</v>
      </c>
      <c r="I1368">
        <v>1</v>
      </c>
      <c r="J1368">
        <v>9.5577000000000005</v>
      </c>
      <c r="K1368">
        <v>-1.429</v>
      </c>
    </row>
    <row r="1369" spans="1:11" x14ac:dyDescent="0.2">
      <c r="A1369">
        <v>96197</v>
      </c>
      <c r="B1369" t="s">
        <v>1236</v>
      </c>
      <c r="C1369" t="str">
        <f t="shared" si="21"/>
        <v>PPSR</v>
      </c>
      <c r="D1369" t="s">
        <v>823</v>
      </c>
      <c r="E1369">
        <v>8</v>
      </c>
      <c r="F1369" t="s">
        <v>815</v>
      </c>
      <c r="G1369">
        <v>100</v>
      </c>
      <c r="H1369" t="s">
        <v>825</v>
      </c>
      <c r="I1369">
        <v>1</v>
      </c>
      <c r="J1369">
        <v>2.7441</v>
      </c>
      <c r="K1369">
        <v>-3.6034999999999999</v>
      </c>
    </row>
    <row r="1370" spans="1:11" x14ac:dyDescent="0.2">
      <c r="A1370">
        <v>96197</v>
      </c>
      <c r="B1370" t="s">
        <v>1236</v>
      </c>
      <c r="C1370" t="str">
        <f t="shared" si="21"/>
        <v>PPSR</v>
      </c>
      <c r="D1370" t="s">
        <v>826</v>
      </c>
      <c r="E1370">
        <v>8</v>
      </c>
      <c r="F1370" t="s">
        <v>815</v>
      </c>
      <c r="G1370">
        <v>100</v>
      </c>
      <c r="H1370" t="s">
        <v>825</v>
      </c>
      <c r="I1370">
        <v>1</v>
      </c>
      <c r="J1370">
        <v>0.12429999999999999</v>
      </c>
      <c r="K1370">
        <v>-1.5709</v>
      </c>
    </row>
    <row r="1371" spans="1:11" x14ac:dyDescent="0.2">
      <c r="A1371">
        <v>96181</v>
      </c>
      <c r="B1371" t="s">
        <v>1319</v>
      </c>
      <c r="C1371" t="str">
        <f t="shared" si="21"/>
        <v>SPWR</v>
      </c>
      <c r="D1371" t="s">
        <v>823</v>
      </c>
      <c r="E1371">
        <v>8</v>
      </c>
      <c r="F1371" t="s">
        <v>815</v>
      </c>
      <c r="G1371">
        <v>100</v>
      </c>
      <c r="H1371" t="s">
        <v>825</v>
      </c>
      <c r="I1371">
        <v>1</v>
      </c>
      <c r="J1371">
        <v>0.14599999999999999</v>
      </c>
      <c r="K1371">
        <v>4.4499999999999998E-2</v>
      </c>
    </row>
    <row r="1372" spans="1:11" x14ac:dyDescent="0.2">
      <c r="A1372">
        <v>96181</v>
      </c>
      <c r="B1372" t="s">
        <v>1319</v>
      </c>
      <c r="C1372" t="str">
        <f t="shared" si="21"/>
        <v>SPWR</v>
      </c>
      <c r="D1372" t="s">
        <v>826</v>
      </c>
      <c r="E1372">
        <v>8</v>
      </c>
      <c r="F1372" t="s">
        <v>815</v>
      </c>
      <c r="G1372">
        <v>100</v>
      </c>
      <c r="H1372" t="s">
        <v>825</v>
      </c>
      <c r="I1372">
        <v>1</v>
      </c>
      <c r="J1372">
        <v>0.18640000000000001</v>
      </c>
      <c r="K1372">
        <v>0.1719</v>
      </c>
    </row>
    <row r="1373" spans="1:11" x14ac:dyDescent="0.2">
      <c r="A1373">
        <v>96181</v>
      </c>
      <c r="B1373" t="s">
        <v>1319</v>
      </c>
      <c r="C1373" t="str">
        <f t="shared" si="21"/>
        <v>SPWR</v>
      </c>
      <c r="D1373" t="s">
        <v>827</v>
      </c>
      <c r="E1373">
        <v>8</v>
      </c>
      <c r="F1373" t="s">
        <v>815</v>
      </c>
      <c r="G1373">
        <v>100</v>
      </c>
      <c r="H1373" t="s">
        <v>825</v>
      </c>
      <c r="I1373">
        <v>1</v>
      </c>
      <c r="J1373">
        <v>0.1046</v>
      </c>
      <c r="K1373">
        <v>0.35930000000000001</v>
      </c>
    </row>
    <row r="1374" spans="1:11" x14ac:dyDescent="0.2">
      <c r="A1374">
        <v>96127</v>
      </c>
      <c r="B1374" t="s">
        <v>1356</v>
      </c>
      <c r="C1374" t="str">
        <f t="shared" si="21"/>
        <v>TIEM</v>
      </c>
      <c r="D1374" t="s">
        <v>804</v>
      </c>
      <c r="E1374">
        <v>8</v>
      </c>
      <c r="F1374" t="s">
        <v>815</v>
      </c>
      <c r="G1374">
        <v>100</v>
      </c>
      <c r="H1374" t="s">
        <v>825</v>
      </c>
      <c r="I1374">
        <v>1</v>
      </c>
      <c r="J1374">
        <v>7.1226000000000003</v>
      </c>
      <c r="K1374">
        <v>2.9034</v>
      </c>
    </row>
    <row r="1375" spans="1:11" x14ac:dyDescent="0.2">
      <c r="A1375">
        <v>96127</v>
      </c>
      <c r="B1375" t="s">
        <v>1356</v>
      </c>
      <c r="C1375" t="str">
        <f t="shared" si="21"/>
        <v>TIEM</v>
      </c>
      <c r="D1375" t="s">
        <v>807</v>
      </c>
      <c r="E1375">
        <v>8</v>
      </c>
      <c r="F1375" t="s">
        <v>815</v>
      </c>
      <c r="G1375">
        <v>100</v>
      </c>
      <c r="H1375" t="s">
        <v>825</v>
      </c>
      <c r="I1375">
        <v>1</v>
      </c>
      <c r="J1375">
        <v>6.8323</v>
      </c>
      <c r="K1375">
        <v>2.2433000000000001</v>
      </c>
    </row>
    <row r="1376" spans="1:11" x14ac:dyDescent="0.2">
      <c r="A1376">
        <v>96124</v>
      </c>
      <c r="B1376" t="s">
        <v>1411</v>
      </c>
      <c r="C1376" t="str">
        <f t="shared" si="21"/>
        <v>XNYI</v>
      </c>
      <c r="D1376" t="s">
        <v>823</v>
      </c>
      <c r="E1376">
        <v>8</v>
      </c>
      <c r="F1376" t="s">
        <v>815</v>
      </c>
      <c r="G1376">
        <v>100</v>
      </c>
      <c r="H1376" t="s">
        <v>825</v>
      </c>
      <c r="I1376">
        <v>1</v>
      </c>
      <c r="J1376">
        <v>9.9733999999999998</v>
      </c>
      <c r="K1376">
        <v>-5.6599999999999998E-2</v>
      </c>
    </row>
    <row r="1377" spans="1:11" x14ac:dyDescent="0.2">
      <c r="A1377">
        <v>96124</v>
      </c>
      <c r="B1377" t="s">
        <v>1411</v>
      </c>
      <c r="C1377" t="str">
        <f t="shared" si="21"/>
        <v>XNYI</v>
      </c>
      <c r="D1377" t="s">
        <v>826</v>
      </c>
      <c r="E1377">
        <v>8</v>
      </c>
      <c r="F1377" t="s">
        <v>815</v>
      </c>
      <c r="G1377">
        <v>100</v>
      </c>
      <c r="H1377" t="s">
        <v>825</v>
      </c>
      <c r="I1377">
        <v>1</v>
      </c>
      <c r="J1377">
        <v>27.8171</v>
      </c>
      <c r="K1377">
        <v>8.0380000000000003</v>
      </c>
    </row>
    <row r="1378" spans="1:11" x14ac:dyDescent="0.2">
      <c r="A1378">
        <v>97160</v>
      </c>
      <c r="B1378" t="s">
        <v>841</v>
      </c>
      <c r="C1378" t="str">
        <f t="shared" si="21"/>
        <v>ASTM</v>
      </c>
      <c r="D1378" t="s">
        <v>823</v>
      </c>
      <c r="E1378">
        <v>9</v>
      </c>
      <c r="F1378" t="s">
        <v>817</v>
      </c>
      <c r="G1378">
        <v>100</v>
      </c>
      <c r="H1378" t="s">
        <v>825</v>
      </c>
      <c r="I1378">
        <v>1</v>
      </c>
      <c r="J1378">
        <v>0.1646</v>
      </c>
      <c r="K1378">
        <v>4.4499999999999998E-2</v>
      </c>
    </row>
    <row r="1379" spans="1:11" x14ac:dyDescent="0.2">
      <c r="A1379">
        <v>97160</v>
      </c>
      <c r="B1379" t="s">
        <v>841</v>
      </c>
      <c r="C1379" t="str">
        <f t="shared" si="21"/>
        <v>ASTM</v>
      </c>
      <c r="D1379" t="s">
        <v>826</v>
      </c>
      <c r="E1379">
        <v>9</v>
      </c>
      <c r="F1379" t="s">
        <v>817</v>
      </c>
      <c r="G1379">
        <v>100</v>
      </c>
      <c r="H1379" t="s">
        <v>825</v>
      </c>
      <c r="I1379">
        <v>1</v>
      </c>
      <c r="J1379">
        <v>0</v>
      </c>
      <c r="K1379">
        <v>0</v>
      </c>
    </row>
    <row r="1380" spans="1:11" x14ac:dyDescent="0.2">
      <c r="A1380">
        <v>97405</v>
      </c>
      <c r="B1380" t="s">
        <v>843</v>
      </c>
      <c r="C1380" t="str">
        <f t="shared" si="21"/>
        <v>ATDC</v>
      </c>
      <c r="D1380" t="s">
        <v>804</v>
      </c>
      <c r="E1380">
        <v>9</v>
      </c>
      <c r="F1380" t="s">
        <v>817</v>
      </c>
      <c r="G1380">
        <v>100</v>
      </c>
      <c r="H1380" t="s">
        <v>825</v>
      </c>
      <c r="I1380">
        <v>1</v>
      </c>
      <c r="J1380">
        <v>8.1918000000000006</v>
      </c>
      <c r="K1380">
        <v>-7.9699999999999993E-2</v>
      </c>
    </row>
    <row r="1381" spans="1:11" x14ac:dyDescent="0.2">
      <c r="A1381">
        <v>97405</v>
      </c>
      <c r="B1381" t="s">
        <v>843</v>
      </c>
      <c r="C1381" t="str">
        <f t="shared" si="21"/>
        <v>ATDC</v>
      </c>
      <c r="D1381" t="s">
        <v>807</v>
      </c>
      <c r="E1381">
        <v>9</v>
      </c>
      <c r="F1381" t="s">
        <v>817</v>
      </c>
      <c r="G1381">
        <v>100</v>
      </c>
      <c r="H1381" t="s">
        <v>825</v>
      </c>
      <c r="I1381">
        <v>1</v>
      </c>
      <c r="J1381">
        <v>7.4161999999999999</v>
      </c>
      <c r="K1381">
        <v>-0.2185</v>
      </c>
    </row>
    <row r="1382" spans="1:11" x14ac:dyDescent="0.2">
      <c r="A1382">
        <v>97405</v>
      </c>
      <c r="B1382" t="s">
        <v>843</v>
      </c>
      <c r="C1382" t="str">
        <f t="shared" si="21"/>
        <v>ATDC</v>
      </c>
      <c r="D1382" t="s">
        <v>808</v>
      </c>
      <c r="E1382">
        <v>9</v>
      </c>
      <c r="F1382" t="s">
        <v>817</v>
      </c>
      <c r="G1382">
        <v>100</v>
      </c>
      <c r="H1382" t="s">
        <v>825</v>
      </c>
      <c r="I1382">
        <v>1</v>
      </c>
      <c r="J1382">
        <v>1.2474000000000001</v>
      </c>
      <c r="K1382">
        <v>0.92490000000000006</v>
      </c>
    </row>
    <row r="1383" spans="1:11" x14ac:dyDescent="0.2">
      <c r="A1383">
        <v>97246</v>
      </c>
      <c r="B1383" t="s">
        <v>900</v>
      </c>
      <c r="C1383" t="str">
        <f t="shared" si="21"/>
        <v>BRDC</v>
      </c>
      <c r="D1383" t="s">
        <v>804</v>
      </c>
      <c r="E1383">
        <v>9</v>
      </c>
      <c r="F1383" t="s">
        <v>817</v>
      </c>
      <c r="G1383">
        <v>100</v>
      </c>
      <c r="H1383" t="s">
        <v>825</v>
      </c>
      <c r="I1383">
        <v>1</v>
      </c>
      <c r="J1383">
        <v>93.360600000000005</v>
      </c>
      <c r="K1383">
        <v>4.2041000000000004</v>
      </c>
    </row>
    <row r="1384" spans="1:11" x14ac:dyDescent="0.2">
      <c r="A1384">
        <v>97246</v>
      </c>
      <c r="B1384" t="s">
        <v>900</v>
      </c>
      <c r="C1384" t="str">
        <f t="shared" si="21"/>
        <v>BRDC</v>
      </c>
      <c r="D1384" t="s">
        <v>807</v>
      </c>
      <c r="E1384">
        <v>9</v>
      </c>
      <c r="F1384" t="s">
        <v>817</v>
      </c>
      <c r="G1384">
        <v>100</v>
      </c>
      <c r="H1384" t="s">
        <v>825</v>
      </c>
      <c r="I1384">
        <v>1</v>
      </c>
      <c r="J1384">
        <v>90.569900000000004</v>
      </c>
      <c r="K1384">
        <v>5.6538000000000004</v>
      </c>
    </row>
    <row r="1385" spans="1:11" x14ac:dyDescent="0.2">
      <c r="A1385">
        <v>97211</v>
      </c>
      <c r="B1385" t="s">
        <v>908</v>
      </c>
      <c r="C1385" t="str">
        <f t="shared" si="21"/>
        <v>BSTL</v>
      </c>
      <c r="D1385" t="s">
        <v>823</v>
      </c>
      <c r="E1385">
        <v>9</v>
      </c>
      <c r="F1385" t="s">
        <v>817</v>
      </c>
      <c r="G1385">
        <v>100</v>
      </c>
      <c r="H1385" t="s">
        <v>825</v>
      </c>
      <c r="I1385">
        <v>1</v>
      </c>
      <c r="J1385">
        <v>4.4526000000000003</v>
      </c>
      <c r="K1385">
        <v>-3.0028999999999999</v>
      </c>
    </row>
    <row r="1386" spans="1:11" x14ac:dyDescent="0.2">
      <c r="A1386">
        <v>97211</v>
      </c>
      <c r="B1386" t="s">
        <v>908</v>
      </c>
      <c r="C1386" t="str">
        <f t="shared" si="21"/>
        <v>BSTL</v>
      </c>
      <c r="D1386" t="s">
        <v>826</v>
      </c>
      <c r="E1386">
        <v>9</v>
      </c>
      <c r="F1386" t="s">
        <v>817</v>
      </c>
      <c r="G1386">
        <v>100</v>
      </c>
      <c r="H1386" t="s">
        <v>825</v>
      </c>
      <c r="I1386">
        <v>1</v>
      </c>
      <c r="J1386">
        <v>0</v>
      </c>
      <c r="K1386">
        <v>0</v>
      </c>
    </row>
    <row r="1387" spans="1:11" x14ac:dyDescent="0.2">
      <c r="A1387">
        <v>97403</v>
      </c>
      <c r="B1387" t="s">
        <v>969</v>
      </c>
      <c r="C1387" t="str">
        <f t="shared" si="21"/>
        <v>GDSD</v>
      </c>
      <c r="D1387" t="s">
        <v>804</v>
      </c>
      <c r="E1387">
        <v>9</v>
      </c>
      <c r="F1387" t="s">
        <v>817</v>
      </c>
      <c r="G1387">
        <v>100</v>
      </c>
      <c r="H1387" t="s">
        <v>825</v>
      </c>
      <c r="I1387">
        <v>1</v>
      </c>
      <c r="J1387">
        <v>48.713000000000001</v>
      </c>
      <c r="K1387">
        <v>3.6636000000000002</v>
      </c>
    </row>
    <row r="1388" spans="1:11" x14ac:dyDescent="0.2">
      <c r="A1388">
        <v>97403</v>
      </c>
      <c r="B1388" t="s">
        <v>969</v>
      </c>
      <c r="C1388" t="str">
        <f t="shared" si="21"/>
        <v>GDSD</v>
      </c>
      <c r="D1388" t="s">
        <v>807</v>
      </c>
      <c r="E1388">
        <v>9</v>
      </c>
      <c r="F1388" t="s">
        <v>817</v>
      </c>
      <c r="G1388">
        <v>100</v>
      </c>
      <c r="H1388" t="s">
        <v>825</v>
      </c>
      <c r="I1388">
        <v>1</v>
      </c>
      <c r="J1388">
        <v>4.2487000000000004</v>
      </c>
      <c r="K1388">
        <v>0.37590000000000001</v>
      </c>
    </row>
    <row r="1389" spans="1:11" x14ac:dyDescent="0.2">
      <c r="A1389">
        <v>97403</v>
      </c>
      <c r="B1389" t="s">
        <v>969</v>
      </c>
      <c r="C1389" t="str">
        <f t="shared" si="21"/>
        <v>GDSD</v>
      </c>
      <c r="D1389" t="s">
        <v>808</v>
      </c>
      <c r="E1389">
        <v>9</v>
      </c>
      <c r="F1389" t="s">
        <v>817</v>
      </c>
      <c r="G1389">
        <v>100</v>
      </c>
      <c r="H1389" t="s">
        <v>825</v>
      </c>
      <c r="I1389">
        <v>1</v>
      </c>
      <c r="J1389">
        <v>42.667700000000004</v>
      </c>
      <c r="K1389">
        <v>3.7050000000000001</v>
      </c>
    </row>
    <row r="1390" spans="1:11" x14ac:dyDescent="0.2">
      <c r="A1390">
        <v>97403</v>
      </c>
      <c r="B1390" t="s">
        <v>969</v>
      </c>
      <c r="C1390" t="str">
        <f t="shared" si="21"/>
        <v>GDSD</v>
      </c>
      <c r="D1390" t="s">
        <v>809</v>
      </c>
      <c r="E1390">
        <v>9</v>
      </c>
      <c r="F1390" t="s">
        <v>817</v>
      </c>
      <c r="G1390">
        <v>100</v>
      </c>
      <c r="H1390" t="s">
        <v>825</v>
      </c>
      <c r="I1390">
        <v>1</v>
      </c>
      <c r="J1390">
        <v>4.2496999999999998</v>
      </c>
      <c r="K1390">
        <v>0.27650000000000002</v>
      </c>
    </row>
    <row r="1391" spans="1:11" x14ac:dyDescent="0.2">
      <c r="A1391">
        <v>97402</v>
      </c>
      <c r="B1391" t="s">
        <v>1044</v>
      </c>
      <c r="C1391" t="str">
        <f t="shared" si="21"/>
        <v>KISW</v>
      </c>
      <c r="D1391" t="s">
        <v>823</v>
      </c>
      <c r="E1391">
        <v>9</v>
      </c>
      <c r="F1391" t="s">
        <v>817</v>
      </c>
      <c r="G1391">
        <v>100</v>
      </c>
      <c r="H1391" t="s">
        <v>825</v>
      </c>
      <c r="I1391">
        <v>1</v>
      </c>
      <c r="J1391">
        <v>6.5236000000000001</v>
      </c>
      <c r="K1391">
        <v>2.7957999999999998</v>
      </c>
    </row>
    <row r="1392" spans="1:11" x14ac:dyDescent="0.2">
      <c r="A1392">
        <v>97402</v>
      </c>
      <c r="B1392" t="s">
        <v>1044</v>
      </c>
      <c r="C1392" t="str">
        <f t="shared" si="21"/>
        <v>KISW</v>
      </c>
      <c r="D1392" t="s">
        <v>826</v>
      </c>
      <c r="E1392">
        <v>9</v>
      </c>
      <c r="F1392" t="s">
        <v>817</v>
      </c>
      <c r="G1392">
        <v>100</v>
      </c>
      <c r="H1392" t="s">
        <v>825</v>
      </c>
      <c r="I1392">
        <v>1</v>
      </c>
      <c r="J1392">
        <v>7.5902000000000003</v>
      </c>
      <c r="K1392">
        <v>2.8372999999999999</v>
      </c>
    </row>
    <row r="1393" spans="1:11" x14ac:dyDescent="0.2">
      <c r="A1393">
        <v>97161</v>
      </c>
      <c r="B1393" t="s">
        <v>1082</v>
      </c>
      <c r="C1393" t="str">
        <f t="shared" si="21"/>
        <v>KRGM</v>
      </c>
      <c r="D1393" t="s">
        <v>823</v>
      </c>
      <c r="E1393">
        <v>9</v>
      </c>
      <c r="F1393" t="s">
        <v>817</v>
      </c>
      <c r="G1393">
        <v>100</v>
      </c>
      <c r="H1393" t="s">
        <v>825</v>
      </c>
      <c r="I1393">
        <v>1</v>
      </c>
      <c r="J1393">
        <v>2.7585999999999999</v>
      </c>
      <c r="K1393">
        <v>0.62649999999999995</v>
      </c>
    </row>
    <row r="1394" spans="1:11" x14ac:dyDescent="0.2">
      <c r="A1394">
        <v>97161</v>
      </c>
      <c r="B1394" t="s">
        <v>1082</v>
      </c>
      <c r="C1394" t="str">
        <f t="shared" si="21"/>
        <v>KRGM</v>
      </c>
      <c r="D1394" t="s">
        <v>826</v>
      </c>
      <c r="E1394">
        <v>9</v>
      </c>
      <c r="F1394" t="s">
        <v>817</v>
      </c>
      <c r="G1394">
        <v>100</v>
      </c>
      <c r="H1394" t="s">
        <v>825</v>
      </c>
      <c r="I1394">
        <v>1</v>
      </c>
      <c r="J1394">
        <v>2.7585999999999999</v>
      </c>
      <c r="K1394">
        <v>0.62649999999999995</v>
      </c>
    </row>
    <row r="1395" spans="1:11" x14ac:dyDescent="0.2">
      <c r="A1395">
        <v>96175</v>
      </c>
      <c r="B1395" t="s">
        <v>1083</v>
      </c>
      <c r="C1395" t="str">
        <f t="shared" si="21"/>
        <v>KRMB</v>
      </c>
      <c r="D1395" t="s">
        <v>823</v>
      </c>
      <c r="E1395">
        <v>9</v>
      </c>
      <c r="F1395" t="s">
        <v>817</v>
      </c>
      <c r="G1395">
        <v>100</v>
      </c>
      <c r="H1395" t="s">
        <v>825</v>
      </c>
      <c r="I1395">
        <v>1</v>
      </c>
      <c r="J1395">
        <v>0.74970000000000003</v>
      </c>
      <c r="K1395">
        <v>-0.62129999999999996</v>
      </c>
    </row>
    <row r="1396" spans="1:11" x14ac:dyDescent="0.2">
      <c r="A1396">
        <v>96175</v>
      </c>
      <c r="B1396" t="s">
        <v>1083</v>
      </c>
      <c r="C1396" t="str">
        <f t="shared" si="21"/>
        <v>KRMB</v>
      </c>
      <c r="D1396" t="s">
        <v>826</v>
      </c>
      <c r="E1396">
        <v>9</v>
      </c>
      <c r="F1396" t="s">
        <v>817</v>
      </c>
      <c r="G1396">
        <v>100</v>
      </c>
      <c r="H1396" t="s">
        <v>825</v>
      </c>
      <c r="I1396">
        <v>1</v>
      </c>
      <c r="J1396">
        <v>1.2219</v>
      </c>
      <c r="K1396">
        <v>0.2858</v>
      </c>
    </row>
    <row r="1397" spans="1:11" x14ac:dyDescent="0.2">
      <c r="A1397">
        <v>97401</v>
      </c>
      <c r="B1397" t="s">
        <v>1152</v>
      </c>
      <c r="C1397" t="str">
        <f t="shared" si="21"/>
        <v>MMHE</v>
      </c>
      <c r="D1397" t="s">
        <v>823</v>
      </c>
      <c r="E1397">
        <v>9</v>
      </c>
      <c r="F1397" t="s">
        <v>817</v>
      </c>
      <c r="G1397">
        <v>100</v>
      </c>
      <c r="H1397" t="s">
        <v>825</v>
      </c>
      <c r="I1397">
        <v>1</v>
      </c>
      <c r="J1397">
        <v>1.5573999999999999</v>
      </c>
      <c r="K1397">
        <v>0.78280000000000005</v>
      </c>
    </row>
    <row r="1398" spans="1:11" x14ac:dyDescent="0.2">
      <c r="A1398">
        <v>97401</v>
      </c>
      <c r="B1398" t="s">
        <v>1152</v>
      </c>
      <c r="C1398" t="str">
        <f t="shared" si="21"/>
        <v>MMHE</v>
      </c>
      <c r="D1398" t="s">
        <v>826</v>
      </c>
      <c r="E1398">
        <v>9</v>
      </c>
      <c r="F1398" t="s">
        <v>817</v>
      </c>
      <c r="G1398">
        <v>100</v>
      </c>
      <c r="H1398" t="s">
        <v>825</v>
      </c>
      <c r="I1398">
        <v>1</v>
      </c>
      <c r="J1398">
        <v>6.1923000000000004</v>
      </c>
      <c r="K1398">
        <v>1.0324</v>
      </c>
    </row>
    <row r="1399" spans="1:11" x14ac:dyDescent="0.2">
      <c r="A1399">
        <v>97409</v>
      </c>
      <c r="B1399" t="s">
        <v>1248</v>
      </c>
      <c r="C1399" t="str">
        <f t="shared" si="21"/>
        <v>PTDC</v>
      </c>
      <c r="D1399" t="s">
        <v>804</v>
      </c>
      <c r="E1399">
        <v>9</v>
      </c>
      <c r="F1399" t="s">
        <v>817</v>
      </c>
      <c r="G1399">
        <v>100</v>
      </c>
      <c r="H1399" t="s">
        <v>825</v>
      </c>
      <c r="I1399">
        <v>1</v>
      </c>
      <c r="J1399">
        <v>19.421800000000001</v>
      </c>
      <c r="K1399">
        <v>1.1556</v>
      </c>
    </row>
    <row r="1400" spans="1:11" x14ac:dyDescent="0.2">
      <c r="A1400">
        <v>97409</v>
      </c>
      <c r="B1400" t="s">
        <v>1248</v>
      </c>
      <c r="C1400" t="str">
        <f t="shared" si="21"/>
        <v>PTDC</v>
      </c>
      <c r="D1400" t="s">
        <v>807</v>
      </c>
      <c r="E1400">
        <v>9</v>
      </c>
      <c r="F1400" t="s">
        <v>817</v>
      </c>
      <c r="G1400">
        <v>100</v>
      </c>
      <c r="H1400" t="s">
        <v>825</v>
      </c>
      <c r="I1400">
        <v>1</v>
      </c>
      <c r="J1400">
        <v>19.4467</v>
      </c>
      <c r="K1400">
        <v>1.1432</v>
      </c>
    </row>
    <row r="1401" spans="1:11" x14ac:dyDescent="0.2">
      <c r="A1401">
        <v>97199</v>
      </c>
      <c r="B1401" t="s">
        <v>1249</v>
      </c>
      <c r="C1401" t="str">
        <f t="shared" si="21"/>
        <v>PTPS</v>
      </c>
      <c r="D1401" t="s">
        <v>823</v>
      </c>
      <c r="E1401">
        <v>9</v>
      </c>
      <c r="F1401" t="s">
        <v>817</v>
      </c>
      <c r="G1401">
        <v>100</v>
      </c>
      <c r="H1401" t="s">
        <v>825</v>
      </c>
      <c r="I1401">
        <v>1</v>
      </c>
      <c r="J1401">
        <v>9.6829000000000001</v>
      </c>
      <c r="K1401">
        <v>3.0226000000000002</v>
      </c>
    </row>
    <row r="1402" spans="1:11" x14ac:dyDescent="0.2">
      <c r="A1402">
        <v>97199</v>
      </c>
      <c r="B1402" t="s">
        <v>1249</v>
      </c>
      <c r="C1402" t="str">
        <f t="shared" si="21"/>
        <v>PTPS</v>
      </c>
      <c r="D1402" t="s">
        <v>826</v>
      </c>
      <c r="E1402">
        <v>9</v>
      </c>
      <c r="F1402" t="s">
        <v>817</v>
      </c>
      <c r="G1402">
        <v>100</v>
      </c>
      <c r="H1402" t="s">
        <v>825</v>
      </c>
      <c r="I1402">
        <v>1</v>
      </c>
      <c r="J1402">
        <v>10.119899999999999</v>
      </c>
      <c r="K1402">
        <v>1.7892999999999999</v>
      </c>
    </row>
    <row r="1403" spans="1:11" x14ac:dyDescent="0.2">
      <c r="A1403">
        <v>97196</v>
      </c>
      <c r="B1403" t="s">
        <v>1338</v>
      </c>
      <c r="C1403" t="str">
        <f t="shared" si="21"/>
        <v>STME</v>
      </c>
      <c r="D1403" t="s">
        <v>823</v>
      </c>
      <c r="E1403">
        <v>9</v>
      </c>
      <c r="F1403" t="s">
        <v>817</v>
      </c>
      <c r="G1403">
        <v>100</v>
      </c>
      <c r="H1403" t="s">
        <v>825</v>
      </c>
      <c r="I1403">
        <v>1</v>
      </c>
      <c r="J1403">
        <v>14.076599999999999</v>
      </c>
      <c r="K1403">
        <v>5.5586000000000002</v>
      </c>
    </row>
    <row r="1404" spans="1:11" x14ac:dyDescent="0.2">
      <c r="A1404">
        <v>97196</v>
      </c>
      <c r="B1404" t="s">
        <v>1338</v>
      </c>
      <c r="C1404" t="str">
        <f t="shared" si="21"/>
        <v>STME</v>
      </c>
      <c r="D1404" t="s">
        <v>826</v>
      </c>
      <c r="E1404">
        <v>9</v>
      </c>
      <c r="F1404" t="s">
        <v>817</v>
      </c>
      <c r="G1404">
        <v>100</v>
      </c>
      <c r="H1404" t="s">
        <v>825</v>
      </c>
      <c r="I1404">
        <v>1</v>
      </c>
      <c r="J1404">
        <v>13.2471</v>
      </c>
      <c r="K1404">
        <v>5.3990999999999998</v>
      </c>
    </row>
    <row r="1405" spans="1:11" x14ac:dyDescent="0.2">
      <c r="A1405">
        <v>97183</v>
      </c>
      <c r="B1405" t="s">
        <v>1374</v>
      </c>
      <c r="C1405" t="str">
        <f t="shared" si="21"/>
        <v>TLTP</v>
      </c>
      <c r="D1405" t="s">
        <v>823</v>
      </c>
      <c r="E1405">
        <v>9</v>
      </c>
      <c r="F1405" t="s">
        <v>817</v>
      </c>
      <c r="G1405">
        <v>100</v>
      </c>
      <c r="H1405" t="s">
        <v>825</v>
      </c>
      <c r="I1405">
        <v>1</v>
      </c>
      <c r="J1405">
        <v>24.1996</v>
      </c>
      <c r="K1405">
        <v>7.8346</v>
      </c>
    </row>
    <row r="1406" spans="1:11" x14ac:dyDescent="0.2">
      <c r="A1406">
        <v>97171</v>
      </c>
      <c r="B1406" t="s">
        <v>1391</v>
      </c>
      <c r="C1406" t="str">
        <f t="shared" si="21"/>
        <v>TTAN</v>
      </c>
      <c r="D1406" t="s">
        <v>823</v>
      </c>
      <c r="E1406">
        <v>9</v>
      </c>
      <c r="F1406" t="s">
        <v>817</v>
      </c>
      <c r="G1406">
        <v>100</v>
      </c>
      <c r="H1406" t="s">
        <v>825</v>
      </c>
      <c r="I1406">
        <v>1</v>
      </c>
      <c r="J1406">
        <v>13.501899999999999</v>
      </c>
      <c r="K1406">
        <v>5.8154000000000003</v>
      </c>
    </row>
    <row r="1407" spans="1:11" x14ac:dyDescent="0.2">
      <c r="A1407">
        <v>97171</v>
      </c>
      <c r="B1407" t="s">
        <v>1391</v>
      </c>
      <c r="C1407" t="str">
        <f t="shared" si="21"/>
        <v>TTAN</v>
      </c>
      <c r="D1407" t="s">
        <v>826</v>
      </c>
      <c r="E1407">
        <v>9</v>
      </c>
      <c r="F1407" t="s">
        <v>817</v>
      </c>
      <c r="G1407">
        <v>100</v>
      </c>
      <c r="H1407" t="s">
        <v>825</v>
      </c>
      <c r="I1407">
        <v>1</v>
      </c>
      <c r="J1407">
        <v>12.7346</v>
      </c>
      <c r="K1407">
        <v>5.9645000000000001</v>
      </c>
    </row>
    <row r="1408" spans="1:11" x14ac:dyDescent="0.2">
      <c r="A1408">
        <v>97159</v>
      </c>
      <c r="B1408" t="s">
        <v>1401</v>
      </c>
      <c r="C1408" t="str">
        <f t="shared" si="21"/>
        <v>UTMJ</v>
      </c>
      <c r="D1408" t="s">
        <v>823</v>
      </c>
      <c r="E1408">
        <v>9</v>
      </c>
      <c r="F1408" t="s">
        <v>817</v>
      </c>
      <c r="G1408">
        <v>100</v>
      </c>
      <c r="H1408" t="s">
        <v>825</v>
      </c>
      <c r="I1408">
        <v>1</v>
      </c>
      <c r="J1408">
        <v>4.0799000000000003</v>
      </c>
      <c r="K1408">
        <v>-0.98370000000000002</v>
      </c>
    </row>
    <row r="1409" spans="1:11" x14ac:dyDescent="0.2">
      <c r="A1409">
        <v>597159</v>
      </c>
      <c r="B1409" t="s">
        <v>1402</v>
      </c>
      <c r="C1409" t="str">
        <f t="shared" si="21"/>
        <v>UTMJ</v>
      </c>
      <c r="D1409" t="s">
        <v>826</v>
      </c>
      <c r="E1409">
        <v>9</v>
      </c>
      <c r="F1409" t="s">
        <v>817</v>
      </c>
      <c r="G1409">
        <v>100</v>
      </c>
      <c r="H1409" t="s">
        <v>825</v>
      </c>
      <c r="I1409">
        <v>1</v>
      </c>
      <c r="J1409">
        <v>1.3565</v>
      </c>
      <c r="K1409">
        <v>-0.4556</v>
      </c>
    </row>
    <row r="1410" spans="1:11" x14ac:dyDescent="0.2">
      <c r="A1410">
        <v>97247</v>
      </c>
      <c r="B1410" t="s">
        <v>1413</v>
      </c>
      <c r="C1410" t="str">
        <f t="shared" si="21"/>
        <v>YWDC</v>
      </c>
      <c r="D1410" t="s">
        <v>804</v>
      </c>
      <c r="E1410">
        <v>9</v>
      </c>
      <c r="F1410" t="s">
        <v>817</v>
      </c>
      <c r="G1410">
        <v>100</v>
      </c>
      <c r="H1410" t="s">
        <v>825</v>
      </c>
      <c r="I1410">
        <v>1</v>
      </c>
      <c r="J1410">
        <v>5.6383000000000001</v>
      </c>
      <c r="K1410">
        <v>-0.68340000000000001</v>
      </c>
    </row>
    <row r="1411" spans="1:11" x14ac:dyDescent="0.2">
      <c r="A1411">
        <v>97247</v>
      </c>
      <c r="B1411" t="s">
        <v>1413</v>
      </c>
      <c r="C1411" t="str">
        <f t="shared" ref="C1411:C1448" si="22">LEFT(B1411,4)</f>
        <v>YWDC</v>
      </c>
      <c r="D1411" t="s">
        <v>807</v>
      </c>
      <c r="E1411">
        <v>9</v>
      </c>
      <c r="F1411" t="s">
        <v>817</v>
      </c>
      <c r="G1411">
        <v>100</v>
      </c>
      <c r="H1411" t="s">
        <v>825</v>
      </c>
      <c r="I1411">
        <v>1</v>
      </c>
      <c r="J1411">
        <v>0.62649999999999995</v>
      </c>
      <c r="K1411">
        <v>-1.2529999999999999</v>
      </c>
    </row>
    <row r="1412" spans="1:11" x14ac:dyDescent="0.2">
      <c r="A1412">
        <v>74130</v>
      </c>
      <c r="B1412" t="s">
        <v>822</v>
      </c>
      <c r="C1412" t="str">
        <f t="shared" si="22"/>
        <v>AMCO</v>
      </c>
      <c r="D1412" t="s">
        <v>823</v>
      </c>
      <c r="E1412">
        <v>10</v>
      </c>
      <c r="F1412" t="s">
        <v>824</v>
      </c>
      <c r="G1412">
        <v>100</v>
      </c>
      <c r="H1412" t="s">
        <v>825</v>
      </c>
      <c r="I1412">
        <v>1</v>
      </c>
      <c r="J1412">
        <v>3.5621</v>
      </c>
      <c r="K1412">
        <v>2.5472999999999999</v>
      </c>
    </row>
    <row r="1413" spans="1:11" x14ac:dyDescent="0.2">
      <c r="A1413">
        <v>74130</v>
      </c>
      <c r="B1413" t="s">
        <v>822</v>
      </c>
      <c r="C1413" t="str">
        <f t="shared" si="22"/>
        <v>AMCO</v>
      </c>
      <c r="D1413" t="s">
        <v>826</v>
      </c>
      <c r="E1413">
        <v>10</v>
      </c>
      <c r="F1413" t="s">
        <v>824</v>
      </c>
      <c r="G1413">
        <v>100</v>
      </c>
      <c r="H1413" t="s">
        <v>825</v>
      </c>
      <c r="I1413">
        <v>1</v>
      </c>
      <c r="J1413">
        <v>4.2145000000000001</v>
      </c>
      <c r="K1413">
        <v>3.2722000000000002</v>
      </c>
    </row>
    <row r="1414" spans="1:11" x14ac:dyDescent="0.2">
      <c r="A1414">
        <v>74130</v>
      </c>
      <c r="B1414" t="s">
        <v>822</v>
      </c>
      <c r="C1414" t="str">
        <f t="shared" si="22"/>
        <v>AMCO</v>
      </c>
      <c r="D1414" t="s">
        <v>827</v>
      </c>
      <c r="E1414">
        <v>10</v>
      </c>
      <c r="F1414" t="s">
        <v>824</v>
      </c>
      <c r="G1414">
        <v>100</v>
      </c>
      <c r="H1414" t="s">
        <v>825</v>
      </c>
      <c r="I1414">
        <v>1</v>
      </c>
      <c r="J1414">
        <v>0</v>
      </c>
      <c r="K1414">
        <v>0</v>
      </c>
    </row>
    <row r="1415" spans="1:11" x14ac:dyDescent="0.2">
      <c r="A1415">
        <v>75207</v>
      </c>
      <c r="B1415" t="s">
        <v>839</v>
      </c>
      <c r="C1415" t="str">
        <f t="shared" si="22"/>
        <v>ASSB</v>
      </c>
      <c r="D1415" t="s">
        <v>823</v>
      </c>
      <c r="E1415">
        <v>10</v>
      </c>
      <c r="F1415" t="s">
        <v>824</v>
      </c>
      <c r="G1415">
        <v>100</v>
      </c>
      <c r="H1415" t="s">
        <v>825</v>
      </c>
      <c r="I1415">
        <v>1</v>
      </c>
      <c r="J1415">
        <v>23.609400000000001</v>
      </c>
      <c r="K1415">
        <v>-1.7603</v>
      </c>
    </row>
    <row r="1416" spans="1:11" x14ac:dyDescent="0.2">
      <c r="A1416">
        <v>74124</v>
      </c>
      <c r="B1416" t="s">
        <v>970</v>
      </c>
      <c r="C1416" t="str">
        <f t="shared" si="22"/>
        <v>GHLD</v>
      </c>
      <c r="D1416" t="s">
        <v>827</v>
      </c>
      <c r="E1416">
        <v>10</v>
      </c>
      <c r="F1416" t="s">
        <v>824</v>
      </c>
      <c r="G1416">
        <v>100</v>
      </c>
      <c r="H1416" t="s">
        <v>825</v>
      </c>
      <c r="I1416">
        <v>1</v>
      </c>
      <c r="J1416">
        <v>0</v>
      </c>
      <c r="K1416">
        <v>0</v>
      </c>
    </row>
    <row r="1417" spans="1:11" x14ac:dyDescent="0.2">
      <c r="A1417">
        <v>74124</v>
      </c>
      <c r="B1417" t="s">
        <v>970</v>
      </c>
      <c r="C1417" t="str">
        <f t="shared" si="22"/>
        <v>GHLD</v>
      </c>
      <c r="D1417" t="s">
        <v>971</v>
      </c>
      <c r="E1417">
        <v>10</v>
      </c>
      <c r="F1417" t="s">
        <v>824</v>
      </c>
      <c r="G1417">
        <v>100</v>
      </c>
      <c r="H1417" t="s">
        <v>825</v>
      </c>
      <c r="I1417">
        <v>1</v>
      </c>
      <c r="J1417">
        <v>0</v>
      </c>
      <c r="K1417">
        <v>0</v>
      </c>
    </row>
    <row r="1418" spans="1:11" x14ac:dyDescent="0.2">
      <c r="A1418">
        <v>74124</v>
      </c>
      <c r="B1418" t="s">
        <v>970</v>
      </c>
      <c r="C1418" t="str">
        <f t="shared" si="22"/>
        <v>GHLD</v>
      </c>
      <c r="D1418" t="s">
        <v>804</v>
      </c>
      <c r="E1418">
        <v>10</v>
      </c>
      <c r="F1418" t="s">
        <v>824</v>
      </c>
      <c r="G1418">
        <v>100</v>
      </c>
      <c r="H1418" t="s">
        <v>825</v>
      </c>
      <c r="I1418">
        <v>1</v>
      </c>
      <c r="J1418">
        <v>7.1479999999999997</v>
      </c>
      <c r="K1418">
        <v>2.0253999999999999</v>
      </c>
    </row>
    <row r="1419" spans="1:11" x14ac:dyDescent="0.2">
      <c r="A1419">
        <v>74124</v>
      </c>
      <c r="B1419" t="s">
        <v>970</v>
      </c>
      <c r="C1419" t="str">
        <f t="shared" si="22"/>
        <v>GHLD</v>
      </c>
      <c r="D1419" t="s">
        <v>807</v>
      </c>
      <c r="E1419">
        <v>10</v>
      </c>
      <c r="F1419" t="s">
        <v>824</v>
      </c>
      <c r="G1419">
        <v>100</v>
      </c>
      <c r="H1419" t="s">
        <v>825</v>
      </c>
      <c r="I1419">
        <v>1</v>
      </c>
      <c r="J1419">
        <v>7.1479999999999997</v>
      </c>
      <c r="K1419">
        <v>2.0253999999999999</v>
      </c>
    </row>
    <row r="1420" spans="1:11" x14ac:dyDescent="0.2">
      <c r="A1420">
        <v>74146</v>
      </c>
      <c r="B1420" t="s">
        <v>1012</v>
      </c>
      <c r="C1420" t="str">
        <f t="shared" si="22"/>
        <v>JDSI</v>
      </c>
      <c r="D1420" t="s">
        <v>823</v>
      </c>
      <c r="E1420">
        <v>10</v>
      </c>
      <c r="F1420" t="s">
        <v>824</v>
      </c>
      <c r="G1420">
        <v>100</v>
      </c>
      <c r="H1420" t="s">
        <v>825</v>
      </c>
      <c r="I1420">
        <v>1</v>
      </c>
      <c r="J1420">
        <v>0.1139</v>
      </c>
      <c r="K1420">
        <v>-2.2677</v>
      </c>
    </row>
    <row r="1421" spans="1:11" x14ac:dyDescent="0.2">
      <c r="A1421">
        <v>74146</v>
      </c>
      <c r="B1421" t="s">
        <v>1012</v>
      </c>
      <c r="C1421" t="str">
        <f t="shared" si="22"/>
        <v>JDSI</v>
      </c>
      <c r="D1421" t="s">
        <v>826</v>
      </c>
      <c r="E1421">
        <v>10</v>
      </c>
      <c r="F1421" t="s">
        <v>824</v>
      </c>
      <c r="G1421">
        <v>100</v>
      </c>
      <c r="H1421" t="s">
        <v>825</v>
      </c>
      <c r="I1421">
        <v>1</v>
      </c>
      <c r="J1421">
        <v>0</v>
      </c>
      <c r="K1421">
        <v>0</v>
      </c>
    </row>
    <row r="1422" spans="1:11" x14ac:dyDescent="0.2">
      <c r="A1422">
        <v>74140</v>
      </c>
      <c r="B1422" t="s">
        <v>1075</v>
      </c>
      <c r="C1422" t="str">
        <f t="shared" si="22"/>
        <v>KNKA</v>
      </c>
      <c r="D1422" t="s">
        <v>823</v>
      </c>
      <c r="E1422">
        <v>10</v>
      </c>
      <c r="F1422" t="s">
        <v>824</v>
      </c>
      <c r="G1422">
        <v>100</v>
      </c>
      <c r="H1422" t="s">
        <v>825</v>
      </c>
      <c r="I1422">
        <v>1</v>
      </c>
      <c r="J1422">
        <v>0</v>
      </c>
      <c r="K1422">
        <v>0</v>
      </c>
    </row>
    <row r="1423" spans="1:11" x14ac:dyDescent="0.2">
      <c r="A1423">
        <v>74140</v>
      </c>
      <c r="B1423" t="s">
        <v>1075</v>
      </c>
      <c r="C1423" t="str">
        <f t="shared" si="22"/>
        <v>KNKA</v>
      </c>
      <c r="D1423" t="s">
        <v>826</v>
      </c>
      <c r="E1423">
        <v>10</v>
      </c>
      <c r="F1423" t="s">
        <v>824</v>
      </c>
      <c r="G1423">
        <v>100</v>
      </c>
      <c r="H1423" t="s">
        <v>825</v>
      </c>
      <c r="I1423">
        <v>1</v>
      </c>
      <c r="J1423">
        <v>0</v>
      </c>
      <c r="K1423">
        <v>0</v>
      </c>
    </row>
    <row r="1424" spans="1:11" x14ac:dyDescent="0.2">
      <c r="A1424">
        <v>74154</v>
      </c>
      <c r="B1424" t="s">
        <v>1098</v>
      </c>
      <c r="C1424" t="str">
        <f t="shared" si="22"/>
        <v>KSTL</v>
      </c>
      <c r="D1424" t="s">
        <v>823</v>
      </c>
      <c r="E1424">
        <v>10</v>
      </c>
      <c r="F1424" t="s">
        <v>824</v>
      </c>
      <c r="G1424">
        <v>100</v>
      </c>
      <c r="H1424" t="s">
        <v>825</v>
      </c>
      <c r="I1424">
        <v>1</v>
      </c>
      <c r="J1424">
        <v>0</v>
      </c>
      <c r="K1424">
        <v>0</v>
      </c>
    </row>
    <row r="1425" spans="1:11" x14ac:dyDescent="0.2">
      <c r="A1425">
        <v>74147</v>
      </c>
      <c r="B1425" t="s">
        <v>1154</v>
      </c>
      <c r="C1425" t="str">
        <f t="shared" si="22"/>
        <v>MNID</v>
      </c>
      <c r="D1425" t="s">
        <v>823</v>
      </c>
      <c r="E1425">
        <v>10</v>
      </c>
      <c r="F1425" t="s">
        <v>824</v>
      </c>
      <c r="G1425">
        <v>100</v>
      </c>
      <c r="H1425" t="s">
        <v>825</v>
      </c>
      <c r="I1425">
        <v>1</v>
      </c>
      <c r="J1425">
        <v>0.32100000000000001</v>
      </c>
      <c r="K1425">
        <v>-0.10349999999999999</v>
      </c>
    </row>
    <row r="1426" spans="1:11" x14ac:dyDescent="0.2">
      <c r="A1426">
        <v>74134</v>
      </c>
      <c r="B1426" t="s">
        <v>1161</v>
      </c>
      <c r="C1426" t="str">
        <f t="shared" si="22"/>
        <v>MTBE</v>
      </c>
      <c r="D1426" t="s">
        <v>823</v>
      </c>
      <c r="E1426">
        <v>10</v>
      </c>
      <c r="F1426" t="s">
        <v>824</v>
      </c>
      <c r="G1426">
        <v>100</v>
      </c>
      <c r="H1426" t="s">
        <v>825</v>
      </c>
      <c r="I1426">
        <v>1</v>
      </c>
      <c r="J1426">
        <v>4.8254000000000001</v>
      </c>
      <c r="K1426">
        <v>1.9467000000000001</v>
      </c>
    </row>
    <row r="1427" spans="1:11" x14ac:dyDescent="0.2">
      <c r="A1427">
        <v>74134</v>
      </c>
      <c r="B1427" t="s">
        <v>1161</v>
      </c>
      <c r="C1427" t="str">
        <f t="shared" si="22"/>
        <v>MTBE</v>
      </c>
      <c r="D1427" t="s">
        <v>826</v>
      </c>
      <c r="E1427">
        <v>10</v>
      </c>
      <c r="F1427" t="s">
        <v>824</v>
      </c>
      <c r="G1427">
        <v>100</v>
      </c>
      <c r="H1427" t="s">
        <v>825</v>
      </c>
      <c r="I1427">
        <v>1</v>
      </c>
      <c r="J1427">
        <v>3.9660000000000002</v>
      </c>
      <c r="K1427">
        <v>1.5428999999999999</v>
      </c>
    </row>
    <row r="1428" spans="1:11" x14ac:dyDescent="0.2">
      <c r="A1428">
        <v>74131</v>
      </c>
      <c r="B1428" t="s">
        <v>1196</v>
      </c>
      <c r="C1428" t="str">
        <f t="shared" si="22"/>
        <v>PCMT</v>
      </c>
      <c r="D1428" t="s">
        <v>823</v>
      </c>
      <c r="E1428">
        <v>10</v>
      </c>
      <c r="F1428" t="s">
        <v>824</v>
      </c>
      <c r="G1428">
        <v>100</v>
      </c>
      <c r="H1428" t="s">
        <v>825</v>
      </c>
      <c r="I1428">
        <v>1</v>
      </c>
      <c r="J1428">
        <v>6.5651000000000002</v>
      </c>
      <c r="K1428">
        <v>3.5207000000000002</v>
      </c>
    </row>
    <row r="1429" spans="1:11" x14ac:dyDescent="0.2">
      <c r="A1429">
        <v>74131</v>
      </c>
      <c r="B1429" t="s">
        <v>1196</v>
      </c>
      <c r="C1429" t="str">
        <f t="shared" si="22"/>
        <v>PCMT</v>
      </c>
      <c r="D1429" t="s">
        <v>826</v>
      </c>
      <c r="E1429">
        <v>10</v>
      </c>
      <c r="F1429" t="s">
        <v>824</v>
      </c>
      <c r="G1429">
        <v>100</v>
      </c>
      <c r="H1429" t="s">
        <v>825</v>
      </c>
      <c r="I1429">
        <v>1</v>
      </c>
      <c r="J1429">
        <v>3.4895999999999998</v>
      </c>
      <c r="K1429">
        <v>5.1799999999999999E-2</v>
      </c>
    </row>
    <row r="1430" spans="1:11" x14ac:dyDescent="0.2">
      <c r="A1430">
        <v>74131</v>
      </c>
      <c r="B1430" t="s">
        <v>1196</v>
      </c>
      <c r="C1430" t="str">
        <f t="shared" si="22"/>
        <v>PCMT</v>
      </c>
      <c r="D1430" t="s">
        <v>827</v>
      </c>
      <c r="E1430">
        <v>10</v>
      </c>
      <c r="F1430" t="s">
        <v>824</v>
      </c>
      <c r="G1430">
        <v>100</v>
      </c>
      <c r="H1430" t="s">
        <v>825</v>
      </c>
      <c r="I1430">
        <v>1</v>
      </c>
      <c r="J1430">
        <v>0</v>
      </c>
      <c r="K1430">
        <v>0</v>
      </c>
    </row>
    <row r="1431" spans="1:11" x14ac:dyDescent="0.2">
      <c r="A1431">
        <v>74131</v>
      </c>
      <c r="B1431" t="s">
        <v>1196</v>
      </c>
      <c r="C1431" t="str">
        <f t="shared" si="22"/>
        <v>PCMT</v>
      </c>
      <c r="D1431" t="s">
        <v>971</v>
      </c>
      <c r="E1431">
        <v>10</v>
      </c>
      <c r="F1431" t="s">
        <v>824</v>
      </c>
      <c r="G1431">
        <v>100</v>
      </c>
      <c r="H1431" t="s">
        <v>825</v>
      </c>
      <c r="I1431">
        <v>1</v>
      </c>
      <c r="J1431">
        <v>12.1982</v>
      </c>
      <c r="K1431">
        <v>4.5561999999999996</v>
      </c>
    </row>
    <row r="1432" spans="1:11" x14ac:dyDescent="0.2">
      <c r="A1432">
        <v>75207</v>
      </c>
      <c r="B1432" t="s">
        <v>839</v>
      </c>
      <c r="C1432" t="str">
        <f t="shared" si="22"/>
        <v>ASSB</v>
      </c>
      <c r="D1432" t="s">
        <v>826</v>
      </c>
      <c r="E1432">
        <v>11</v>
      </c>
      <c r="F1432" t="s">
        <v>840</v>
      </c>
      <c r="G1432">
        <v>100</v>
      </c>
      <c r="H1432" t="s">
        <v>825</v>
      </c>
      <c r="I1432">
        <v>1</v>
      </c>
      <c r="J1432">
        <v>22.159700000000001</v>
      </c>
      <c r="K1432">
        <v>2.1745000000000001</v>
      </c>
    </row>
    <row r="1433" spans="1:11" x14ac:dyDescent="0.2">
      <c r="A1433">
        <v>75128</v>
      </c>
      <c r="B1433" t="s">
        <v>931</v>
      </c>
      <c r="C1433" t="str">
        <f t="shared" si="22"/>
        <v>CJDG</v>
      </c>
      <c r="D1433" t="s">
        <v>823</v>
      </c>
      <c r="E1433">
        <v>11</v>
      </c>
      <c r="F1433" t="s">
        <v>840</v>
      </c>
      <c r="G1433">
        <v>100</v>
      </c>
      <c r="H1433" t="s">
        <v>825</v>
      </c>
      <c r="I1433">
        <v>1</v>
      </c>
      <c r="J1433">
        <v>17.665600000000001</v>
      </c>
      <c r="K1433">
        <v>9.8475999999999999</v>
      </c>
    </row>
    <row r="1434" spans="1:11" x14ac:dyDescent="0.2">
      <c r="A1434">
        <v>75128</v>
      </c>
      <c r="B1434" t="s">
        <v>931</v>
      </c>
      <c r="C1434" t="str">
        <f t="shared" si="22"/>
        <v>CJDG</v>
      </c>
      <c r="D1434" t="s">
        <v>826</v>
      </c>
      <c r="E1434">
        <v>11</v>
      </c>
      <c r="F1434" t="s">
        <v>840</v>
      </c>
      <c r="G1434">
        <v>100</v>
      </c>
      <c r="H1434" t="s">
        <v>825</v>
      </c>
      <c r="I1434">
        <v>1</v>
      </c>
      <c r="J1434">
        <v>15.035399999999999</v>
      </c>
      <c r="K1434">
        <v>5.3742000000000001</v>
      </c>
    </row>
    <row r="1435" spans="1:11" x14ac:dyDescent="0.2">
      <c r="A1435">
        <v>75119</v>
      </c>
      <c r="B1435" t="s">
        <v>955</v>
      </c>
      <c r="C1435" t="str">
        <f t="shared" si="22"/>
        <v>EMSB</v>
      </c>
      <c r="D1435" t="s">
        <v>823</v>
      </c>
      <c r="E1435">
        <v>11</v>
      </c>
      <c r="F1435" t="s">
        <v>840</v>
      </c>
      <c r="G1435">
        <v>100</v>
      </c>
      <c r="H1435" t="s">
        <v>825</v>
      </c>
      <c r="I1435">
        <v>1</v>
      </c>
      <c r="J1435">
        <v>8.0562000000000005</v>
      </c>
      <c r="K1435">
        <v>4.1833999999999998</v>
      </c>
    </row>
    <row r="1436" spans="1:11" x14ac:dyDescent="0.2">
      <c r="A1436">
        <v>75119</v>
      </c>
      <c r="B1436" t="s">
        <v>955</v>
      </c>
      <c r="C1436" t="str">
        <f t="shared" si="22"/>
        <v>EMSB</v>
      </c>
      <c r="D1436" t="s">
        <v>826</v>
      </c>
      <c r="E1436">
        <v>11</v>
      </c>
      <c r="F1436" t="s">
        <v>840</v>
      </c>
      <c r="G1436">
        <v>100</v>
      </c>
      <c r="H1436" t="s">
        <v>825</v>
      </c>
      <c r="I1436">
        <v>1</v>
      </c>
      <c r="J1436">
        <v>16.288399999999999</v>
      </c>
      <c r="K1436">
        <v>3.3342999999999998</v>
      </c>
    </row>
    <row r="1437" spans="1:11" x14ac:dyDescent="0.2">
      <c r="A1437">
        <v>75212</v>
      </c>
      <c r="B1437" t="s">
        <v>959</v>
      </c>
      <c r="C1437" t="str">
        <f t="shared" si="22"/>
        <v>ESTL</v>
      </c>
      <c r="D1437" t="s">
        <v>823</v>
      </c>
      <c r="E1437">
        <v>11</v>
      </c>
      <c r="F1437" t="s">
        <v>840</v>
      </c>
      <c r="G1437">
        <v>100</v>
      </c>
      <c r="H1437" t="s">
        <v>825</v>
      </c>
      <c r="I1437">
        <v>1</v>
      </c>
      <c r="J1437">
        <v>5.7676999999999996</v>
      </c>
      <c r="K1437">
        <v>4.6287000000000003</v>
      </c>
    </row>
    <row r="1438" spans="1:11" x14ac:dyDescent="0.2">
      <c r="A1438">
        <v>75212</v>
      </c>
      <c r="B1438" t="s">
        <v>959</v>
      </c>
      <c r="C1438" t="str">
        <f t="shared" si="22"/>
        <v>ESTL</v>
      </c>
      <c r="D1438" t="s">
        <v>826</v>
      </c>
      <c r="E1438">
        <v>11</v>
      </c>
      <c r="F1438" t="s">
        <v>840</v>
      </c>
      <c r="G1438">
        <v>100</v>
      </c>
      <c r="H1438" t="s">
        <v>825</v>
      </c>
      <c r="I1438">
        <v>1</v>
      </c>
      <c r="J1438">
        <v>5.7469999999999999</v>
      </c>
      <c r="K1438">
        <v>4.7012</v>
      </c>
    </row>
    <row r="1439" spans="1:11" x14ac:dyDescent="0.2">
      <c r="A1439">
        <v>75122</v>
      </c>
      <c r="B1439" t="s">
        <v>997</v>
      </c>
      <c r="C1439" t="str">
        <f t="shared" si="22"/>
        <v>HTXD</v>
      </c>
      <c r="D1439" t="s">
        <v>823</v>
      </c>
      <c r="E1439">
        <v>11</v>
      </c>
      <c r="F1439" t="s">
        <v>840</v>
      </c>
      <c r="G1439">
        <v>100</v>
      </c>
      <c r="H1439" t="s">
        <v>825</v>
      </c>
      <c r="I1439">
        <v>1</v>
      </c>
      <c r="J1439">
        <v>3.2722000000000002</v>
      </c>
      <c r="K1439">
        <v>1.3358000000000001</v>
      </c>
    </row>
    <row r="1440" spans="1:11" x14ac:dyDescent="0.2">
      <c r="A1440">
        <v>75122</v>
      </c>
      <c r="B1440" t="s">
        <v>997</v>
      </c>
      <c r="C1440" t="str">
        <f t="shared" si="22"/>
        <v>HTXD</v>
      </c>
      <c r="D1440" t="s">
        <v>826</v>
      </c>
      <c r="E1440">
        <v>11</v>
      </c>
      <c r="F1440" t="s">
        <v>840</v>
      </c>
      <c r="G1440">
        <v>100</v>
      </c>
      <c r="H1440" t="s">
        <v>825</v>
      </c>
      <c r="I1440">
        <v>1</v>
      </c>
      <c r="J1440">
        <v>3.2307999999999999</v>
      </c>
      <c r="K1440">
        <v>1.3358000000000001</v>
      </c>
    </row>
    <row r="1441" spans="1:11" x14ac:dyDescent="0.2">
      <c r="A1441">
        <v>75147</v>
      </c>
      <c r="B1441" t="s">
        <v>1040</v>
      </c>
      <c r="C1441" t="str">
        <f t="shared" si="22"/>
        <v>KGPP</v>
      </c>
      <c r="D1441" t="s">
        <v>823</v>
      </c>
      <c r="E1441">
        <v>11</v>
      </c>
      <c r="F1441" t="s">
        <v>840</v>
      </c>
      <c r="G1441">
        <v>100</v>
      </c>
      <c r="H1441" t="s">
        <v>825</v>
      </c>
      <c r="I1441">
        <v>1</v>
      </c>
      <c r="J1441">
        <v>3.1789999999999998</v>
      </c>
      <c r="K1441">
        <v>0.12429999999999999</v>
      </c>
    </row>
    <row r="1442" spans="1:11" x14ac:dyDescent="0.2">
      <c r="A1442">
        <v>75147</v>
      </c>
      <c r="B1442" t="s">
        <v>1040</v>
      </c>
      <c r="C1442" t="str">
        <f t="shared" si="22"/>
        <v>KGPP</v>
      </c>
      <c r="D1442" t="s">
        <v>826</v>
      </c>
      <c r="E1442">
        <v>11</v>
      </c>
      <c r="F1442" t="s">
        <v>840</v>
      </c>
      <c r="G1442">
        <v>100</v>
      </c>
      <c r="H1442" t="s">
        <v>825</v>
      </c>
      <c r="I1442">
        <v>1</v>
      </c>
      <c r="J1442">
        <v>3.4068000000000001</v>
      </c>
      <c r="K1442">
        <v>0.17599999999999999</v>
      </c>
    </row>
    <row r="1443" spans="1:11" x14ac:dyDescent="0.2">
      <c r="A1443">
        <v>75139</v>
      </c>
      <c r="B1443" t="s">
        <v>1208</v>
      </c>
      <c r="C1443" t="str">
        <f t="shared" si="22"/>
        <v>PGPP</v>
      </c>
      <c r="D1443" t="s">
        <v>823</v>
      </c>
      <c r="E1443">
        <v>11</v>
      </c>
      <c r="F1443" t="s">
        <v>840</v>
      </c>
      <c r="G1443">
        <v>100</v>
      </c>
      <c r="H1443" t="s">
        <v>825</v>
      </c>
      <c r="I1443">
        <v>1</v>
      </c>
      <c r="J1443">
        <v>4.7042999999999999</v>
      </c>
      <c r="K1443">
        <v>-0.1646</v>
      </c>
    </row>
    <row r="1444" spans="1:11" x14ac:dyDescent="0.2">
      <c r="A1444">
        <v>75139</v>
      </c>
      <c r="B1444" t="s">
        <v>1208</v>
      </c>
      <c r="C1444" t="str">
        <f t="shared" si="22"/>
        <v>PGPP</v>
      </c>
      <c r="D1444" t="s">
        <v>826</v>
      </c>
      <c r="E1444">
        <v>11</v>
      </c>
      <c r="F1444" t="s">
        <v>840</v>
      </c>
      <c r="G1444">
        <v>100</v>
      </c>
      <c r="H1444" t="s">
        <v>825</v>
      </c>
      <c r="I1444">
        <v>1</v>
      </c>
      <c r="J1444">
        <v>4.7042999999999999</v>
      </c>
      <c r="K1444">
        <v>-0.1709</v>
      </c>
    </row>
    <row r="1445" spans="1:11" x14ac:dyDescent="0.2">
      <c r="A1445">
        <v>75210</v>
      </c>
      <c r="B1445" t="s">
        <v>1254</v>
      </c>
      <c r="C1445" t="str">
        <f t="shared" si="22"/>
        <v>PWSM</v>
      </c>
      <c r="D1445" t="s">
        <v>823</v>
      </c>
      <c r="E1445">
        <v>11</v>
      </c>
      <c r="F1445" t="s">
        <v>840</v>
      </c>
      <c r="G1445">
        <v>100</v>
      </c>
      <c r="H1445" t="s">
        <v>825</v>
      </c>
      <c r="I1445">
        <v>1</v>
      </c>
      <c r="J1445">
        <v>0</v>
      </c>
      <c r="K1445">
        <v>0</v>
      </c>
    </row>
    <row r="1446" spans="1:11" x14ac:dyDescent="0.2">
      <c r="A1446">
        <v>75210</v>
      </c>
      <c r="B1446" t="s">
        <v>1254</v>
      </c>
      <c r="C1446" t="str">
        <f t="shared" si="22"/>
        <v>PWSM</v>
      </c>
      <c r="D1446" t="s">
        <v>826</v>
      </c>
      <c r="E1446">
        <v>11</v>
      </c>
      <c r="F1446" t="s">
        <v>840</v>
      </c>
      <c r="G1446">
        <v>100</v>
      </c>
      <c r="H1446" t="s">
        <v>825</v>
      </c>
      <c r="I1446">
        <v>1</v>
      </c>
      <c r="J1446">
        <v>0</v>
      </c>
      <c r="K1446">
        <v>0</v>
      </c>
    </row>
    <row r="1447" spans="1:11" x14ac:dyDescent="0.2">
      <c r="A1447">
        <v>61145</v>
      </c>
      <c r="B1447" t="s">
        <v>1029</v>
      </c>
      <c r="C1447" t="str">
        <f t="shared" si="22"/>
        <v>KCMT</v>
      </c>
      <c r="D1447" t="s">
        <v>823</v>
      </c>
      <c r="E1447">
        <v>15</v>
      </c>
      <c r="F1447" t="s">
        <v>1030</v>
      </c>
      <c r="G1447">
        <v>100</v>
      </c>
      <c r="H1447" t="s">
        <v>825</v>
      </c>
      <c r="I1447">
        <v>1</v>
      </c>
      <c r="J1447">
        <v>0</v>
      </c>
      <c r="K1447">
        <v>0</v>
      </c>
    </row>
    <row r="1448" spans="1:11" x14ac:dyDescent="0.2">
      <c r="A1448">
        <v>561145</v>
      </c>
      <c r="B1448" t="s">
        <v>1031</v>
      </c>
      <c r="C1448" t="str">
        <f t="shared" si="22"/>
        <v>KCMT</v>
      </c>
      <c r="D1448" t="s">
        <v>826</v>
      </c>
      <c r="E1448">
        <v>15</v>
      </c>
      <c r="F1448" t="s">
        <v>1030</v>
      </c>
      <c r="G1448">
        <v>100</v>
      </c>
      <c r="H1448" t="s">
        <v>825</v>
      </c>
      <c r="I1448">
        <v>1</v>
      </c>
      <c r="J1448">
        <v>26.176400000000001</v>
      </c>
      <c r="K1448">
        <v>10.027799999999999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DD68-0249-45A1-AA24-8A12AA16C4CF}">
  <dimension ref="B1:G508"/>
  <sheetViews>
    <sheetView tabSelected="1" workbookViewId="0">
      <selection activeCell="H36" sqref="H36"/>
    </sheetView>
  </sheetViews>
  <sheetFormatPr defaultRowHeight="14.25" x14ac:dyDescent="0.2"/>
  <cols>
    <col min="1" max="1" width="9" style="253"/>
    <col min="2" max="2" width="12.625" style="253" customWidth="1"/>
    <col min="3" max="3" width="6.25" style="253" customWidth="1"/>
    <col min="4" max="4" width="7.125" style="253" customWidth="1"/>
    <col min="5" max="5" width="10.375" style="253" bestFit="1" customWidth="1"/>
    <col min="6" max="6" width="15.625" style="253" bestFit="1" customWidth="1"/>
    <col min="7" max="7" width="11.625" style="253" bestFit="1" customWidth="1"/>
    <col min="8" max="16384" width="9" style="253"/>
  </cols>
  <sheetData>
    <row r="1" spans="2:7" x14ac:dyDescent="0.2">
      <c r="B1" s="294" t="s">
        <v>3149</v>
      </c>
      <c r="C1" s="294"/>
      <c r="D1" s="294"/>
      <c r="E1" s="294"/>
      <c r="F1" s="294"/>
      <c r="G1" s="294"/>
    </row>
    <row r="3" spans="2:7" x14ac:dyDescent="0.2">
      <c r="B3" s="254" t="s">
        <v>3146</v>
      </c>
      <c r="C3" s="255" t="s">
        <v>795</v>
      </c>
      <c r="D3" s="254" t="s">
        <v>3147</v>
      </c>
      <c r="E3" s="254" t="s">
        <v>0</v>
      </c>
      <c r="F3" s="254" t="s">
        <v>3148</v>
      </c>
      <c r="G3" s="255" t="s">
        <v>1627</v>
      </c>
    </row>
    <row r="4" spans="2:7" x14ac:dyDescent="0.2">
      <c r="B4" s="253">
        <v>97178</v>
      </c>
      <c r="C4" s="253" t="s">
        <v>807</v>
      </c>
      <c r="D4" s="253">
        <v>49.2</v>
      </c>
      <c r="E4" s="253" t="s">
        <v>1415</v>
      </c>
      <c r="F4" s="253" t="s">
        <v>817</v>
      </c>
      <c r="G4" s="253">
        <v>8.9519000000000002</v>
      </c>
    </row>
    <row r="5" spans="2:7" x14ac:dyDescent="0.2">
      <c r="B5" s="253">
        <v>97178</v>
      </c>
      <c r="C5" s="253" t="s">
        <v>804</v>
      </c>
      <c r="D5" s="253">
        <v>49.2</v>
      </c>
      <c r="E5" s="253" t="s">
        <v>1415</v>
      </c>
      <c r="F5" s="253" t="s">
        <v>817</v>
      </c>
      <c r="G5" s="253">
        <v>8.9870999999999999</v>
      </c>
    </row>
    <row r="6" spans="2:7" x14ac:dyDescent="0.2">
      <c r="B6" s="253">
        <v>97153</v>
      </c>
      <c r="C6" s="253" t="s">
        <v>807</v>
      </c>
      <c r="D6" s="253">
        <v>49.2</v>
      </c>
      <c r="E6" s="253" t="s">
        <v>1416</v>
      </c>
      <c r="F6" s="253" t="s">
        <v>817</v>
      </c>
      <c r="G6" s="253">
        <v>10.1427</v>
      </c>
    </row>
    <row r="7" spans="2:7" x14ac:dyDescent="0.2">
      <c r="B7" s="253">
        <v>97153</v>
      </c>
      <c r="C7" s="253" t="s">
        <v>804</v>
      </c>
      <c r="D7" s="253">
        <v>49.2</v>
      </c>
      <c r="E7" s="253" t="s">
        <v>1416</v>
      </c>
      <c r="F7" s="253" t="s">
        <v>817</v>
      </c>
      <c r="G7" s="253">
        <v>2.4872999999999998</v>
      </c>
    </row>
    <row r="8" spans="2:7" x14ac:dyDescent="0.2">
      <c r="B8" s="253">
        <v>97192</v>
      </c>
      <c r="C8" s="253" t="s">
        <v>807</v>
      </c>
      <c r="D8" s="253">
        <v>49.2</v>
      </c>
      <c r="E8" s="253" t="s">
        <v>1417</v>
      </c>
      <c r="F8" s="253" t="s">
        <v>817</v>
      </c>
      <c r="G8" s="253">
        <v>27.913900000000002</v>
      </c>
    </row>
    <row r="9" spans="2:7" x14ac:dyDescent="0.2">
      <c r="B9" s="253">
        <v>97192</v>
      </c>
      <c r="C9" s="253" t="s">
        <v>804</v>
      </c>
      <c r="D9" s="253">
        <v>49.2</v>
      </c>
      <c r="E9" s="253" t="s">
        <v>1417</v>
      </c>
      <c r="F9" s="253" t="s">
        <v>817</v>
      </c>
      <c r="G9" s="253">
        <v>29.0913</v>
      </c>
    </row>
    <row r="10" spans="2:7" x14ac:dyDescent="0.2">
      <c r="B10" s="253">
        <v>62128</v>
      </c>
      <c r="C10" s="253" t="s">
        <v>807</v>
      </c>
      <c r="D10" s="253">
        <v>49.2</v>
      </c>
      <c r="E10" s="253" t="s">
        <v>1418</v>
      </c>
      <c r="F10" s="253" t="s">
        <v>845</v>
      </c>
      <c r="G10" s="253">
        <v>35.717399999999998</v>
      </c>
    </row>
    <row r="11" spans="2:7" x14ac:dyDescent="0.2">
      <c r="B11" s="253">
        <v>62128</v>
      </c>
      <c r="C11" s="253" t="s">
        <v>804</v>
      </c>
      <c r="D11" s="253">
        <v>49.2</v>
      </c>
      <c r="E11" s="253" t="s">
        <v>1418</v>
      </c>
      <c r="F11" s="253" t="s">
        <v>845</v>
      </c>
      <c r="G11" s="253">
        <v>35.607700000000001</v>
      </c>
    </row>
    <row r="12" spans="2:7" x14ac:dyDescent="0.2">
      <c r="B12" s="253">
        <v>74115</v>
      </c>
      <c r="C12" s="253" t="s">
        <v>807</v>
      </c>
      <c r="D12" s="253">
        <v>49.2</v>
      </c>
      <c r="E12" s="253" t="s">
        <v>1419</v>
      </c>
      <c r="F12" s="253" t="s">
        <v>824</v>
      </c>
      <c r="G12" s="253">
        <v>6.3124000000000002</v>
      </c>
    </row>
    <row r="13" spans="2:7" x14ac:dyDescent="0.2">
      <c r="B13" s="253">
        <v>74115</v>
      </c>
      <c r="C13" s="253" t="s">
        <v>804</v>
      </c>
      <c r="D13" s="253">
        <v>49.2</v>
      </c>
      <c r="E13" s="253" t="s">
        <v>1419</v>
      </c>
      <c r="F13" s="253" t="s">
        <v>824</v>
      </c>
      <c r="G13" s="253">
        <v>6.2824</v>
      </c>
    </row>
    <row r="14" spans="2:7" x14ac:dyDescent="0.2">
      <c r="B14" s="253">
        <v>96106</v>
      </c>
      <c r="C14" s="253" t="s">
        <v>807</v>
      </c>
      <c r="D14" s="253">
        <v>49.2</v>
      </c>
      <c r="E14" s="253" t="s">
        <v>1420</v>
      </c>
      <c r="F14" s="253" t="s">
        <v>815</v>
      </c>
      <c r="G14" s="253">
        <v>6.0110999999999999</v>
      </c>
    </row>
    <row r="15" spans="2:7" x14ac:dyDescent="0.2">
      <c r="B15" s="253">
        <v>96106</v>
      </c>
      <c r="C15" s="253" t="s">
        <v>804</v>
      </c>
      <c r="D15" s="253">
        <v>49.2</v>
      </c>
      <c r="E15" s="253" t="s">
        <v>1420</v>
      </c>
      <c r="F15" s="253" t="s">
        <v>815</v>
      </c>
      <c r="G15" s="253">
        <v>5.9893000000000001</v>
      </c>
    </row>
    <row r="16" spans="2:7" x14ac:dyDescent="0.2">
      <c r="B16" s="253">
        <v>96169</v>
      </c>
      <c r="C16" s="253" t="s">
        <v>807</v>
      </c>
      <c r="D16" s="253">
        <v>49.2</v>
      </c>
      <c r="E16" s="253" t="s">
        <v>1421</v>
      </c>
      <c r="F16" s="253" t="s">
        <v>805</v>
      </c>
      <c r="G16" s="253">
        <v>22.844100000000001</v>
      </c>
    </row>
    <row r="17" spans="2:7" x14ac:dyDescent="0.2">
      <c r="B17" s="253">
        <v>96169</v>
      </c>
      <c r="C17" s="253" t="s">
        <v>804</v>
      </c>
      <c r="D17" s="253">
        <v>49.2</v>
      </c>
      <c r="E17" s="253" t="s">
        <v>1421</v>
      </c>
      <c r="F17" s="253" t="s">
        <v>805</v>
      </c>
      <c r="G17" s="253">
        <v>22.637</v>
      </c>
    </row>
    <row r="18" spans="2:7" x14ac:dyDescent="0.2">
      <c r="B18" s="253">
        <v>63145</v>
      </c>
      <c r="C18" s="253" t="s">
        <v>807</v>
      </c>
      <c r="D18" s="253">
        <v>49.2</v>
      </c>
      <c r="E18" s="253" t="s">
        <v>1422</v>
      </c>
      <c r="F18" s="253" t="s">
        <v>834</v>
      </c>
      <c r="G18" s="253">
        <v>9.6611999999999991</v>
      </c>
    </row>
    <row r="19" spans="2:7" x14ac:dyDescent="0.2">
      <c r="B19" s="253">
        <v>63145</v>
      </c>
      <c r="C19" s="253" t="s">
        <v>804</v>
      </c>
      <c r="D19" s="253">
        <v>49.2</v>
      </c>
      <c r="E19" s="253" t="s">
        <v>1422</v>
      </c>
      <c r="F19" s="253" t="s">
        <v>834</v>
      </c>
      <c r="G19" s="253">
        <v>5.4146000000000001</v>
      </c>
    </row>
    <row r="20" spans="2:7" x14ac:dyDescent="0.2">
      <c r="B20" s="253">
        <v>63145</v>
      </c>
      <c r="C20" s="253" t="s">
        <v>809</v>
      </c>
      <c r="D20" s="253">
        <v>49.2</v>
      </c>
      <c r="E20" s="253" t="s">
        <v>1422</v>
      </c>
      <c r="F20" s="253" t="s">
        <v>834</v>
      </c>
      <c r="G20" s="253">
        <v>12.6579</v>
      </c>
    </row>
    <row r="21" spans="2:7" x14ac:dyDescent="0.2">
      <c r="B21" s="253">
        <v>63145</v>
      </c>
      <c r="C21" s="253" t="s">
        <v>808</v>
      </c>
      <c r="D21" s="253">
        <v>49.2</v>
      </c>
      <c r="E21" s="253" t="s">
        <v>1422</v>
      </c>
      <c r="F21" s="253" t="s">
        <v>834</v>
      </c>
      <c r="G21" s="253">
        <v>12.6652</v>
      </c>
    </row>
    <row r="22" spans="2:7" x14ac:dyDescent="0.2">
      <c r="B22" s="253">
        <v>63173</v>
      </c>
      <c r="C22" s="253" t="s">
        <v>809</v>
      </c>
      <c r="D22" s="253">
        <v>49.2</v>
      </c>
      <c r="E22" s="253" t="s">
        <v>1423</v>
      </c>
      <c r="F22" s="253" t="s">
        <v>834</v>
      </c>
      <c r="G22" s="253">
        <v>33.933300000000003</v>
      </c>
    </row>
    <row r="23" spans="2:7" x14ac:dyDescent="0.2">
      <c r="B23" s="253">
        <v>63173</v>
      </c>
      <c r="C23" s="253" t="s">
        <v>808</v>
      </c>
      <c r="D23" s="253">
        <v>49.2</v>
      </c>
      <c r="E23" s="253" t="s">
        <v>1423</v>
      </c>
      <c r="F23" s="253" t="s">
        <v>834</v>
      </c>
      <c r="G23" s="253">
        <v>33.939500000000002</v>
      </c>
    </row>
    <row r="24" spans="2:7" x14ac:dyDescent="0.2">
      <c r="B24" s="253">
        <v>63146</v>
      </c>
      <c r="C24" s="253" t="s">
        <v>809</v>
      </c>
      <c r="D24" s="253">
        <v>49.2</v>
      </c>
      <c r="E24" s="253" t="s">
        <v>1424</v>
      </c>
      <c r="F24" s="253" t="s">
        <v>834</v>
      </c>
      <c r="G24" s="253">
        <v>34.633299999999998</v>
      </c>
    </row>
    <row r="25" spans="2:7" x14ac:dyDescent="0.2">
      <c r="B25" s="253">
        <v>63146</v>
      </c>
      <c r="C25" s="253" t="s">
        <v>808</v>
      </c>
      <c r="D25" s="253">
        <v>49.2</v>
      </c>
      <c r="E25" s="253" t="s">
        <v>1424</v>
      </c>
      <c r="F25" s="253" t="s">
        <v>834</v>
      </c>
      <c r="G25" s="253">
        <v>34.484200000000001</v>
      </c>
    </row>
    <row r="26" spans="2:7" x14ac:dyDescent="0.2">
      <c r="B26" s="253">
        <v>51013</v>
      </c>
      <c r="C26" s="253" t="s">
        <v>807</v>
      </c>
      <c r="D26" s="253">
        <v>49.2</v>
      </c>
      <c r="E26" s="253" t="s">
        <v>1425</v>
      </c>
      <c r="F26" s="253" t="s">
        <v>805</v>
      </c>
      <c r="G26" s="253">
        <v>36.979700000000001</v>
      </c>
    </row>
    <row r="27" spans="2:7" x14ac:dyDescent="0.2">
      <c r="B27" s="253">
        <v>51013</v>
      </c>
      <c r="C27" s="253" t="s">
        <v>804</v>
      </c>
      <c r="D27" s="253">
        <v>49.2</v>
      </c>
      <c r="E27" s="253" t="s">
        <v>1425</v>
      </c>
      <c r="F27" s="253" t="s">
        <v>805</v>
      </c>
      <c r="G27" s="253">
        <v>33.1173</v>
      </c>
    </row>
    <row r="28" spans="2:7" x14ac:dyDescent="0.2">
      <c r="B28" s="253">
        <v>88104</v>
      </c>
      <c r="C28" s="253" t="s">
        <v>807</v>
      </c>
      <c r="D28" s="253">
        <v>49.2</v>
      </c>
      <c r="E28" s="253" t="s">
        <v>1426</v>
      </c>
      <c r="F28" s="253" t="s">
        <v>811</v>
      </c>
      <c r="G28" s="253">
        <v>12.9489</v>
      </c>
    </row>
    <row r="29" spans="2:7" x14ac:dyDescent="0.2">
      <c r="B29" s="253">
        <v>88104</v>
      </c>
      <c r="C29" s="253" t="s">
        <v>804</v>
      </c>
      <c r="D29" s="253">
        <v>49.2</v>
      </c>
      <c r="E29" s="253" t="s">
        <v>1426</v>
      </c>
      <c r="F29" s="253" t="s">
        <v>811</v>
      </c>
      <c r="G29" s="253">
        <v>12.895099999999999</v>
      </c>
    </row>
    <row r="30" spans="2:7" x14ac:dyDescent="0.2">
      <c r="B30" s="253">
        <v>88128</v>
      </c>
      <c r="C30" s="253" t="s">
        <v>807</v>
      </c>
      <c r="D30" s="253">
        <v>49.2</v>
      </c>
      <c r="E30" s="253" t="s">
        <v>1427</v>
      </c>
      <c r="F30" s="253" t="s">
        <v>811</v>
      </c>
      <c r="G30" s="253">
        <v>49.346699999999998</v>
      </c>
    </row>
    <row r="31" spans="2:7" x14ac:dyDescent="0.2">
      <c r="B31" s="253">
        <v>88128</v>
      </c>
      <c r="C31" s="253" t="s">
        <v>804</v>
      </c>
      <c r="D31" s="253">
        <v>49.2</v>
      </c>
      <c r="E31" s="253" t="s">
        <v>1427</v>
      </c>
      <c r="F31" s="253" t="s">
        <v>811</v>
      </c>
      <c r="G31" s="253">
        <v>49.94</v>
      </c>
    </row>
    <row r="32" spans="2:7" x14ac:dyDescent="0.2">
      <c r="B32" s="253">
        <v>88142</v>
      </c>
      <c r="C32" s="253" t="s">
        <v>807</v>
      </c>
      <c r="D32" s="253">
        <v>49.2</v>
      </c>
      <c r="E32" s="253" t="s">
        <v>1428</v>
      </c>
      <c r="F32" s="253" t="s">
        <v>811</v>
      </c>
      <c r="G32" s="253">
        <v>28.113800000000001</v>
      </c>
    </row>
    <row r="33" spans="2:7" x14ac:dyDescent="0.2">
      <c r="B33" s="253">
        <v>88142</v>
      </c>
      <c r="C33" s="253" t="s">
        <v>804</v>
      </c>
      <c r="D33" s="253">
        <v>49.2</v>
      </c>
      <c r="E33" s="253" t="s">
        <v>1428</v>
      </c>
      <c r="F33" s="253" t="s">
        <v>811</v>
      </c>
      <c r="G33" s="253">
        <v>28.223500000000001</v>
      </c>
    </row>
    <row r="34" spans="2:7" x14ac:dyDescent="0.2">
      <c r="B34" s="253">
        <v>88107</v>
      </c>
      <c r="C34" s="253" t="s">
        <v>807</v>
      </c>
      <c r="D34" s="253">
        <v>49.2</v>
      </c>
      <c r="E34" s="253" t="s">
        <v>1429</v>
      </c>
      <c r="F34" s="253" t="s">
        <v>811</v>
      </c>
      <c r="G34" s="253">
        <v>17.077400000000001</v>
      </c>
    </row>
    <row r="35" spans="2:7" x14ac:dyDescent="0.2">
      <c r="B35" s="253">
        <v>88107</v>
      </c>
      <c r="C35" s="253" t="s">
        <v>804</v>
      </c>
      <c r="D35" s="253">
        <v>49.2</v>
      </c>
      <c r="E35" s="253" t="s">
        <v>1429</v>
      </c>
      <c r="F35" s="253" t="s">
        <v>811</v>
      </c>
      <c r="G35" s="253">
        <v>17.130299999999998</v>
      </c>
    </row>
    <row r="36" spans="2:7" x14ac:dyDescent="0.2">
      <c r="B36" s="253">
        <v>51038</v>
      </c>
      <c r="C36" s="253" t="s">
        <v>808</v>
      </c>
      <c r="D36" s="253">
        <v>49.2</v>
      </c>
      <c r="E36" s="253" t="s">
        <v>1430</v>
      </c>
      <c r="F36" s="253" t="s">
        <v>805</v>
      </c>
      <c r="G36" s="253">
        <v>66.927400000000006</v>
      </c>
    </row>
    <row r="37" spans="2:7" x14ac:dyDescent="0.2">
      <c r="B37" s="253">
        <v>51038</v>
      </c>
      <c r="C37" s="253" t="s">
        <v>807</v>
      </c>
      <c r="D37" s="253">
        <v>49.2</v>
      </c>
      <c r="E37" s="253" t="s">
        <v>1430</v>
      </c>
      <c r="F37" s="253" t="s">
        <v>805</v>
      </c>
      <c r="G37" s="253">
        <v>33.505600000000001</v>
      </c>
    </row>
    <row r="38" spans="2:7" x14ac:dyDescent="0.2">
      <c r="B38" s="253">
        <v>51038</v>
      </c>
      <c r="C38" s="253" t="s">
        <v>804</v>
      </c>
      <c r="D38" s="253">
        <v>49.2</v>
      </c>
      <c r="E38" s="253" t="s">
        <v>1430</v>
      </c>
      <c r="F38" s="253" t="s">
        <v>805</v>
      </c>
      <c r="G38" s="253">
        <v>31.834299999999999</v>
      </c>
    </row>
    <row r="39" spans="2:7" x14ac:dyDescent="0.2">
      <c r="B39" s="253">
        <v>88195</v>
      </c>
      <c r="C39" s="253" t="s">
        <v>809</v>
      </c>
      <c r="D39" s="253">
        <v>49.2</v>
      </c>
      <c r="E39" s="253" t="s">
        <v>1431</v>
      </c>
      <c r="F39" s="253" t="s">
        <v>811</v>
      </c>
      <c r="G39" s="253">
        <v>30.694299999999998</v>
      </c>
    </row>
    <row r="40" spans="2:7" x14ac:dyDescent="0.2">
      <c r="B40" s="253">
        <v>88195</v>
      </c>
      <c r="C40" s="253" t="s">
        <v>808</v>
      </c>
      <c r="D40" s="253">
        <v>49.2</v>
      </c>
      <c r="E40" s="253" t="s">
        <v>1431</v>
      </c>
      <c r="F40" s="253" t="s">
        <v>811</v>
      </c>
      <c r="G40" s="253">
        <v>30.677700000000002</v>
      </c>
    </row>
    <row r="41" spans="2:7" x14ac:dyDescent="0.2">
      <c r="B41" s="253">
        <v>61119</v>
      </c>
      <c r="C41" s="253" t="s">
        <v>807</v>
      </c>
      <c r="D41" s="253">
        <v>49.2</v>
      </c>
      <c r="E41" s="253" t="s">
        <v>1432</v>
      </c>
      <c r="F41" s="253" t="s">
        <v>820</v>
      </c>
      <c r="G41" s="253">
        <v>8.2529000000000003</v>
      </c>
    </row>
    <row r="42" spans="2:7" x14ac:dyDescent="0.2">
      <c r="B42" s="253">
        <v>61119</v>
      </c>
      <c r="C42" s="253" t="s">
        <v>804</v>
      </c>
      <c r="D42" s="253">
        <v>49.2</v>
      </c>
      <c r="E42" s="253" t="s">
        <v>1432</v>
      </c>
      <c r="F42" s="253" t="s">
        <v>820</v>
      </c>
      <c r="G42" s="253">
        <v>8.2591000000000001</v>
      </c>
    </row>
    <row r="43" spans="2:7" x14ac:dyDescent="0.2">
      <c r="B43" s="253">
        <v>61132</v>
      </c>
      <c r="C43" s="253" t="s">
        <v>807</v>
      </c>
      <c r="D43" s="253">
        <v>49.2</v>
      </c>
      <c r="E43" s="253" t="s">
        <v>1433</v>
      </c>
      <c r="F43" s="253" t="s">
        <v>820</v>
      </c>
      <c r="G43" s="253">
        <v>18.986899999999999</v>
      </c>
    </row>
    <row r="44" spans="2:7" x14ac:dyDescent="0.2">
      <c r="B44" s="253">
        <v>61132</v>
      </c>
      <c r="C44" s="253" t="s">
        <v>804</v>
      </c>
      <c r="D44" s="253">
        <v>49.2</v>
      </c>
      <c r="E44" s="253" t="s">
        <v>1433</v>
      </c>
      <c r="F44" s="253" t="s">
        <v>820</v>
      </c>
      <c r="G44" s="253">
        <v>18.808800000000002</v>
      </c>
    </row>
    <row r="45" spans="2:7" x14ac:dyDescent="0.2">
      <c r="B45" s="253">
        <v>63127</v>
      </c>
      <c r="C45" s="253" t="s">
        <v>809</v>
      </c>
      <c r="D45" s="253">
        <v>49.1</v>
      </c>
      <c r="E45" s="253" t="s">
        <v>1434</v>
      </c>
      <c r="F45" s="253" t="s">
        <v>834</v>
      </c>
      <c r="G45" s="253">
        <v>11.214399999999999</v>
      </c>
    </row>
    <row r="46" spans="2:7" x14ac:dyDescent="0.2">
      <c r="B46" s="253">
        <v>63127</v>
      </c>
      <c r="C46" s="253" t="s">
        <v>808</v>
      </c>
      <c r="D46" s="253">
        <v>49.1</v>
      </c>
      <c r="E46" s="253" t="s">
        <v>1434</v>
      </c>
      <c r="F46" s="253" t="s">
        <v>834</v>
      </c>
      <c r="G46" s="253">
        <v>11.390499999999999</v>
      </c>
    </row>
    <row r="47" spans="2:7" x14ac:dyDescent="0.2">
      <c r="B47" s="253">
        <v>63155</v>
      </c>
      <c r="C47" s="253" t="s">
        <v>809</v>
      </c>
      <c r="D47" s="253">
        <v>49.1</v>
      </c>
      <c r="E47" s="253" t="s">
        <v>1435</v>
      </c>
      <c r="F47" s="253" t="s">
        <v>834</v>
      </c>
      <c r="G47" s="253">
        <v>11.235200000000001</v>
      </c>
    </row>
    <row r="48" spans="2:7" x14ac:dyDescent="0.2">
      <c r="B48" s="253">
        <v>63155</v>
      </c>
      <c r="C48" s="253" t="s">
        <v>808</v>
      </c>
      <c r="D48" s="253">
        <v>49.1</v>
      </c>
      <c r="E48" s="253" t="s">
        <v>1435</v>
      </c>
      <c r="F48" s="253" t="s">
        <v>834</v>
      </c>
      <c r="G48" s="253">
        <v>11.2807</v>
      </c>
    </row>
    <row r="49" spans="2:7" x14ac:dyDescent="0.2">
      <c r="B49" s="253">
        <v>63142</v>
      </c>
      <c r="C49" s="253" t="s">
        <v>807</v>
      </c>
      <c r="D49" s="253">
        <v>49.1</v>
      </c>
      <c r="E49" s="253" t="s">
        <v>1436</v>
      </c>
      <c r="F49" s="253" t="s">
        <v>834</v>
      </c>
      <c r="G49" s="253">
        <v>14.807600000000001</v>
      </c>
    </row>
    <row r="50" spans="2:7" x14ac:dyDescent="0.2">
      <c r="B50" s="253">
        <v>63142</v>
      </c>
      <c r="C50" s="253" t="s">
        <v>804</v>
      </c>
      <c r="D50" s="253">
        <v>49.1</v>
      </c>
      <c r="E50" s="253" t="s">
        <v>1436</v>
      </c>
      <c r="F50" s="253" t="s">
        <v>834</v>
      </c>
      <c r="G50" s="253">
        <v>14.7455</v>
      </c>
    </row>
    <row r="51" spans="2:7" x14ac:dyDescent="0.2">
      <c r="B51" s="253">
        <v>63134</v>
      </c>
      <c r="C51" s="253" t="s">
        <v>807</v>
      </c>
      <c r="D51" s="253">
        <v>49.1</v>
      </c>
      <c r="E51" s="253" t="s">
        <v>1437</v>
      </c>
      <c r="F51" s="253" t="s">
        <v>834</v>
      </c>
      <c r="G51" s="253">
        <v>4.7218999999999998</v>
      </c>
    </row>
    <row r="52" spans="2:7" x14ac:dyDescent="0.2">
      <c r="B52" s="253">
        <v>63134</v>
      </c>
      <c r="C52" s="253" t="s">
        <v>804</v>
      </c>
      <c r="D52" s="253">
        <v>49.1</v>
      </c>
      <c r="E52" s="253" t="s">
        <v>1437</v>
      </c>
      <c r="F52" s="253" t="s">
        <v>834</v>
      </c>
      <c r="G52" s="253">
        <v>4.8460999999999999</v>
      </c>
    </row>
    <row r="53" spans="2:7" x14ac:dyDescent="0.2">
      <c r="B53" s="253">
        <v>88162</v>
      </c>
      <c r="C53" s="253" t="s">
        <v>810</v>
      </c>
      <c r="D53" s="253">
        <v>49.1</v>
      </c>
      <c r="E53" s="253" t="s">
        <v>1438</v>
      </c>
      <c r="F53" s="253" t="s">
        <v>811</v>
      </c>
      <c r="G53" s="253">
        <v>55.768799999999999</v>
      </c>
    </row>
    <row r="54" spans="2:7" x14ac:dyDescent="0.2">
      <c r="B54" s="253">
        <v>88162</v>
      </c>
      <c r="C54" s="253" t="s">
        <v>809</v>
      </c>
      <c r="D54" s="253">
        <v>49.1</v>
      </c>
      <c r="E54" s="253" t="s">
        <v>1438</v>
      </c>
      <c r="F54" s="253" t="s">
        <v>811</v>
      </c>
      <c r="G54" s="253">
        <v>49.403599999999997</v>
      </c>
    </row>
    <row r="55" spans="2:7" x14ac:dyDescent="0.2">
      <c r="B55" s="253">
        <v>88162</v>
      </c>
      <c r="C55" s="253" t="s">
        <v>808</v>
      </c>
      <c r="D55" s="253">
        <v>49.1</v>
      </c>
      <c r="E55" s="253" t="s">
        <v>1438</v>
      </c>
      <c r="F55" s="253" t="s">
        <v>811</v>
      </c>
      <c r="G55" s="253">
        <v>49.652200000000001</v>
      </c>
    </row>
    <row r="56" spans="2:7" x14ac:dyDescent="0.2">
      <c r="B56" s="253">
        <v>51023</v>
      </c>
      <c r="C56" s="253" t="s">
        <v>807</v>
      </c>
      <c r="D56" s="253">
        <v>49.1</v>
      </c>
      <c r="E56" s="253" t="s">
        <v>1439</v>
      </c>
      <c r="F56" s="253" t="s">
        <v>805</v>
      </c>
      <c r="G56" s="253">
        <v>13.096</v>
      </c>
    </row>
    <row r="57" spans="2:7" x14ac:dyDescent="0.2">
      <c r="B57" s="253">
        <v>51023</v>
      </c>
      <c r="C57" s="253" t="s">
        <v>804</v>
      </c>
      <c r="D57" s="253">
        <v>49.1</v>
      </c>
      <c r="E57" s="253" t="s">
        <v>1439</v>
      </c>
      <c r="F57" s="253" t="s">
        <v>805</v>
      </c>
      <c r="G57" s="253">
        <v>12.718999999999999</v>
      </c>
    </row>
    <row r="58" spans="2:7" x14ac:dyDescent="0.2">
      <c r="B58" s="253">
        <v>97186</v>
      </c>
      <c r="C58" s="253" t="s">
        <v>807</v>
      </c>
      <c r="D58" s="253">
        <v>49.1</v>
      </c>
      <c r="E58" s="253" t="s">
        <v>1440</v>
      </c>
      <c r="F58" s="253" t="s">
        <v>817</v>
      </c>
      <c r="G58" s="253">
        <v>0</v>
      </c>
    </row>
    <row r="59" spans="2:7" x14ac:dyDescent="0.2">
      <c r="B59" s="253">
        <v>97186</v>
      </c>
      <c r="C59" s="253" t="s">
        <v>804</v>
      </c>
      <c r="D59" s="253">
        <v>49.1</v>
      </c>
      <c r="E59" s="253" t="s">
        <v>1440</v>
      </c>
      <c r="F59" s="253" t="s">
        <v>817</v>
      </c>
      <c r="G59" s="253">
        <v>23.229299999999999</v>
      </c>
    </row>
    <row r="60" spans="2:7" x14ac:dyDescent="0.2">
      <c r="B60" s="253">
        <v>74145</v>
      </c>
      <c r="C60" s="253" t="s">
        <v>807</v>
      </c>
      <c r="D60" s="253">
        <v>49.1</v>
      </c>
      <c r="E60" s="253" t="s">
        <v>1441</v>
      </c>
      <c r="F60" s="253" t="s">
        <v>824</v>
      </c>
      <c r="G60" s="253">
        <v>0</v>
      </c>
    </row>
    <row r="61" spans="2:7" x14ac:dyDescent="0.2">
      <c r="B61" s="253">
        <v>74145</v>
      </c>
      <c r="C61" s="253" t="s">
        <v>804</v>
      </c>
      <c r="D61" s="253">
        <v>49.1</v>
      </c>
      <c r="E61" s="253" t="s">
        <v>1441</v>
      </c>
      <c r="F61" s="253" t="s">
        <v>824</v>
      </c>
      <c r="G61" s="253">
        <v>31.6769</v>
      </c>
    </row>
    <row r="62" spans="2:7" x14ac:dyDescent="0.2">
      <c r="B62" s="253">
        <v>96141</v>
      </c>
      <c r="C62" s="253" t="s">
        <v>826</v>
      </c>
      <c r="D62" s="253">
        <v>49.1</v>
      </c>
      <c r="E62" s="253" t="s">
        <v>1442</v>
      </c>
      <c r="F62" s="253" t="s">
        <v>830</v>
      </c>
      <c r="G62" s="253">
        <v>19.1541</v>
      </c>
    </row>
    <row r="63" spans="2:7" x14ac:dyDescent="0.2">
      <c r="B63" s="253">
        <v>96141</v>
      </c>
      <c r="C63" s="253" t="s">
        <v>823</v>
      </c>
      <c r="D63" s="253">
        <v>49.1</v>
      </c>
      <c r="E63" s="253" t="s">
        <v>1442</v>
      </c>
      <c r="F63" s="253" t="s">
        <v>830</v>
      </c>
      <c r="G63" s="253">
        <v>18.1541</v>
      </c>
    </row>
    <row r="64" spans="2:7" x14ac:dyDescent="0.2">
      <c r="B64" s="253">
        <v>51072</v>
      </c>
      <c r="C64" s="253" t="s">
        <v>807</v>
      </c>
      <c r="D64" s="253">
        <v>49.1</v>
      </c>
      <c r="E64" s="253" t="s">
        <v>1443</v>
      </c>
      <c r="F64" s="253" t="s">
        <v>805</v>
      </c>
      <c r="G64" s="253">
        <v>34.007800000000003</v>
      </c>
    </row>
    <row r="65" spans="2:7" x14ac:dyDescent="0.2">
      <c r="B65" s="253">
        <v>51072</v>
      </c>
      <c r="C65" s="253" t="s">
        <v>804</v>
      </c>
      <c r="D65" s="253">
        <v>49.1</v>
      </c>
      <c r="E65" s="253" t="s">
        <v>1443</v>
      </c>
      <c r="F65" s="253" t="s">
        <v>805</v>
      </c>
      <c r="G65" s="253">
        <v>38.788800000000002</v>
      </c>
    </row>
    <row r="66" spans="2:7" x14ac:dyDescent="0.2">
      <c r="B66" s="253">
        <v>51017</v>
      </c>
      <c r="C66" s="253" t="s">
        <v>810</v>
      </c>
      <c r="D66" s="253">
        <v>49.1</v>
      </c>
      <c r="E66" s="253" t="s">
        <v>1444</v>
      </c>
      <c r="F66" s="253" t="s">
        <v>805</v>
      </c>
      <c r="G66" s="253">
        <v>32.854300000000002</v>
      </c>
    </row>
    <row r="67" spans="2:7" x14ac:dyDescent="0.2">
      <c r="B67" s="253">
        <v>51017</v>
      </c>
      <c r="C67" s="253" t="s">
        <v>809</v>
      </c>
      <c r="D67" s="253">
        <v>49.1</v>
      </c>
      <c r="E67" s="253" t="s">
        <v>1444</v>
      </c>
      <c r="F67" s="253" t="s">
        <v>805</v>
      </c>
      <c r="G67" s="253">
        <v>24.068100000000001</v>
      </c>
    </row>
    <row r="68" spans="2:7" x14ac:dyDescent="0.2">
      <c r="B68" s="253">
        <v>51017</v>
      </c>
      <c r="C68" s="253" t="s">
        <v>808</v>
      </c>
      <c r="D68" s="253">
        <v>49.1</v>
      </c>
      <c r="E68" s="253" t="s">
        <v>1444</v>
      </c>
      <c r="F68" s="253" t="s">
        <v>805</v>
      </c>
      <c r="G68" s="253">
        <v>23.785399999999999</v>
      </c>
    </row>
    <row r="69" spans="2:7" x14ac:dyDescent="0.2">
      <c r="B69" s="253">
        <v>51007</v>
      </c>
      <c r="C69" s="253" t="s">
        <v>807</v>
      </c>
      <c r="D69" s="253">
        <v>49.1</v>
      </c>
      <c r="E69" s="253" t="s">
        <v>1445</v>
      </c>
      <c r="F69" s="253" t="s">
        <v>805</v>
      </c>
      <c r="G69" s="253">
        <v>39.047600000000003</v>
      </c>
    </row>
    <row r="70" spans="2:7" x14ac:dyDescent="0.2">
      <c r="B70" s="253">
        <v>51007</v>
      </c>
      <c r="C70" s="253" t="s">
        <v>804</v>
      </c>
      <c r="D70" s="253">
        <v>49.1</v>
      </c>
      <c r="E70" s="253" t="s">
        <v>1445</v>
      </c>
      <c r="F70" s="253" t="s">
        <v>805</v>
      </c>
      <c r="G70" s="253">
        <v>38.927500000000002</v>
      </c>
    </row>
    <row r="71" spans="2:7" x14ac:dyDescent="0.2">
      <c r="B71" s="253">
        <v>75129</v>
      </c>
      <c r="C71" s="253" t="s">
        <v>809</v>
      </c>
      <c r="D71" s="253">
        <v>49.1</v>
      </c>
      <c r="E71" s="253" t="s">
        <v>1446</v>
      </c>
      <c r="F71" s="253" t="s">
        <v>947</v>
      </c>
      <c r="G71" s="253">
        <v>29.625599999999999</v>
      </c>
    </row>
    <row r="72" spans="2:7" x14ac:dyDescent="0.2">
      <c r="B72" s="253">
        <v>75129</v>
      </c>
      <c r="C72" s="253" t="s">
        <v>808</v>
      </c>
      <c r="D72" s="253">
        <v>49.1</v>
      </c>
      <c r="E72" s="253" t="s">
        <v>1446</v>
      </c>
      <c r="F72" s="253" t="s">
        <v>947</v>
      </c>
      <c r="G72" s="253">
        <v>32.940199999999997</v>
      </c>
    </row>
    <row r="73" spans="2:7" x14ac:dyDescent="0.2">
      <c r="B73" s="253">
        <v>75129</v>
      </c>
      <c r="C73" s="253" t="s">
        <v>807</v>
      </c>
      <c r="D73" s="253">
        <v>49.1</v>
      </c>
      <c r="E73" s="253" t="s">
        <v>1446</v>
      </c>
      <c r="F73" s="253" t="s">
        <v>947</v>
      </c>
      <c r="G73" s="253">
        <v>38.965800000000002</v>
      </c>
    </row>
    <row r="74" spans="2:7" x14ac:dyDescent="0.2">
      <c r="B74" s="253">
        <v>97110</v>
      </c>
      <c r="C74" s="253" t="s">
        <v>807</v>
      </c>
      <c r="D74" s="253">
        <v>49.1</v>
      </c>
      <c r="E74" s="253" t="s">
        <v>1447</v>
      </c>
      <c r="F74" s="253" t="s">
        <v>817</v>
      </c>
      <c r="G74" s="253">
        <v>12.245799999999999</v>
      </c>
    </row>
    <row r="75" spans="2:7" x14ac:dyDescent="0.2">
      <c r="B75" s="253">
        <v>97110</v>
      </c>
      <c r="C75" s="253" t="s">
        <v>804</v>
      </c>
      <c r="D75" s="253">
        <v>49.1</v>
      </c>
      <c r="E75" s="253" t="s">
        <v>1447</v>
      </c>
      <c r="F75" s="253" t="s">
        <v>817</v>
      </c>
      <c r="G75" s="253">
        <v>12.193</v>
      </c>
    </row>
    <row r="76" spans="2:7" x14ac:dyDescent="0.2">
      <c r="B76" s="253">
        <v>62112</v>
      </c>
      <c r="C76" s="253" t="s">
        <v>807</v>
      </c>
      <c r="D76" s="253">
        <v>49.1</v>
      </c>
      <c r="E76" s="253" t="s">
        <v>1448</v>
      </c>
      <c r="F76" s="253" t="s">
        <v>845</v>
      </c>
      <c r="G76" s="253">
        <v>42.991799999999998</v>
      </c>
    </row>
    <row r="77" spans="2:7" x14ac:dyDescent="0.2">
      <c r="B77" s="253">
        <v>62112</v>
      </c>
      <c r="C77" s="253" t="s">
        <v>804</v>
      </c>
      <c r="D77" s="253">
        <v>49.1</v>
      </c>
      <c r="E77" s="253" t="s">
        <v>1448</v>
      </c>
      <c r="F77" s="253" t="s">
        <v>845</v>
      </c>
      <c r="G77" s="253">
        <v>42.577599999999997</v>
      </c>
    </row>
    <row r="78" spans="2:7" x14ac:dyDescent="0.2">
      <c r="B78" s="253">
        <v>61127</v>
      </c>
      <c r="C78" s="253" t="s">
        <v>809</v>
      </c>
      <c r="D78" s="253">
        <v>49.1</v>
      </c>
      <c r="E78" s="253" t="s">
        <v>1449</v>
      </c>
      <c r="F78" s="253" t="s">
        <v>820</v>
      </c>
      <c r="G78" s="253">
        <v>24.5185</v>
      </c>
    </row>
    <row r="79" spans="2:7" x14ac:dyDescent="0.2">
      <c r="B79" s="253">
        <v>61127</v>
      </c>
      <c r="C79" s="253" t="s">
        <v>808</v>
      </c>
      <c r="D79" s="253">
        <v>49.1</v>
      </c>
      <c r="E79" s="253" t="s">
        <v>1449</v>
      </c>
      <c r="F79" s="253" t="s">
        <v>820</v>
      </c>
      <c r="G79" s="253">
        <v>25.370799999999999</v>
      </c>
    </row>
    <row r="80" spans="2:7" x14ac:dyDescent="0.2">
      <c r="B80" s="253">
        <v>61127</v>
      </c>
      <c r="C80" s="253" t="s">
        <v>807</v>
      </c>
      <c r="D80" s="253">
        <v>49.1</v>
      </c>
      <c r="E80" s="253" t="s">
        <v>1449</v>
      </c>
      <c r="F80" s="253" t="s">
        <v>820</v>
      </c>
      <c r="G80" s="253">
        <v>15.035399999999999</v>
      </c>
    </row>
    <row r="81" spans="2:7" x14ac:dyDescent="0.2">
      <c r="B81" s="253">
        <v>61127</v>
      </c>
      <c r="C81" s="253" t="s">
        <v>804</v>
      </c>
      <c r="D81" s="253">
        <v>49.1</v>
      </c>
      <c r="E81" s="253" t="s">
        <v>1449</v>
      </c>
      <c r="F81" s="253" t="s">
        <v>820</v>
      </c>
      <c r="G81" s="253">
        <v>16.5214</v>
      </c>
    </row>
    <row r="82" spans="2:7" x14ac:dyDescent="0.2">
      <c r="B82" s="253">
        <v>96177</v>
      </c>
      <c r="C82" s="253" t="s">
        <v>807</v>
      </c>
      <c r="D82" s="253">
        <v>49.1</v>
      </c>
      <c r="E82" s="253" t="s">
        <v>1450</v>
      </c>
      <c r="F82" s="253" t="s">
        <v>815</v>
      </c>
      <c r="G82" s="253">
        <v>6.0121000000000002</v>
      </c>
    </row>
    <row r="83" spans="2:7" x14ac:dyDescent="0.2">
      <c r="B83" s="253">
        <v>96177</v>
      </c>
      <c r="C83" s="253" t="s">
        <v>804</v>
      </c>
      <c r="D83" s="253">
        <v>49.1</v>
      </c>
      <c r="E83" s="253" t="s">
        <v>1450</v>
      </c>
      <c r="F83" s="253" t="s">
        <v>815</v>
      </c>
      <c r="G83" s="253">
        <v>2.9428999999999998</v>
      </c>
    </row>
    <row r="84" spans="2:7" x14ac:dyDescent="0.2">
      <c r="B84" s="253">
        <v>75127</v>
      </c>
      <c r="C84" s="253" t="s">
        <v>807</v>
      </c>
      <c r="D84" s="253">
        <v>49</v>
      </c>
      <c r="E84" s="253" t="s">
        <v>1451</v>
      </c>
      <c r="F84" s="253" t="s">
        <v>947</v>
      </c>
      <c r="G84" s="253">
        <v>30.404299999999999</v>
      </c>
    </row>
    <row r="85" spans="2:7" x14ac:dyDescent="0.2">
      <c r="B85" s="253">
        <v>75127</v>
      </c>
      <c r="C85" s="253" t="s">
        <v>804</v>
      </c>
      <c r="D85" s="253">
        <v>49</v>
      </c>
      <c r="E85" s="253" t="s">
        <v>1451</v>
      </c>
      <c r="F85" s="253" t="s">
        <v>947</v>
      </c>
      <c r="G85" s="253">
        <v>26.621600000000001</v>
      </c>
    </row>
    <row r="86" spans="2:7" x14ac:dyDescent="0.2">
      <c r="B86" s="253">
        <v>97147</v>
      </c>
      <c r="C86" s="253" t="s">
        <v>808</v>
      </c>
      <c r="D86" s="253">
        <v>49</v>
      </c>
      <c r="E86" s="253" t="s">
        <v>1452</v>
      </c>
      <c r="F86" s="253" t="s">
        <v>817</v>
      </c>
      <c r="G86" s="253">
        <v>12.604100000000001</v>
      </c>
    </row>
    <row r="87" spans="2:7" x14ac:dyDescent="0.2">
      <c r="B87" s="253">
        <v>97147</v>
      </c>
      <c r="C87" s="253" t="s">
        <v>807</v>
      </c>
      <c r="D87" s="253">
        <v>49</v>
      </c>
      <c r="E87" s="253" t="s">
        <v>1452</v>
      </c>
      <c r="F87" s="253" t="s">
        <v>817</v>
      </c>
      <c r="G87" s="253">
        <v>9.4168000000000003</v>
      </c>
    </row>
    <row r="88" spans="2:7" x14ac:dyDescent="0.2">
      <c r="B88" s="253">
        <v>51004</v>
      </c>
      <c r="C88" s="253" t="s">
        <v>807</v>
      </c>
      <c r="D88" s="253">
        <v>49</v>
      </c>
      <c r="E88" s="253" t="s">
        <v>1453</v>
      </c>
      <c r="F88" s="253" t="s">
        <v>805</v>
      </c>
      <c r="G88" s="253">
        <v>10.8178</v>
      </c>
    </row>
    <row r="89" spans="2:7" x14ac:dyDescent="0.2">
      <c r="B89" s="253">
        <v>51004</v>
      </c>
      <c r="C89" s="253" t="s">
        <v>804</v>
      </c>
      <c r="D89" s="253">
        <v>49</v>
      </c>
      <c r="E89" s="253" t="s">
        <v>1453</v>
      </c>
      <c r="F89" s="253" t="s">
        <v>805</v>
      </c>
      <c r="G89" s="253">
        <v>8.0602999999999998</v>
      </c>
    </row>
    <row r="90" spans="2:7" x14ac:dyDescent="0.2">
      <c r="B90" s="253">
        <v>51047</v>
      </c>
      <c r="C90" s="253" t="s">
        <v>807</v>
      </c>
      <c r="D90" s="253">
        <v>49</v>
      </c>
      <c r="E90" s="253" t="s">
        <v>1454</v>
      </c>
      <c r="F90" s="253" t="s">
        <v>805</v>
      </c>
      <c r="G90" s="253">
        <v>11.6069</v>
      </c>
    </row>
    <row r="91" spans="2:7" x14ac:dyDescent="0.2">
      <c r="B91" s="253">
        <v>51047</v>
      </c>
      <c r="C91" s="253" t="s">
        <v>804</v>
      </c>
      <c r="D91" s="253">
        <v>49</v>
      </c>
      <c r="E91" s="253" t="s">
        <v>1454</v>
      </c>
      <c r="F91" s="253" t="s">
        <v>805</v>
      </c>
      <c r="G91" s="253">
        <v>10.773300000000001</v>
      </c>
    </row>
    <row r="92" spans="2:7" x14ac:dyDescent="0.2">
      <c r="B92" s="253">
        <v>51087</v>
      </c>
      <c r="C92" s="253" t="s">
        <v>809</v>
      </c>
      <c r="D92" s="253">
        <v>49</v>
      </c>
      <c r="E92" s="253" t="s">
        <v>1455</v>
      </c>
      <c r="F92" s="253" t="s">
        <v>805</v>
      </c>
      <c r="G92" s="253">
        <v>19.868099999999998</v>
      </c>
    </row>
    <row r="93" spans="2:7" x14ac:dyDescent="0.2">
      <c r="B93" s="253">
        <v>51087</v>
      </c>
      <c r="C93" s="253" t="s">
        <v>808</v>
      </c>
      <c r="D93" s="253">
        <v>49</v>
      </c>
      <c r="E93" s="253" t="s">
        <v>1455</v>
      </c>
      <c r="F93" s="253" t="s">
        <v>805</v>
      </c>
      <c r="G93" s="253">
        <v>20.0307</v>
      </c>
    </row>
    <row r="94" spans="2:7" x14ac:dyDescent="0.2">
      <c r="B94" s="253">
        <v>74128</v>
      </c>
      <c r="C94" s="253" t="s">
        <v>809</v>
      </c>
      <c r="D94" s="253">
        <v>49</v>
      </c>
      <c r="E94" s="253" t="s">
        <v>1456</v>
      </c>
      <c r="F94" s="253" t="s">
        <v>824</v>
      </c>
      <c r="G94" s="253">
        <v>37.642400000000002</v>
      </c>
    </row>
    <row r="95" spans="2:7" x14ac:dyDescent="0.2">
      <c r="B95" s="253">
        <v>74128</v>
      </c>
      <c r="C95" s="253" t="s">
        <v>808</v>
      </c>
      <c r="D95" s="253">
        <v>49</v>
      </c>
      <c r="E95" s="253" t="s">
        <v>1456</v>
      </c>
      <c r="F95" s="253" t="s">
        <v>824</v>
      </c>
      <c r="G95" s="253">
        <v>37.4146</v>
      </c>
    </row>
    <row r="96" spans="2:7" x14ac:dyDescent="0.2">
      <c r="B96" s="253">
        <v>74128</v>
      </c>
      <c r="C96" s="253" t="s">
        <v>807</v>
      </c>
      <c r="D96" s="253">
        <v>49</v>
      </c>
      <c r="E96" s="253" t="s">
        <v>1456</v>
      </c>
      <c r="F96" s="253" t="s">
        <v>824</v>
      </c>
      <c r="G96" s="253">
        <v>11.2828</v>
      </c>
    </row>
    <row r="97" spans="2:7" x14ac:dyDescent="0.2">
      <c r="B97" s="253">
        <v>74128</v>
      </c>
      <c r="C97" s="253" t="s">
        <v>804</v>
      </c>
      <c r="D97" s="253">
        <v>49</v>
      </c>
      <c r="E97" s="253" t="s">
        <v>1456</v>
      </c>
      <c r="F97" s="253" t="s">
        <v>824</v>
      </c>
      <c r="G97" s="253">
        <v>10.0526</v>
      </c>
    </row>
    <row r="98" spans="2:7" x14ac:dyDescent="0.2">
      <c r="B98" s="253">
        <v>74118</v>
      </c>
      <c r="C98" s="253" t="s">
        <v>807</v>
      </c>
      <c r="D98" s="253">
        <v>49</v>
      </c>
      <c r="E98" s="253" t="s">
        <v>1457</v>
      </c>
      <c r="F98" s="253" t="s">
        <v>824</v>
      </c>
      <c r="G98" s="253">
        <v>11.338699999999999</v>
      </c>
    </row>
    <row r="99" spans="2:7" x14ac:dyDescent="0.2">
      <c r="B99" s="253">
        <v>74118</v>
      </c>
      <c r="C99" s="253" t="s">
        <v>804</v>
      </c>
      <c r="D99" s="253">
        <v>49</v>
      </c>
      <c r="E99" s="253" t="s">
        <v>1457</v>
      </c>
      <c r="F99" s="253" t="s">
        <v>824</v>
      </c>
      <c r="G99" s="253">
        <v>8.0809999999999995</v>
      </c>
    </row>
    <row r="100" spans="2:7" x14ac:dyDescent="0.2">
      <c r="B100" s="253">
        <v>62133</v>
      </c>
      <c r="C100" s="253" t="s">
        <v>807</v>
      </c>
      <c r="D100" s="253">
        <v>49</v>
      </c>
      <c r="E100" s="253" t="s">
        <v>1458</v>
      </c>
      <c r="F100" s="253" t="s">
        <v>845</v>
      </c>
      <c r="G100" s="253">
        <v>39.998199999999997</v>
      </c>
    </row>
    <row r="101" spans="2:7" x14ac:dyDescent="0.2">
      <c r="B101" s="253">
        <v>62133</v>
      </c>
      <c r="C101" s="253" t="s">
        <v>804</v>
      </c>
      <c r="D101" s="253">
        <v>49</v>
      </c>
      <c r="E101" s="253" t="s">
        <v>1458</v>
      </c>
      <c r="F101" s="253" t="s">
        <v>845</v>
      </c>
      <c r="G101" s="253">
        <v>38.700699999999998</v>
      </c>
    </row>
    <row r="102" spans="2:7" x14ac:dyDescent="0.2">
      <c r="B102" s="253">
        <v>62133</v>
      </c>
      <c r="C102" s="253" t="s">
        <v>810</v>
      </c>
      <c r="D102" s="253">
        <v>49</v>
      </c>
      <c r="E102" s="253" t="s">
        <v>1458</v>
      </c>
      <c r="F102" s="253" t="s">
        <v>845</v>
      </c>
      <c r="G102" s="253">
        <v>0</v>
      </c>
    </row>
    <row r="103" spans="2:7" x14ac:dyDescent="0.2">
      <c r="B103" s="253">
        <v>562137</v>
      </c>
      <c r="C103" s="253" t="s">
        <v>809</v>
      </c>
      <c r="D103" s="253">
        <v>49</v>
      </c>
      <c r="E103" s="253" t="s">
        <v>1459</v>
      </c>
      <c r="F103" s="253" t="s">
        <v>845</v>
      </c>
      <c r="G103" s="253">
        <v>21.0061</v>
      </c>
    </row>
    <row r="104" spans="2:7" x14ac:dyDescent="0.2">
      <c r="B104" s="253">
        <v>562137</v>
      </c>
      <c r="C104" s="253" t="s">
        <v>808</v>
      </c>
      <c r="D104" s="253">
        <v>49</v>
      </c>
      <c r="E104" s="253" t="s">
        <v>1459</v>
      </c>
      <c r="F104" s="253" t="s">
        <v>845</v>
      </c>
      <c r="G104" s="253">
        <v>21.045500000000001</v>
      </c>
    </row>
    <row r="105" spans="2:7" x14ac:dyDescent="0.2">
      <c r="B105" s="253">
        <v>51130</v>
      </c>
      <c r="C105" s="253" t="s">
        <v>807</v>
      </c>
      <c r="D105" s="253">
        <v>49</v>
      </c>
      <c r="E105" s="253" t="s">
        <v>1460</v>
      </c>
      <c r="F105" s="253" t="s">
        <v>811</v>
      </c>
      <c r="G105" s="253">
        <v>27.978100000000001</v>
      </c>
    </row>
    <row r="106" spans="2:7" x14ac:dyDescent="0.2">
      <c r="B106" s="253">
        <v>51130</v>
      </c>
      <c r="C106" s="253" t="s">
        <v>804</v>
      </c>
      <c r="D106" s="253">
        <v>49</v>
      </c>
      <c r="E106" s="253" t="s">
        <v>1460</v>
      </c>
      <c r="F106" s="253" t="s">
        <v>811</v>
      </c>
      <c r="G106" s="253">
        <v>27.853899999999999</v>
      </c>
    </row>
    <row r="107" spans="2:7" x14ac:dyDescent="0.2">
      <c r="B107" s="253">
        <v>88120</v>
      </c>
      <c r="C107" s="253" t="s">
        <v>809</v>
      </c>
      <c r="D107" s="253">
        <v>49</v>
      </c>
      <c r="E107" s="253" t="s">
        <v>1461</v>
      </c>
      <c r="F107" s="253" t="s">
        <v>811</v>
      </c>
      <c r="G107" s="253">
        <v>42.476100000000002</v>
      </c>
    </row>
    <row r="108" spans="2:7" x14ac:dyDescent="0.2">
      <c r="B108" s="253">
        <v>88120</v>
      </c>
      <c r="C108" s="253" t="s">
        <v>808</v>
      </c>
      <c r="D108" s="253">
        <v>49</v>
      </c>
      <c r="E108" s="253" t="s">
        <v>1461</v>
      </c>
      <c r="F108" s="253" t="s">
        <v>811</v>
      </c>
      <c r="G108" s="253">
        <v>42.570399999999999</v>
      </c>
    </row>
    <row r="109" spans="2:7" x14ac:dyDescent="0.2">
      <c r="B109" s="253">
        <v>51028</v>
      </c>
      <c r="C109" s="253" t="s">
        <v>807</v>
      </c>
      <c r="D109" s="253">
        <v>49</v>
      </c>
      <c r="E109" s="253" t="s">
        <v>1462</v>
      </c>
      <c r="F109" s="253" t="s">
        <v>805</v>
      </c>
      <c r="G109" s="253">
        <v>44.326599999999999</v>
      </c>
    </row>
    <row r="110" spans="2:7" x14ac:dyDescent="0.2">
      <c r="B110" s="253">
        <v>51028</v>
      </c>
      <c r="C110" s="253" t="s">
        <v>804</v>
      </c>
      <c r="D110" s="253">
        <v>49</v>
      </c>
      <c r="E110" s="253" t="s">
        <v>1462</v>
      </c>
      <c r="F110" s="253" t="s">
        <v>805</v>
      </c>
      <c r="G110" s="253">
        <v>43.490900000000003</v>
      </c>
    </row>
    <row r="111" spans="2:7" x14ac:dyDescent="0.2">
      <c r="B111" s="253">
        <v>88177</v>
      </c>
      <c r="C111" s="253" t="s">
        <v>807</v>
      </c>
      <c r="D111" s="253">
        <v>49</v>
      </c>
      <c r="E111" s="253" t="s">
        <v>1463</v>
      </c>
      <c r="F111" s="253" t="s">
        <v>805</v>
      </c>
      <c r="G111" s="253">
        <v>39.480400000000003</v>
      </c>
    </row>
    <row r="112" spans="2:7" x14ac:dyDescent="0.2">
      <c r="B112" s="253">
        <v>88177</v>
      </c>
      <c r="C112" s="253" t="s">
        <v>804</v>
      </c>
      <c r="D112" s="253">
        <v>49</v>
      </c>
      <c r="E112" s="253" t="s">
        <v>1463</v>
      </c>
      <c r="F112" s="253" t="s">
        <v>805</v>
      </c>
      <c r="G112" s="253">
        <v>39.424500000000002</v>
      </c>
    </row>
    <row r="113" spans="2:7" x14ac:dyDescent="0.2">
      <c r="B113" s="253">
        <v>51062</v>
      </c>
      <c r="C113" s="253" t="s">
        <v>809</v>
      </c>
      <c r="D113" s="253">
        <v>49</v>
      </c>
      <c r="E113" s="253" t="s">
        <v>1464</v>
      </c>
      <c r="F113" s="253" t="s">
        <v>805</v>
      </c>
      <c r="G113" s="253">
        <v>41.913899999999998</v>
      </c>
    </row>
    <row r="114" spans="2:7" x14ac:dyDescent="0.2">
      <c r="B114" s="253">
        <v>51062</v>
      </c>
      <c r="C114" s="253" t="s">
        <v>808</v>
      </c>
      <c r="D114" s="253">
        <v>49</v>
      </c>
      <c r="E114" s="253" t="s">
        <v>1464</v>
      </c>
      <c r="F114" s="253" t="s">
        <v>805</v>
      </c>
      <c r="G114" s="253">
        <v>42.693600000000004</v>
      </c>
    </row>
    <row r="115" spans="2:7" x14ac:dyDescent="0.2">
      <c r="B115" s="253">
        <v>75112</v>
      </c>
      <c r="C115" s="253" t="s">
        <v>810</v>
      </c>
      <c r="D115" s="253">
        <v>48.9</v>
      </c>
      <c r="E115" s="253" t="s">
        <v>1465</v>
      </c>
      <c r="F115" s="253" t="s">
        <v>947</v>
      </c>
      <c r="G115" s="253">
        <v>24.981400000000001</v>
      </c>
    </row>
    <row r="116" spans="2:7" x14ac:dyDescent="0.2">
      <c r="B116" s="253">
        <v>75112</v>
      </c>
      <c r="C116" s="253" t="s">
        <v>808</v>
      </c>
      <c r="D116" s="253">
        <v>48.9</v>
      </c>
      <c r="E116" s="253" t="s">
        <v>1465</v>
      </c>
      <c r="F116" s="253" t="s">
        <v>947</v>
      </c>
      <c r="G116" s="253">
        <v>24.926500000000001</v>
      </c>
    </row>
    <row r="117" spans="2:7" x14ac:dyDescent="0.2">
      <c r="B117" s="253">
        <v>75112</v>
      </c>
      <c r="C117" s="253" t="s">
        <v>804</v>
      </c>
      <c r="D117" s="253">
        <v>48.9</v>
      </c>
      <c r="E117" s="253" t="s">
        <v>1465</v>
      </c>
      <c r="F117" s="253" t="s">
        <v>947</v>
      </c>
      <c r="G117" s="253">
        <v>25.575800000000001</v>
      </c>
    </row>
    <row r="118" spans="2:7" x14ac:dyDescent="0.2">
      <c r="B118" s="253">
        <v>51082</v>
      </c>
      <c r="C118" s="253" t="s">
        <v>807</v>
      </c>
      <c r="D118" s="253">
        <v>48.9</v>
      </c>
      <c r="E118" s="253" t="s">
        <v>1466</v>
      </c>
      <c r="F118" s="253" t="s">
        <v>805</v>
      </c>
      <c r="G118" s="253">
        <v>26.548100000000002</v>
      </c>
    </row>
    <row r="119" spans="2:7" x14ac:dyDescent="0.2">
      <c r="B119" s="253">
        <v>51082</v>
      </c>
      <c r="C119" s="253" t="s">
        <v>804</v>
      </c>
      <c r="D119" s="253">
        <v>48.9</v>
      </c>
      <c r="E119" s="253" t="s">
        <v>1466</v>
      </c>
      <c r="F119" s="253" t="s">
        <v>805</v>
      </c>
      <c r="G119" s="253">
        <v>26.5398</v>
      </c>
    </row>
    <row r="120" spans="2:7" x14ac:dyDescent="0.2">
      <c r="B120" s="253">
        <v>97167</v>
      </c>
      <c r="C120" s="253" t="s">
        <v>807</v>
      </c>
      <c r="D120" s="253">
        <v>48.9</v>
      </c>
      <c r="E120" s="253" t="s">
        <v>1467</v>
      </c>
      <c r="F120" s="253" t="s">
        <v>817</v>
      </c>
      <c r="G120" s="253">
        <v>47.675400000000003</v>
      </c>
    </row>
    <row r="121" spans="2:7" x14ac:dyDescent="0.2">
      <c r="B121" s="253">
        <v>97167</v>
      </c>
      <c r="C121" s="253" t="s">
        <v>804</v>
      </c>
      <c r="D121" s="253">
        <v>48.9</v>
      </c>
      <c r="E121" s="253" t="s">
        <v>1467</v>
      </c>
      <c r="F121" s="253" t="s">
        <v>817</v>
      </c>
      <c r="G121" s="253">
        <v>47.834899999999998</v>
      </c>
    </row>
    <row r="122" spans="2:7" x14ac:dyDescent="0.2">
      <c r="B122" s="253">
        <v>97123</v>
      </c>
      <c r="C122" s="253" t="s">
        <v>807</v>
      </c>
      <c r="D122" s="253">
        <v>48.9</v>
      </c>
      <c r="E122" s="253" t="s">
        <v>1468</v>
      </c>
      <c r="F122" s="253" t="s">
        <v>817</v>
      </c>
      <c r="G122" s="253">
        <v>13.871499999999999</v>
      </c>
    </row>
    <row r="123" spans="2:7" x14ac:dyDescent="0.2">
      <c r="B123" s="253">
        <v>97123</v>
      </c>
      <c r="C123" s="253" t="s">
        <v>804</v>
      </c>
      <c r="D123" s="253">
        <v>48.9</v>
      </c>
      <c r="E123" s="253" t="s">
        <v>1468</v>
      </c>
      <c r="F123" s="253" t="s">
        <v>817</v>
      </c>
      <c r="G123" s="253">
        <v>13.8622</v>
      </c>
    </row>
    <row r="124" spans="2:7" x14ac:dyDescent="0.2">
      <c r="B124" s="253">
        <v>97123</v>
      </c>
      <c r="C124" s="253" t="s">
        <v>808</v>
      </c>
      <c r="D124" s="253">
        <v>48.9</v>
      </c>
      <c r="E124" s="253" t="s">
        <v>1468</v>
      </c>
      <c r="F124" s="253" t="s">
        <v>817</v>
      </c>
      <c r="G124" s="253">
        <v>12.4343</v>
      </c>
    </row>
    <row r="125" spans="2:7" x14ac:dyDescent="0.2">
      <c r="B125" s="253">
        <v>88174</v>
      </c>
      <c r="C125" s="253" t="s">
        <v>807</v>
      </c>
      <c r="D125" s="253">
        <v>48.9</v>
      </c>
      <c r="E125" s="253" t="s">
        <v>1469</v>
      </c>
      <c r="F125" s="253" t="s">
        <v>805</v>
      </c>
      <c r="G125" s="253">
        <v>30.647600000000001</v>
      </c>
    </row>
    <row r="126" spans="2:7" x14ac:dyDescent="0.2">
      <c r="B126" s="253">
        <v>88174</v>
      </c>
      <c r="C126" s="253" t="s">
        <v>804</v>
      </c>
      <c r="D126" s="253">
        <v>48.9</v>
      </c>
      <c r="E126" s="253" t="s">
        <v>1469</v>
      </c>
      <c r="F126" s="253" t="s">
        <v>805</v>
      </c>
      <c r="G126" s="253">
        <v>30.607299999999999</v>
      </c>
    </row>
    <row r="127" spans="2:7" x14ac:dyDescent="0.2">
      <c r="B127" s="253">
        <v>51025</v>
      </c>
      <c r="C127" s="253" t="s">
        <v>807</v>
      </c>
      <c r="D127" s="253">
        <v>48.9</v>
      </c>
      <c r="E127" s="253" t="s">
        <v>1470</v>
      </c>
      <c r="F127" s="253" t="s">
        <v>805</v>
      </c>
      <c r="G127" s="253">
        <v>31.091899999999999</v>
      </c>
    </row>
    <row r="128" spans="2:7" x14ac:dyDescent="0.2">
      <c r="B128" s="253">
        <v>51025</v>
      </c>
      <c r="C128" s="253" t="s">
        <v>804</v>
      </c>
      <c r="D128" s="253">
        <v>48.9</v>
      </c>
      <c r="E128" s="253" t="s">
        <v>1470</v>
      </c>
      <c r="F128" s="253" t="s">
        <v>805</v>
      </c>
      <c r="G128" s="253">
        <v>31.053599999999999</v>
      </c>
    </row>
    <row r="129" spans="2:7" x14ac:dyDescent="0.2">
      <c r="B129" s="253">
        <v>88173</v>
      </c>
      <c r="C129" s="253" t="s">
        <v>807</v>
      </c>
      <c r="D129" s="253">
        <v>48.9</v>
      </c>
      <c r="E129" s="253" t="s">
        <v>1628</v>
      </c>
      <c r="F129" s="253" t="s">
        <v>811</v>
      </c>
      <c r="G129" s="253">
        <v>27.648800000000001</v>
      </c>
    </row>
    <row r="130" spans="2:7" x14ac:dyDescent="0.2">
      <c r="B130" s="253">
        <v>88173</v>
      </c>
      <c r="C130" s="253" t="s">
        <v>804</v>
      </c>
      <c r="D130" s="253">
        <v>48.9</v>
      </c>
      <c r="E130" s="253" t="s">
        <v>1628</v>
      </c>
      <c r="F130" s="253" t="s">
        <v>811</v>
      </c>
      <c r="G130" s="253">
        <v>27.894300000000001</v>
      </c>
    </row>
    <row r="131" spans="2:7" x14ac:dyDescent="0.2">
      <c r="B131" s="253">
        <v>51091</v>
      </c>
      <c r="C131" s="253" t="s">
        <v>807</v>
      </c>
      <c r="D131" s="253">
        <v>48.9</v>
      </c>
      <c r="E131" s="253" t="s">
        <v>1471</v>
      </c>
      <c r="F131" s="253" t="s">
        <v>805</v>
      </c>
      <c r="G131" s="253">
        <v>25.775600000000001</v>
      </c>
    </row>
    <row r="132" spans="2:7" x14ac:dyDescent="0.2">
      <c r="B132" s="253">
        <v>51091</v>
      </c>
      <c r="C132" s="253" t="s">
        <v>804</v>
      </c>
      <c r="D132" s="253">
        <v>48.9</v>
      </c>
      <c r="E132" s="253" t="s">
        <v>1471</v>
      </c>
      <c r="F132" s="253" t="s">
        <v>805</v>
      </c>
      <c r="G132" s="253">
        <v>26.3079</v>
      </c>
    </row>
    <row r="133" spans="2:7" x14ac:dyDescent="0.2">
      <c r="B133" s="253">
        <v>51050</v>
      </c>
      <c r="C133" s="253" t="s">
        <v>807</v>
      </c>
      <c r="D133" s="253">
        <v>48.9</v>
      </c>
      <c r="E133" s="253" t="s">
        <v>1472</v>
      </c>
      <c r="F133" s="253" t="s">
        <v>811</v>
      </c>
      <c r="G133" s="253">
        <v>24.200600000000001</v>
      </c>
    </row>
    <row r="134" spans="2:7" x14ac:dyDescent="0.2">
      <c r="B134" s="253">
        <v>51050</v>
      </c>
      <c r="C134" s="253" t="s">
        <v>804</v>
      </c>
      <c r="D134" s="253">
        <v>48.9</v>
      </c>
      <c r="E134" s="253" t="s">
        <v>1472</v>
      </c>
      <c r="F134" s="253" t="s">
        <v>811</v>
      </c>
      <c r="G134" s="253">
        <v>24.2483</v>
      </c>
    </row>
    <row r="135" spans="2:7" x14ac:dyDescent="0.2">
      <c r="B135" s="253">
        <v>96150</v>
      </c>
      <c r="C135" s="253" t="s">
        <v>807</v>
      </c>
      <c r="D135" s="253">
        <v>48.9</v>
      </c>
      <c r="E135" s="253" t="s">
        <v>1473</v>
      </c>
      <c r="F135" s="253" t="s">
        <v>830</v>
      </c>
      <c r="G135" s="253">
        <v>45.031799999999997</v>
      </c>
    </row>
    <row r="136" spans="2:7" x14ac:dyDescent="0.2">
      <c r="B136" s="253">
        <v>96150</v>
      </c>
      <c r="C136" s="253" t="s">
        <v>804</v>
      </c>
      <c r="D136" s="253">
        <v>48.9</v>
      </c>
      <c r="E136" s="253" t="s">
        <v>1473</v>
      </c>
      <c r="F136" s="253" t="s">
        <v>830</v>
      </c>
      <c r="G136" s="253">
        <v>44.7532</v>
      </c>
    </row>
    <row r="137" spans="2:7" x14ac:dyDescent="0.2">
      <c r="B137" s="253">
        <v>96134</v>
      </c>
      <c r="C137" s="253" t="s">
        <v>807</v>
      </c>
      <c r="D137" s="253">
        <v>48.9</v>
      </c>
      <c r="E137" s="253" t="s">
        <v>1474</v>
      </c>
      <c r="F137" s="253" t="s">
        <v>830</v>
      </c>
      <c r="G137" s="253">
        <v>10</v>
      </c>
    </row>
    <row r="138" spans="2:7" x14ac:dyDescent="0.2">
      <c r="B138" s="253">
        <v>96134</v>
      </c>
      <c r="C138" s="253" t="s">
        <v>804</v>
      </c>
      <c r="D138" s="253">
        <v>48.9</v>
      </c>
      <c r="E138" s="253" t="s">
        <v>1474</v>
      </c>
      <c r="F138" s="253" t="s">
        <v>830</v>
      </c>
      <c r="G138" s="253">
        <v>12.0335</v>
      </c>
    </row>
    <row r="139" spans="2:7" x14ac:dyDescent="0.2">
      <c r="B139" s="253">
        <v>74106</v>
      </c>
      <c r="C139" s="253" t="s">
        <v>807</v>
      </c>
      <c r="D139" s="253">
        <v>48.9</v>
      </c>
      <c r="E139" s="253" t="s">
        <v>1475</v>
      </c>
      <c r="F139" s="253" t="s">
        <v>824</v>
      </c>
      <c r="G139" s="253">
        <v>5.2148000000000003</v>
      </c>
    </row>
    <row r="140" spans="2:7" x14ac:dyDescent="0.2">
      <c r="B140" s="253">
        <v>74106</v>
      </c>
      <c r="C140" s="253" t="s">
        <v>804</v>
      </c>
      <c r="D140" s="253">
        <v>48.9</v>
      </c>
      <c r="E140" s="253" t="s">
        <v>1475</v>
      </c>
      <c r="F140" s="253" t="s">
        <v>824</v>
      </c>
      <c r="G140" s="253">
        <v>5.9561999999999999</v>
      </c>
    </row>
    <row r="141" spans="2:7" x14ac:dyDescent="0.2">
      <c r="B141" s="253">
        <v>74106</v>
      </c>
      <c r="C141" s="253" t="s">
        <v>808</v>
      </c>
      <c r="D141" s="253">
        <v>48.9</v>
      </c>
      <c r="E141" s="253" t="s">
        <v>1475</v>
      </c>
      <c r="F141" s="253" t="s">
        <v>824</v>
      </c>
      <c r="G141" s="253">
        <v>11.264200000000001</v>
      </c>
    </row>
    <row r="142" spans="2:7" x14ac:dyDescent="0.2">
      <c r="B142" s="253" t="e">
        <v>#N/A</v>
      </c>
      <c r="C142" s="253" t="s">
        <v>807</v>
      </c>
      <c r="D142" s="253">
        <v>48.8</v>
      </c>
      <c r="E142" s="253" t="s">
        <v>1476</v>
      </c>
      <c r="F142" s="253" t="e">
        <v>#N/A</v>
      </c>
      <c r="G142" s="253" t="e">
        <v>#N/A</v>
      </c>
    </row>
    <row r="143" spans="2:7" x14ac:dyDescent="0.2">
      <c r="B143" s="253" t="e">
        <v>#N/A</v>
      </c>
      <c r="C143" s="253" t="s">
        <v>804</v>
      </c>
      <c r="D143" s="253">
        <v>48.8</v>
      </c>
      <c r="E143" s="253" t="s">
        <v>1476</v>
      </c>
      <c r="F143" s="253" t="e">
        <v>#N/A</v>
      </c>
      <c r="G143" s="253" t="e">
        <v>#N/A</v>
      </c>
    </row>
    <row r="144" spans="2:7" x14ac:dyDescent="0.2">
      <c r="B144" s="253">
        <v>51031</v>
      </c>
      <c r="C144" s="253" t="s">
        <v>807</v>
      </c>
      <c r="D144" s="253">
        <v>48.8</v>
      </c>
      <c r="E144" s="253" t="s">
        <v>1477</v>
      </c>
      <c r="F144" s="253" t="s">
        <v>805</v>
      </c>
      <c r="G144" s="253">
        <v>31.0246</v>
      </c>
    </row>
    <row r="145" spans="2:7" x14ac:dyDescent="0.2">
      <c r="B145" s="253">
        <v>51031</v>
      </c>
      <c r="C145" s="253" t="s">
        <v>804</v>
      </c>
      <c r="D145" s="253">
        <v>48.8</v>
      </c>
      <c r="E145" s="253" t="s">
        <v>1477</v>
      </c>
      <c r="F145" s="253" t="s">
        <v>805</v>
      </c>
      <c r="G145" s="253">
        <v>31.129200000000001</v>
      </c>
    </row>
    <row r="146" spans="2:7" x14ac:dyDescent="0.2">
      <c r="B146" s="253">
        <v>51200</v>
      </c>
      <c r="C146" s="253" t="s">
        <v>807</v>
      </c>
      <c r="D146" s="253">
        <v>48.8</v>
      </c>
      <c r="E146" s="253" t="s">
        <v>1478</v>
      </c>
      <c r="F146" s="253" t="s">
        <v>805</v>
      </c>
      <c r="G146" s="253">
        <v>37.5762</v>
      </c>
    </row>
    <row r="147" spans="2:7" x14ac:dyDescent="0.2">
      <c r="B147" s="253">
        <v>51200</v>
      </c>
      <c r="C147" s="253" t="s">
        <v>804</v>
      </c>
      <c r="D147" s="253">
        <v>48.8</v>
      </c>
      <c r="E147" s="253" t="s">
        <v>1478</v>
      </c>
      <c r="F147" s="253" t="s">
        <v>805</v>
      </c>
      <c r="G147" s="253">
        <v>37.647599999999997</v>
      </c>
    </row>
    <row r="148" spans="2:7" x14ac:dyDescent="0.2">
      <c r="B148" s="253">
        <v>51045</v>
      </c>
      <c r="C148" s="253" t="s">
        <v>809</v>
      </c>
      <c r="D148" s="253">
        <v>48.8</v>
      </c>
      <c r="E148" s="253" t="s">
        <v>1479</v>
      </c>
      <c r="F148" s="253" t="s">
        <v>805</v>
      </c>
      <c r="G148" s="253">
        <v>38.743200000000002</v>
      </c>
    </row>
    <row r="149" spans="2:7" x14ac:dyDescent="0.2">
      <c r="B149" s="253">
        <v>51045</v>
      </c>
      <c r="C149" s="253" t="s">
        <v>808</v>
      </c>
      <c r="D149" s="253">
        <v>48.8</v>
      </c>
      <c r="E149" s="253" t="s">
        <v>1479</v>
      </c>
      <c r="F149" s="253" t="s">
        <v>805</v>
      </c>
      <c r="G149" s="253">
        <v>38.734900000000003</v>
      </c>
    </row>
    <row r="150" spans="2:7" x14ac:dyDescent="0.2">
      <c r="B150" s="253">
        <v>51084</v>
      </c>
      <c r="C150" s="253" t="s">
        <v>807</v>
      </c>
      <c r="D150" s="253">
        <v>48.8</v>
      </c>
      <c r="E150" s="253" t="s">
        <v>1480</v>
      </c>
      <c r="F150" s="253" t="s">
        <v>805</v>
      </c>
      <c r="G150" s="253">
        <v>15.476599999999999</v>
      </c>
    </row>
    <row r="151" spans="2:7" x14ac:dyDescent="0.2">
      <c r="B151" s="253">
        <v>51084</v>
      </c>
      <c r="C151" s="253" t="s">
        <v>804</v>
      </c>
      <c r="D151" s="253">
        <v>48.8</v>
      </c>
      <c r="E151" s="253" t="s">
        <v>1480</v>
      </c>
      <c r="F151" s="253" t="s">
        <v>805</v>
      </c>
      <c r="G151" s="253">
        <v>15.5138</v>
      </c>
    </row>
    <row r="152" spans="2:7" x14ac:dyDescent="0.2">
      <c r="B152" s="253">
        <v>96144</v>
      </c>
      <c r="C152" s="253" t="s">
        <v>807</v>
      </c>
      <c r="D152" s="253">
        <v>48.8</v>
      </c>
      <c r="E152" s="253" t="s">
        <v>1481</v>
      </c>
      <c r="F152" s="253" t="s">
        <v>830</v>
      </c>
      <c r="G152" s="253">
        <v>6.827</v>
      </c>
    </row>
    <row r="153" spans="2:7" x14ac:dyDescent="0.2">
      <c r="B153" s="253">
        <v>96144</v>
      </c>
      <c r="C153" s="253" t="s">
        <v>804</v>
      </c>
      <c r="D153" s="253">
        <v>48.8</v>
      </c>
      <c r="E153" s="253" t="s">
        <v>1481</v>
      </c>
      <c r="F153" s="253" t="s">
        <v>830</v>
      </c>
      <c r="G153" s="253">
        <v>6.8529</v>
      </c>
    </row>
    <row r="154" spans="2:7" x14ac:dyDescent="0.2">
      <c r="B154" s="253">
        <v>96147</v>
      </c>
      <c r="C154" s="253" t="s">
        <v>807</v>
      </c>
      <c r="D154" s="253">
        <v>48.8</v>
      </c>
      <c r="E154" s="253" t="s">
        <v>1482</v>
      </c>
      <c r="F154" s="253" t="s">
        <v>815</v>
      </c>
      <c r="G154" s="253">
        <v>10.589</v>
      </c>
    </row>
    <row r="155" spans="2:7" x14ac:dyDescent="0.2">
      <c r="B155" s="253">
        <v>96147</v>
      </c>
      <c r="C155" s="253" t="s">
        <v>804</v>
      </c>
      <c r="D155" s="253">
        <v>48.8</v>
      </c>
      <c r="E155" s="253" t="s">
        <v>1482</v>
      </c>
      <c r="F155" s="253" t="s">
        <v>815</v>
      </c>
      <c r="G155" s="253">
        <v>0</v>
      </c>
    </row>
    <row r="156" spans="2:7" x14ac:dyDescent="0.2">
      <c r="B156" s="253">
        <v>96173</v>
      </c>
      <c r="C156" s="253" t="s">
        <v>812</v>
      </c>
      <c r="D156" s="253">
        <v>48.8</v>
      </c>
      <c r="E156" s="253" t="s">
        <v>1483</v>
      </c>
      <c r="F156" s="253" t="s">
        <v>815</v>
      </c>
      <c r="G156" s="253">
        <v>11.4733</v>
      </c>
    </row>
    <row r="157" spans="2:7" x14ac:dyDescent="0.2">
      <c r="B157" s="253">
        <v>96173</v>
      </c>
      <c r="C157" s="253" t="s">
        <v>810</v>
      </c>
      <c r="D157" s="253">
        <v>48.8</v>
      </c>
      <c r="E157" s="253" t="s">
        <v>1483</v>
      </c>
      <c r="F157" s="253" t="s">
        <v>815</v>
      </c>
      <c r="G157" s="253">
        <v>11.380100000000001</v>
      </c>
    </row>
    <row r="158" spans="2:7" x14ac:dyDescent="0.2">
      <c r="B158" s="253" t="e">
        <v>#N/A</v>
      </c>
      <c r="C158" s="253" t="s">
        <v>809</v>
      </c>
      <c r="D158" s="253">
        <v>48.8</v>
      </c>
      <c r="E158" s="253" t="s">
        <v>1483</v>
      </c>
      <c r="F158" s="253" t="e">
        <v>#N/A</v>
      </c>
      <c r="G158" s="253" t="e">
        <v>#N/A</v>
      </c>
    </row>
    <row r="159" spans="2:7" x14ac:dyDescent="0.2">
      <c r="B159" s="253">
        <v>96173</v>
      </c>
      <c r="C159" s="253" t="s">
        <v>808</v>
      </c>
      <c r="D159" s="253">
        <v>48.8</v>
      </c>
      <c r="E159" s="253" t="s">
        <v>1483</v>
      </c>
      <c r="F159" s="253" t="s">
        <v>815</v>
      </c>
      <c r="G159" s="253">
        <v>2.8092999999999999</v>
      </c>
    </row>
    <row r="160" spans="2:7" x14ac:dyDescent="0.2">
      <c r="B160" s="253">
        <v>96173</v>
      </c>
      <c r="C160" s="253" t="s">
        <v>807</v>
      </c>
      <c r="D160" s="253">
        <v>48.8</v>
      </c>
      <c r="E160" s="253" t="s">
        <v>1483</v>
      </c>
      <c r="F160" s="253" t="s">
        <v>815</v>
      </c>
      <c r="G160" s="253">
        <v>6.2450999999999999</v>
      </c>
    </row>
    <row r="161" spans="2:7" x14ac:dyDescent="0.2">
      <c r="B161" s="253">
        <v>96173</v>
      </c>
      <c r="C161" s="253" t="s">
        <v>804</v>
      </c>
      <c r="D161" s="253">
        <v>48.8</v>
      </c>
      <c r="E161" s="253" t="s">
        <v>1483</v>
      </c>
      <c r="F161" s="253" t="s">
        <v>815</v>
      </c>
      <c r="G161" s="253">
        <v>6.2285000000000004</v>
      </c>
    </row>
    <row r="162" spans="2:7" x14ac:dyDescent="0.2">
      <c r="B162" s="253">
        <v>96135</v>
      </c>
      <c r="C162" s="253" t="s">
        <v>809</v>
      </c>
      <c r="D162" s="253">
        <v>48.8</v>
      </c>
      <c r="E162" s="253" t="s">
        <v>1484</v>
      </c>
      <c r="F162" s="253" t="s">
        <v>830</v>
      </c>
      <c r="G162" s="253">
        <v>19.9893</v>
      </c>
    </row>
    <row r="163" spans="2:7" x14ac:dyDescent="0.2">
      <c r="B163" s="253">
        <v>96135</v>
      </c>
      <c r="C163" s="253" t="s">
        <v>808</v>
      </c>
      <c r="D163" s="253">
        <v>48.8</v>
      </c>
      <c r="E163" s="253" t="s">
        <v>1484</v>
      </c>
      <c r="F163" s="253" t="s">
        <v>830</v>
      </c>
      <c r="G163" s="253">
        <v>19.967500000000001</v>
      </c>
    </row>
    <row r="164" spans="2:7" x14ac:dyDescent="0.2">
      <c r="B164" s="253">
        <v>96135</v>
      </c>
      <c r="C164" s="253" t="s">
        <v>807</v>
      </c>
      <c r="D164" s="253">
        <v>48.8</v>
      </c>
      <c r="E164" s="253" t="s">
        <v>1484</v>
      </c>
      <c r="F164" s="253" t="s">
        <v>830</v>
      </c>
      <c r="G164" s="253">
        <v>7.8615000000000004</v>
      </c>
    </row>
    <row r="165" spans="2:7" x14ac:dyDescent="0.2">
      <c r="B165" s="253">
        <v>96135</v>
      </c>
      <c r="C165" s="253" t="s">
        <v>804</v>
      </c>
      <c r="D165" s="253">
        <v>48.8</v>
      </c>
      <c r="E165" s="253" t="s">
        <v>1484</v>
      </c>
      <c r="F165" s="253" t="s">
        <v>830</v>
      </c>
      <c r="G165" s="253">
        <v>11.1275</v>
      </c>
    </row>
    <row r="166" spans="2:7" x14ac:dyDescent="0.2">
      <c r="B166" s="253">
        <v>96129</v>
      </c>
      <c r="C166" s="253" t="s">
        <v>807</v>
      </c>
      <c r="D166" s="253">
        <v>48.8</v>
      </c>
      <c r="E166" s="253" t="s">
        <v>1485</v>
      </c>
      <c r="F166" s="253" t="s">
        <v>830</v>
      </c>
      <c r="G166" s="253">
        <v>14.902900000000001</v>
      </c>
    </row>
    <row r="167" spans="2:7" x14ac:dyDescent="0.2">
      <c r="B167" s="253">
        <v>96129</v>
      </c>
      <c r="C167" s="253" t="s">
        <v>804</v>
      </c>
      <c r="D167" s="253">
        <v>48.8</v>
      </c>
      <c r="E167" s="253" t="s">
        <v>1485</v>
      </c>
      <c r="F167" s="253" t="s">
        <v>830</v>
      </c>
      <c r="G167" s="253">
        <v>14.867699999999999</v>
      </c>
    </row>
    <row r="168" spans="2:7" x14ac:dyDescent="0.2">
      <c r="B168" s="253">
        <v>96193</v>
      </c>
      <c r="C168" s="253" t="s">
        <v>810</v>
      </c>
      <c r="D168" s="253">
        <v>48.8</v>
      </c>
      <c r="E168" s="253" t="s">
        <v>1486</v>
      </c>
      <c r="F168" s="253" t="s">
        <v>830</v>
      </c>
      <c r="G168" s="253">
        <v>0</v>
      </c>
    </row>
    <row r="169" spans="2:7" x14ac:dyDescent="0.2">
      <c r="B169" s="253">
        <v>96193</v>
      </c>
      <c r="C169" s="253" t="s">
        <v>809</v>
      </c>
      <c r="D169" s="253">
        <v>48.8</v>
      </c>
      <c r="E169" s="253" t="s">
        <v>1486</v>
      </c>
      <c r="F169" s="253" t="s">
        <v>830</v>
      </c>
      <c r="G169" s="253">
        <v>0</v>
      </c>
    </row>
    <row r="170" spans="2:7" x14ac:dyDescent="0.2">
      <c r="B170" s="253">
        <v>96193</v>
      </c>
      <c r="C170" s="253" t="s">
        <v>808</v>
      </c>
      <c r="D170" s="253">
        <v>48.8</v>
      </c>
      <c r="E170" s="253" t="s">
        <v>1486</v>
      </c>
      <c r="F170" s="253" t="s">
        <v>830</v>
      </c>
      <c r="G170" s="253">
        <v>0</v>
      </c>
    </row>
    <row r="171" spans="2:7" x14ac:dyDescent="0.2">
      <c r="B171" s="253">
        <v>596193</v>
      </c>
      <c r="C171" s="253" t="s">
        <v>807</v>
      </c>
      <c r="D171" s="253">
        <v>48.8</v>
      </c>
      <c r="E171" s="253" t="s">
        <v>1486</v>
      </c>
      <c r="F171" s="253" t="s">
        <v>830</v>
      </c>
      <c r="G171" s="253">
        <v>19.271699999999999</v>
      </c>
    </row>
    <row r="172" spans="2:7" x14ac:dyDescent="0.2">
      <c r="B172" s="253">
        <v>596193</v>
      </c>
      <c r="C172" s="253" t="s">
        <v>804</v>
      </c>
      <c r="D172" s="253">
        <v>48.8</v>
      </c>
      <c r="E172" s="253" t="s">
        <v>1486</v>
      </c>
      <c r="F172" s="253" t="s">
        <v>830</v>
      </c>
      <c r="G172" s="253">
        <v>18.528199999999998</v>
      </c>
    </row>
    <row r="173" spans="2:7" x14ac:dyDescent="0.2">
      <c r="B173" s="253">
        <v>96190</v>
      </c>
      <c r="C173" s="253" t="s">
        <v>807</v>
      </c>
      <c r="D173" s="253">
        <v>48.8</v>
      </c>
      <c r="E173" s="253" t="s">
        <v>1487</v>
      </c>
      <c r="F173" s="253" t="s">
        <v>830</v>
      </c>
      <c r="G173" s="253">
        <v>6.9969000000000001</v>
      </c>
    </row>
    <row r="174" spans="2:7" x14ac:dyDescent="0.2">
      <c r="B174" s="253">
        <v>96190</v>
      </c>
      <c r="C174" s="253" t="s">
        <v>804</v>
      </c>
      <c r="D174" s="253">
        <v>48.8</v>
      </c>
      <c r="E174" s="253" t="s">
        <v>1487</v>
      </c>
      <c r="F174" s="253" t="s">
        <v>830</v>
      </c>
      <c r="G174" s="253">
        <v>13.0794</v>
      </c>
    </row>
    <row r="175" spans="2:7" x14ac:dyDescent="0.2">
      <c r="B175" s="253">
        <v>74120</v>
      </c>
      <c r="C175" s="253" t="s">
        <v>807</v>
      </c>
      <c r="D175" s="253">
        <v>48.8</v>
      </c>
      <c r="E175" s="253" t="s">
        <v>1488</v>
      </c>
      <c r="F175" s="253" t="s">
        <v>824</v>
      </c>
      <c r="G175" s="253">
        <v>2.7896000000000001</v>
      </c>
    </row>
    <row r="176" spans="2:7" x14ac:dyDescent="0.2">
      <c r="B176" s="253">
        <v>74120</v>
      </c>
      <c r="C176" s="253" t="s">
        <v>804</v>
      </c>
      <c r="D176" s="253">
        <v>48.8</v>
      </c>
      <c r="E176" s="253" t="s">
        <v>1488</v>
      </c>
      <c r="F176" s="253" t="s">
        <v>824</v>
      </c>
      <c r="G176" s="253">
        <v>2.7812999999999999</v>
      </c>
    </row>
    <row r="177" spans="2:7" x14ac:dyDescent="0.2">
      <c r="B177" s="253">
        <v>74121</v>
      </c>
      <c r="C177" s="253" t="s">
        <v>809</v>
      </c>
      <c r="D177" s="253">
        <v>48.8</v>
      </c>
      <c r="E177" s="253" t="s">
        <v>1489</v>
      </c>
      <c r="F177" s="253" t="s">
        <v>824</v>
      </c>
      <c r="G177" s="253">
        <v>12.479799999999999</v>
      </c>
    </row>
    <row r="178" spans="2:7" x14ac:dyDescent="0.2">
      <c r="B178" s="253">
        <v>74121</v>
      </c>
      <c r="C178" s="253" t="s">
        <v>808</v>
      </c>
      <c r="D178" s="253">
        <v>48.8</v>
      </c>
      <c r="E178" s="253" t="s">
        <v>1489</v>
      </c>
      <c r="F178" s="253" t="s">
        <v>824</v>
      </c>
      <c r="G178" s="253">
        <v>12.9841</v>
      </c>
    </row>
    <row r="179" spans="2:7" x14ac:dyDescent="0.2">
      <c r="B179" s="253">
        <v>74121</v>
      </c>
      <c r="C179" s="253" t="s">
        <v>807</v>
      </c>
      <c r="D179" s="253">
        <v>48.8</v>
      </c>
      <c r="E179" s="253" t="s">
        <v>1489</v>
      </c>
      <c r="F179" s="253" t="s">
        <v>824</v>
      </c>
      <c r="G179" s="253">
        <v>5.9976000000000003</v>
      </c>
    </row>
    <row r="180" spans="2:7" x14ac:dyDescent="0.2">
      <c r="B180" s="253">
        <v>74121</v>
      </c>
      <c r="C180" s="253" t="s">
        <v>804</v>
      </c>
      <c r="D180" s="253">
        <v>48.8</v>
      </c>
      <c r="E180" s="253" t="s">
        <v>1489</v>
      </c>
      <c r="F180" s="253" t="s">
        <v>824</v>
      </c>
      <c r="G180" s="253">
        <v>11.407</v>
      </c>
    </row>
    <row r="181" spans="2:7" x14ac:dyDescent="0.2">
      <c r="B181" s="253">
        <v>74123</v>
      </c>
      <c r="C181" s="253" t="s">
        <v>848</v>
      </c>
      <c r="D181" s="253">
        <v>48.8</v>
      </c>
      <c r="E181" s="253" t="s">
        <v>1490</v>
      </c>
      <c r="F181" s="253" t="s">
        <v>824</v>
      </c>
      <c r="G181" s="253">
        <v>5.5419999999999998</v>
      </c>
    </row>
    <row r="182" spans="2:7" x14ac:dyDescent="0.2">
      <c r="B182" s="253">
        <v>74123</v>
      </c>
      <c r="C182" s="253" t="s">
        <v>807</v>
      </c>
      <c r="D182" s="253">
        <v>48.8</v>
      </c>
      <c r="E182" s="253" t="s">
        <v>1490</v>
      </c>
      <c r="F182" s="253" t="s">
        <v>824</v>
      </c>
      <c r="G182" s="253">
        <v>12.6745</v>
      </c>
    </row>
    <row r="183" spans="2:7" x14ac:dyDescent="0.2">
      <c r="B183" s="253">
        <v>74123</v>
      </c>
      <c r="C183" s="253" t="s">
        <v>804</v>
      </c>
      <c r="D183" s="253">
        <v>48.8</v>
      </c>
      <c r="E183" s="253" t="s">
        <v>1490</v>
      </c>
      <c r="F183" s="253" t="s">
        <v>824</v>
      </c>
      <c r="G183" s="253">
        <v>12.594799999999999</v>
      </c>
    </row>
    <row r="184" spans="2:7" x14ac:dyDescent="0.2">
      <c r="B184" s="253">
        <v>74122</v>
      </c>
      <c r="C184" s="253" t="s">
        <v>807</v>
      </c>
      <c r="D184" s="253">
        <v>48.8</v>
      </c>
      <c r="E184" s="253" t="s">
        <v>1491</v>
      </c>
      <c r="F184" s="253" t="s">
        <v>824</v>
      </c>
      <c r="G184" s="253">
        <v>18.992100000000001</v>
      </c>
    </row>
    <row r="185" spans="2:7" x14ac:dyDescent="0.2">
      <c r="B185" s="253">
        <v>74122</v>
      </c>
      <c r="C185" s="253" t="s">
        <v>804</v>
      </c>
      <c r="D185" s="253">
        <v>48.8</v>
      </c>
      <c r="E185" s="253" t="s">
        <v>1491</v>
      </c>
      <c r="F185" s="253" t="s">
        <v>824</v>
      </c>
      <c r="G185" s="253">
        <v>19.1629</v>
      </c>
    </row>
    <row r="186" spans="2:7" x14ac:dyDescent="0.2">
      <c r="B186" s="253">
        <v>74151</v>
      </c>
      <c r="C186" s="253" t="s">
        <v>809</v>
      </c>
      <c r="D186" s="253">
        <v>48.8</v>
      </c>
      <c r="E186" s="253" t="s">
        <v>1492</v>
      </c>
      <c r="F186" s="253" t="s">
        <v>824</v>
      </c>
      <c r="G186" s="253">
        <v>0</v>
      </c>
    </row>
    <row r="187" spans="2:7" x14ac:dyDescent="0.2">
      <c r="B187" s="253">
        <v>74151</v>
      </c>
      <c r="C187" s="253" t="s">
        <v>808</v>
      </c>
      <c r="D187" s="253">
        <v>48.8</v>
      </c>
      <c r="E187" s="253" t="s">
        <v>1492</v>
      </c>
      <c r="F187" s="253" t="s">
        <v>824</v>
      </c>
      <c r="G187" s="253">
        <v>0</v>
      </c>
    </row>
    <row r="188" spans="2:7" x14ac:dyDescent="0.2">
      <c r="B188" s="253">
        <v>74151</v>
      </c>
      <c r="C188" s="253" t="s">
        <v>807</v>
      </c>
      <c r="D188" s="253">
        <v>48.8</v>
      </c>
      <c r="E188" s="253" t="s">
        <v>1492</v>
      </c>
      <c r="F188" s="253" t="s">
        <v>824</v>
      </c>
      <c r="G188" s="253">
        <v>11.033200000000001</v>
      </c>
    </row>
    <row r="189" spans="2:7" x14ac:dyDescent="0.2">
      <c r="B189" s="253">
        <v>74151</v>
      </c>
      <c r="C189" s="253" t="s">
        <v>804</v>
      </c>
      <c r="D189" s="253">
        <v>48.8</v>
      </c>
      <c r="E189" s="253" t="s">
        <v>1492</v>
      </c>
      <c r="F189" s="253" t="s">
        <v>824</v>
      </c>
      <c r="G189" s="253">
        <v>11.7011</v>
      </c>
    </row>
    <row r="190" spans="2:7" x14ac:dyDescent="0.2">
      <c r="B190" s="253">
        <v>62105</v>
      </c>
      <c r="C190" s="253" t="s">
        <v>809</v>
      </c>
      <c r="D190" s="253">
        <v>48.8</v>
      </c>
      <c r="E190" s="253" t="s">
        <v>1493</v>
      </c>
      <c r="F190" s="253" t="s">
        <v>845</v>
      </c>
      <c r="G190" s="253">
        <v>23.086400000000001</v>
      </c>
    </row>
    <row r="191" spans="2:7" x14ac:dyDescent="0.2">
      <c r="B191" s="253">
        <v>62105</v>
      </c>
      <c r="C191" s="253" t="s">
        <v>808</v>
      </c>
      <c r="D191" s="253">
        <v>48.8</v>
      </c>
      <c r="E191" s="253" t="s">
        <v>1493</v>
      </c>
      <c r="F191" s="253" t="s">
        <v>845</v>
      </c>
      <c r="G191" s="253">
        <v>22.457899999999999</v>
      </c>
    </row>
    <row r="192" spans="2:7" x14ac:dyDescent="0.2">
      <c r="B192" s="253">
        <v>61109</v>
      </c>
      <c r="C192" s="253" t="s">
        <v>807</v>
      </c>
      <c r="D192" s="253">
        <v>48.8</v>
      </c>
      <c r="E192" s="253" t="s">
        <v>1494</v>
      </c>
      <c r="F192" s="253" t="s">
        <v>820</v>
      </c>
      <c r="G192" s="253">
        <v>4.6990999999999996</v>
      </c>
    </row>
    <row r="193" spans="2:7" x14ac:dyDescent="0.2">
      <c r="B193" s="253">
        <v>61109</v>
      </c>
      <c r="C193" s="253" t="s">
        <v>804</v>
      </c>
      <c r="D193" s="253">
        <v>48.8</v>
      </c>
      <c r="E193" s="253" t="s">
        <v>1494</v>
      </c>
      <c r="F193" s="253" t="s">
        <v>820</v>
      </c>
      <c r="G193" s="253">
        <v>4.7176999999999998</v>
      </c>
    </row>
    <row r="194" spans="2:7" x14ac:dyDescent="0.2">
      <c r="B194" s="253">
        <v>61107</v>
      </c>
      <c r="C194" s="253" t="s">
        <v>807</v>
      </c>
      <c r="D194" s="253">
        <v>48.8</v>
      </c>
      <c r="E194" s="253" t="s">
        <v>1495</v>
      </c>
      <c r="F194" s="253" t="s">
        <v>820</v>
      </c>
      <c r="G194" s="253">
        <v>13.914</v>
      </c>
    </row>
    <row r="195" spans="2:7" x14ac:dyDescent="0.2">
      <c r="B195" s="253">
        <v>61107</v>
      </c>
      <c r="C195" s="253" t="s">
        <v>804</v>
      </c>
      <c r="D195" s="253">
        <v>48.8</v>
      </c>
      <c r="E195" s="253" t="s">
        <v>1495</v>
      </c>
      <c r="F195" s="253" t="s">
        <v>820</v>
      </c>
      <c r="G195" s="253">
        <v>14.4773</v>
      </c>
    </row>
    <row r="196" spans="2:7" x14ac:dyDescent="0.2">
      <c r="B196" s="253">
        <v>63129</v>
      </c>
      <c r="C196" s="253" t="s">
        <v>807</v>
      </c>
      <c r="D196" s="253">
        <v>48.7</v>
      </c>
      <c r="E196" s="253" t="s">
        <v>1496</v>
      </c>
      <c r="F196" s="253" t="s">
        <v>834</v>
      </c>
      <c r="G196" s="253">
        <v>43.2455</v>
      </c>
    </row>
    <row r="197" spans="2:7" x14ac:dyDescent="0.2">
      <c r="B197" s="253">
        <v>63129</v>
      </c>
      <c r="C197" s="253" t="s">
        <v>804</v>
      </c>
      <c r="D197" s="253">
        <v>48.7</v>
      </c>
      <c r="E197" s="253" t="s">
        <v>1496</v>
      </c>
      <c r="F197" s="253" t="s">
        <v>834</v>
      </c>
      <c r="G197" s="253">
        <v>42.339500000000001</v>
      </c>
    </row>
    <row r="198" spans="2:7" x14ac:dyDescent="0.2">
      <c r="B198" s="253">
        <v>63131</v>
      </c>
      <c r="C198" s="253" t="s">
        <v>809</v>
      </c>
      <c r="D198" s="253">
        <v>48.7</v>
      </c>
      <c r="E198" s="253" t="s">
        <v>1497</v>
      </c>
      <c r="F198" s="253" t="s">
        <v>834</v>
      </c>
      <c r="G198" s="253">
        <v>39.884300000000003</v>
      </c>
    </row>
    <row r="199" spans="2:7" x14ac:dyDescent="0.2">
      <c r="B199" s="253">
        <v>63131</v>
      </c>
      <c r="C199" s="253" t="s">
        <v>808</v>
      </c>
      <c r="D199" s="253">
        <v>48.7</v>
      </c>
      <c r="E199" s="253" t="s">
        <v>1497</v>
      </c>
      <c r="F199" s="253" t="s">
        <v>834</v>
      </c>
      <c r="G199" s="253">
        <v>41.558700000000002</v>
      </c>
    </row>
    <row r="200" spans="2:7" x14ac:dyDescent="0.2">
      <c r="B200" s="253">
        <v>88129</v>
      </c>
      <c r="C200" s="253" t="s">
        <v>807</v>
      </c>
      <c r="D200" s="253">
        <v>48.7</v>
      </c>
      <c r="E200" s="253" t="s">
        <v>1498</v>
      </c>
      <c r="F200" s="253" t="s">
        <v>811</v>
      </c>
      <c r="G200" s="253">
        <v>17.3322</v>
      </c>
    </row>
    <row r="201" spans="2:7" x14ac:dyDescent="0.2">
      <c r="B201" s="253">
        <v>88129</v>
      </c>
      <c r="C201" s="253" t="s">
        <v>804</v>
      </c>
      <c r="D201" s="253">
        <v>48.7</v>
      </c>
      <c r="E201" s="253" t="s">
        <v>1498</v>
      </c>
      <c r="F201" s="253" t="s">
        <v>811</v>
      </c>
      <c r="G201" s="253">
        <v>18.2683</v>
      </c>
    </row>
    <row r="202" spans="2:7" x14ac:dyDescent="0.2">
      <c r="B202" s="253">
        <v>88194</v>
      </c>
      <c r="C202" s="253" t="s">
        <v>809</v>
      </c>
      <c r="D202" s="253">
        <v>48.7</v>
      </c>
      <c r="E202" s="253" t="s">
        <v>1499</v>
      </c>
      <c r="F202" s="253" t="s">
        <v>805</v>
      </c>
      <c r="G202" s="253">
        <v>43.893700000000003</v>
      </c>
    </row>
    <row r="203" spans="2:7" x14ac:dyDescent="0.2">
      <c r="B203" s="253">
        <v>88194</v>
      </c>
      <c r="C203" s="253" t="s">
        <v>808</v>
      </c>
      <c r="D203" s="253">
        <v>48.7</v>
      </c>
      <c r="E203" s="253" t="s">
        <v>1499</v>
      </c>
      <c r="F203" s="253" t="s">
        <v>805</v>
      </c>
      <c r="G203" s="253">
        <v>43.401899999999998</v>
      </c>
    </row>
    <row r="204" spans="2:7" x14ac:dyDescent="0.2">
      <c r="B204" s="253">
        <v>97119</v>
      </c>
      <c r="C204" s="253" t="s">
        <v>807</v>
      </c>
      <c r="D204" s="253">
        <v>48.7</v>
      </c>
      <c r="E204" s="253" t="s">
        <v>1500</v>
      </c>
      <c r="F204" s="253" t="s">
        <v>817</v>
      </c>
      <c r="G204" s="253">
        <v>0</v>
      </c>
    </row>
    <row r="205" spans="2:7" x14ac:dyDescent="0.2">
      <c r="B205" s="253">
        <v>97119</v>
      </c>
      <c r="C205" s="253" t="s">
        <v>804</v>
      </c>
      <c r="D205" s="253">
        <v>48.7</v>
      </c>
      <c r="E205" s="253" t="s">
        <v>1500</v>
      </c>
      <c r="F205" s="253" t="s">
        <v>817</v>
      </c>
      <c r="G205" s="253">
        <v>20.467700000000001</v>
      </c>
    </row>
    <row r="206" spans="2:7" x14ac:dyDescent="0.2">
      <c r="B206" s="253">
        <v>96405</v>
      </c>
      <c r="C206" s="253" t="s">
        <v>809</v>
      </c>
      <c r="D206" s="253">
        <v>48.7</v>
      </c>
      <c r="E206" s="253" t="s">
        <v>1501</v>
      </c>
      <c r="F206" s="253" t="s">
        <v>815</v>
      </c>
      <c r="G206" s="253">
        <v>37.733600000000003</v>
      </c>
    </row>
    <row r="207" spans="2:7" x14ac:dyDescent="0.2">
      <c r="B207" s="253">
        <v>96405</v>
      </c>
      <c r="C207" s="253" t="s">
        <v>808</v>
      </c>
      <c r="D207" s="253">
        <v>48.7</v>
      </c>
      <c r="E207" s="253" t="s">
        <v>1501</v>
      </c>
      <c r="F207" s="253" t="s">
        <v>815</v>
      </c>
      <c r="G207" s="253">
        <v>37.673499999999997</v>
      </c>
    </row>
    <row r="208" spans="2:7" x14ac:dyDescent="0.2">
      <c r="B208" s="253">
        <v>96405</v>
      </c>
      <c r="C208" s="253" t="s">
        <v>807</v>
      </c>
      <c r="D208" s="253">
        <v>48.7</v>
      </c>
      <c r="E208" s="253" t="s">
        <v>1501</v>
      </c>
      <c r="F208" s="253" t="s">
        <v>815</v>
      </c>
      <c r="G208" s="253">
        <v>10.4834</v>
      </c>
    </row>
    <row r="209" spans="2:7" x14ac:dyDescent="0.2">
      <c r="B209" s="253">
        <v>96405</v>
      </c>
      <c r="C209" s="253" t="s">
        <v>804</v>
      </c>
      <c r="D209" s="253">
        <v>48.7</v>
      </c>
      <c r="E209" s="253" t="s">
        <v>1501</v>
      </c>
      <c r="F209" s="253" t="s">
        <v>815</v>
      </c>
      <c r="G209" s="253">
        <v>13.2057</v>
      </c>
    </row>
    <row r="210" spans="2:7" x14ac:dyDescent="0.2">
      <c r="B210" s="253">
        <v>96124</v>
      </c>
      <c r="C210" s="253" t="s">
        <v>826</v>
      </c>
      <c r="D210" s="253">
        <v>48.7</v>
      </c>
      <c r="E210" s="253" t="s">
        <v>1502</v>
      </c>
      <c r="F210" s="253" t="s">
        <v>815</v>
      </c>
      <c r="G210" s="253">
        <v>27.8171</v>
      </c>
    </row>
    <row r="211" spans="2:7" x14ac:dyDescent="0.2">
      <c r="B211" s="253">
        <v>96124</v>
      </c>
      <c r="C211" s="253" t="s">
        <v>823</v>
      </c>
      <c r="D211" s="253">
        <v>48.7</v>
      </c>
      <c r="E211" s="253" t="s">
        <v>1502</v>
      </c>
      <c r="F211" s="253" t="s">
        <v>815</v>
      </c>
      <c r="G211" s="253">
        <v>9.9733999999999998</v>
      </c>
    </row>
    <row r="212" spans="2:7" x14ac:dyDescent="0.2">
      <c r="B212" s="253">
        <v>97117</v>
      </c>
      <c r="C212" s="253" t="s">
        <v>807</v>
      </c>
      <c r="D212" s="253">
        <v>48.7</v>
      </c>
      <c r="E212" s="253" t="s">
        <v>1503</v>
      </c>
      <c r="F212" s="253" t="s">
        <v>815</v>
      </c>
      <c r="G212" s="253">
        <v>8.3957999999999995</v>
      </c>
    </row>
    <row r="213" spans="2:7" x14ac:dyDescent="0.2">
      <c r="B213" s="253">
        <v>97117</v>
      </c>
      <c r="C213" s="253" t="s">
        <v>804</v>
      </c>
      <c r="D213" s="253">
        <v>48.7</v>
      </c>
      <c r="E213" s="253" t="s">
        <v>1503</v>
      </c>
      <c r="F213" s="253" t="s">
        <v>815</v>
      </c>
      <c r="G213" s="253">
        <v>8.4725000000000001</v>
      </c>
    </row>
    <row r="214" spans="2:7" x14ac:dyDescent="0.2">
      <c r="B214" s="253">
        <v>97128</v>
      </c>
      <c r="C214" s="253" t="s">
        <v>809</v>
      </c>
      <c r="D214" s="253">
        <v>48.7</v>
      </c>
      <c r="E214" s="253" t="s">
        <v>1504</v>
      </c>
      <c r="F214" s="253" t="s">
        <v>817</v>
      </c>
      <c r="G214" s="253">
        <v>11.2041</v>
      </c>
    </row>
    <row r="215" spans="2:7" x14ac:dyDescent="0.2">
      <c r="B215" s="253">
        <v>97128</v>
      </c>
      <c r="C215" s="253" t="s">
        <v>808</v>
      </c>
      <c r="D215" s="253">
        <v>48.7</v>
      </c>
      <c r="E215" s="253" t="s">
        <v>1504</v>
      </c>
      <c r="F215" s="253" t="s">
        <v>817</v>
      </c>
      <c r="G215" s="253">
        <v>11.146100000000001</v>
      </c>
    </row>
    <row r="216" spans="2:7" x14ac:dyDescent="0.2">
      <c r="B216" s="253">
        <v>97150</v>
      </c>
      <c r="C216" s="253" t="s">
        <v>807</v>
      </c>
      <c r="D216" s="253">
        <v>48.7</v>
      </c>
      <c r="E216" s="253" t="s">
        <v>1505</v>
      </c>
      <c r="F216" s="253" t="s">
        <v>817</v>
      </c>
      <c r="G216" s="253">
        <v>7.5384000000000002</v>
      </c>
    </row>
    <row r="217" spans="2:7" x14ac:dyDescent="0.2">
      <c r="B217" s="253">
        <v>97150</v>
      </c>
      <c r="C217" s="253" t="s">
        <v>804</v>
      </c>
      <c r="D217" s="253">
        <v>48.7</v>
      </c>
      <c r="E217" s="253" t="s">
        <v>1505</v>
      </c>
      <c r="F217" s="253" t="s">
        <v>817</v>
      </c>
      <c r="G217" s="253">
        <v>6.3890000000000002</v>
      </c>
    </row>
    <row r="218" spans="2:7" x14ac:dyDescent="0.2">
      <c r="B218" s="253">
        <v>97141</v>
      </c>
      <c r="C218" s="253" t="s">
        <v>807</v>
      </c>
      <c r="D218" s="253">
        <v>48.7</v>
      </c>
      <c r="E218" s="253" t="s">
        <v>1506</v>
      </c>
      <c r="F218" s="253" t="s">
        <v>817</v>
      </c>
      <c r="G218" s="253">
        <v>9.8466000000000005</v>
      </c>
    </row>
    <row r="219" spans="2:7" x14ac:dyDescent="0.2">
      <c r="B219" s="253">
        <v>97141</v>
      </c>
      <c r="C219" s="253" t="s">
        <v>804</v>
      </c>
      <c r="D219" s="253">
        <v>48.7</v>
      </c>
      <c r="E219" s="253" t="s">
        <v>1506</v>
      </c>
      <c r="F219" s="253" t="s">
        <v>817</v>
      </c>
      <c r="G219" s="253">
        <v>7.9878</v>
      </c>
    </row>
    <row r="220" spans="2:7" x14ac:dyDescent="0.2">
      <c r="B220" s="253">
        <v>97182</v>
      </c>
      <c r="C220" s="253" t="s">
        <v>809</v>
      </c>
      <c r="D220" s="253">
        <v>48.7</v>
      </c>
      <c r="E220" s="253" t="s">
        <v>1507</v>
      </c>
      <c r="F220" s="253" t="s">
        <v>817</v>
      </c>
      <c r="G220" s="253">
        <v>15.5418</v>
      </c>
    </row>
    <row r="221" spans="2:7" x14ac:dyDescent="0.2">
      <c r="B221" s="253">
        <v>97182</v>
      </c>
      <c r="C221" s="253" t="s">
        <v>808</v>
      </c>
      <c r="D221" s="253">
        <v>48.7</v>
      </c>
      <c r="E221" s="253" t="s">
        <v>1507</v>
      </c>
      <c r="F221" s="253" t="s">
        <v>817</v>
      </c>
      <c r="G221" s="253">
        <v>15.3606</v>
      </c>
    </row>
    <row r="222" spans="2:7" x14ac:dyDescent="0.2">
      <c r="B222" s="253">
        <v>97182</v>
      </c>
      <c r="C222" s="253" t="s">
        <v>807</v>
      </c>
      <c r="D222" s="253">
        <v>48.7</v>
      </c>
      <c r="E222" s="253" t="s">
        <v>1507</v>
      </c>
      <c r="F222" s="253" t="s">
        <v>817</v>
      </c>
      <c r="G222" s="253">
        <v>9.7905999999999995</v>
      </c>
    </row>
    <row r="223" spans="2:7" x14ac:dyDescent="0.2">
      <c r="B223" s="253">
        <v>97182</v>
      </c>
      <c r="C223" s="253" t="s">
        <v>804</v>
      </c>
      <c r="D223" s="253">
        <v>48.7</v>
      </c>
      <c r="E223" s="253" t="s">
        <v>1507</v>
      </c>
      <c r="F223" s="253" t="s">
        <v>817</v>
      </c>
      <c r="G223" s="253">
        <v>9.7760999999999996</v>
      </c>
    </row>
    <row r="224" spans="2:7" x14ac:dyDescent="0.2">
      <c r="B224" s="253">
        <v>97174</v>
      </c>
      <c r="C224" s="253" t="s">
        <v>807</v>
      </c>
      <c r="D224" s="253">
        <v>48.7</v>
      </c>
      <c r="E224" s="253" t="s">
        <v>1508</v>
      </c>
      <c r="F224" s="253" t="s">
        <v>817</v>
      </c>
      <c r="G224" s="253">
        <v>3.8426999999999998</v>
      </c>
    </row>
    <row r="225" spans="2:7" x14ac:dyDescent="0.2">
      <c r="B225" s="253">
        <v>97174</v>
      </c>
      <c r="C225" s="253" t="s">
        <v>804</v>
      </c>
      <c r="D225" s="253">
        <v>48.7</v>
      </c>
      <c r="E225" s="253" t="s">
        <v>1508</v>
      </c>
      <c r="F225" s="253" t="s">
        <v>817</v>
      </c>
      <c r="G225" s="253">
        <v>3.8365</v>
      </c>
    </row>
    <row r="226" spans="2:7" x14ac:dyDescent="0.2">
      <c r="B226" s="253">
        <v>97148</v>
      </c>
      <c r="C226" s="253" t="s">
        <v>809</v>
      </c>
      <c r="D226" s="253">
        <v>48.7</v>
      </c>
      <c r="E226" s="253" t="s">
        <v>1509</v>
      </c>
      <c r="F226" s="253" t="s">
        <v>817</v>
      </c>
      <c r="G226" s="253">
        <v>9.9108000000000001</v>
      </c>
    </row>
    <row r="227" spans="2:7" x14ac:dyDescent="0.2">
      <c r="B227" s="253">
        <v>97148</v>
      </c>
      <c r="C227" s="253" t="s">
        <v>808</v>
      </c>
      <c r="D227" s="253">
        <v>48.7</v>
      </c>
      <c r="E227" s="253" t="s">
        <v>1509</v>
      </c>
      <c r="F227" s="253" t="s">
        <v>817</v>
      </c>
      <c r="G227" s="253">
        <v>9.9708000000000006</v>
      </c>
    </row>
    <row r="228" spans="2:7" x14ac:dyDescent="0.2">
      <c r="B228" s="253">
        <v>96138</v>
      </c>
      <c r="C228" s="253" t="s">
        <v>809</v>
      </c>
      <c r="D228" s="253">
        <v>48.7</v>
      </c>
      <c r="E228" s="253" t="s">
        <v>1510</v>
      </c>
      <c r="F228" s="253" t="s">
        <v>830</v>
      </c>
      <c r="G228" s="253">
        <v>5.4673999999999996</v>
      </c>
    </row>
    <row r="229" spans="2:7" x14ac:dyDescent="0.2">
      <c r="B229" s="253">
        <v>96138</v>
      </c>
      <c r="C229" s="253" t="s">
        <v>808</v>
      </c>
      <c r="D229" s="253">
        <v>48.7</v>
      </c>
      <c r="E229" s="253" t="s">
        <v>1510</v>
      </c>
      <c r="F229" s="253" t="s">
        <v>830</v>
      </c>
      <c r="G229" s="253">
        <v>5.4177</v>
      </c>
    </row>
    <row r="230" spans="2:7" x14ac:dyDescent="0.2">
      <c r="B230" s="253">
        <v>96138</v>
      </c>
      <c r="C230" s="253" t="s">
        <v>807</v>
      </c>
      <c r="D230" s="253">
        <v>48.7</v>
      </c>
      <c r="E230" s="253" t="s">
        <v>1510</v>
      </c>
      <c r="F230" s="253" t="s">
        <v>830</v>
      </c>
      <c r="G230" s="253">
        <v>12.3835</v>
      </c>
    </row>
    <row r="231" spans="2:7" x14ac:dyDescent="0.2">
      <c r="B231" s="253">
        <v>96138</v>
      </c>
      <c r="C231" s="253" t="s">
        <v>804</v>
      </c>
      <c r="D231" s="253">
        <v>48.7</v>
      </c>
      <c r="E231" s="253" t="s">
        <v>1510</v>
      </c>
      <c r="F231" s="253" t="s">
        <v>830</v>
      </c>
      <c r="G231" s="253">
        <v>12.4001</v>
      </c>
    </row>
    <row r="232" spans="2:7" x14ac:dyDescent="0.2">
      <c r="B232" s="253">
        <v>96151</v>
      </c>
      <c r="C232" s="253" t="s">
        <v>807</v>
      </c>
      <c r="D232" s="253">
        <v>48.7</v>
      </c>
      <c r="E232" s="253" t="s">
        <v>1511</v>
      </c>
      <c r="F232" s="253" t="s">
        <v>830</v>
      </c>
      <c r="G232" s="253">
        <v>13.5692</v>
      </c>
    </row>
    <row r="233" spans="2:7" x14ac:dyDescent="0.2">
      <c r="B233" s="253">
        <v>96151</v>
      </c>
      <c r="C233" s="253" t="s">
        <v>804</v>
      </c>
      <c r="D233" s="253">
        <v>48.7</v>
      </c>
      <c r="E233" s="253" t="s">
        <v>1511</v>
      </c>
      <c r="F233" s="253" t="s">
        <v>830</v>
      </c>
      <c r="G233" s="253">
        <v>12.6745</v>
      </c>
    </row>
    <row r="234" spans="2:7" x14ac:dyDescent="0.2">
      <c r="B234" s="253">
        <v>96113</v>
      </c>
      <c r="C234" s="253" t="s">
        <v>809</v>
      </c>
      <c r="D234" s="253">
        <v>48.7</v>
      </c>
      <c r="E234" s="253" t="s">
        <v>1515</v>
      </c>
      <c r="F234" s="253" t="s">
        <v>815</v>
      </c>
      <c r="G234" s="253">
        <v>25.642099999999999</v>
      </c>
    </row>
    <row r="235" spans="2:7" x14ac:dyDescent="0.2">
      <c r="B235" s="253">
        <v>96113</v>
      </c>
      <c r="C235" s="253" t="s">
        <v>808</v>
      </c>
      <c r="D235" s="253">
        <v>48.7</v>
      </c>
      <c r="E235" s="253" t="s">
        <v>1515</v>
      </c>
      <c r="F235" s="253" t="s">
        <v>815</v>
      </c>
      <c r="G235" s="253">
        <v>25.654499999999999</v>
      </c>
    </row>
    <row r="236" spans="2:7" x14ac:dyDescent="0.2">
      <c r="B236" s="253">
        <v>96113</v>
      </c>
      <c r="C236" s="253" t="s">
        <v>807</v>
      </c>
      <c r="D236" s="253">
        <v>48.7</v>
      </c>
      <c r="E236" s="253" t="s">
        <v>1515</v>
      </c>
      <c r="F236" s="253" t="s">
        <v>815</v>
      </c>
      <c r="G236" s="253">
        <v>11.6318</v>
      </c>
    </row>
    <row r="237" spans="2:7" x14ac:dyDescent="0.2">
      <c r="B237" s="253">
        <v>96113</v>
      </c>
      <c r="C237" s="253" t="s">
        <v>804</v>
      </c>
      <c r="D237" s="253">
        <v>48.7</v>
      </c>
      <c r="E237" s="253" t="s">
        <v>1515</v>
      </c>
      <c r="F237" s="253" t="s">
        <v>815</v>
      </c>
      <c r="G237" s="253">
        <v>7.2423000000000002</v>
      </c>
    </row>
    <row r="238" spans="2:7" x14ac:dyDescent="0.2">
      <c r="B238" s="253">
        <v>96125</v>
      </c>
      <c r="C238" s="253" t="s">
        <v>807</v>
      </c>
      <c r="D238" s="253">
        <v>48.7</v>
      </c>
      <c r="E238" s="253" t="s">
        <v>1516</v>
      </c>
      <c r="F238" s="253" t="s">
        <v>830</v>
      </c>
      <c r="G238" s="253">
        <v>5.0034999999999998</v>
      </c>
    </row>
    <row r="239" spans="2:7" x14ac:dyDescent="0.2">
      <c r="B239" s="253">
        <v>96125</v>
      </c>
      <c r="C239" s="253" t="s">
        <v>804</v>
      </c>
      <c r="D239" s="253">
        <v>48.7</v>
      </c>
      <c r="E239" s="253" t="s">
        <v>1516</v>
      </c>
      <c r="F239" s="253" t="s">
        <v>830</v>
      </c>
      <c r="G239" s="253">
        <v>9.9376999999999995</v>
      </c>
    </row>
    <row r="240" spans="2:7" x14ac:dyDescent="0.2">
      <c r="B240" s="253">
        <v>51048</v>
      </c>
      <c r="C240" s="253" t="s">
        <v>808</v>
      </c>
      <c r="D240" s="253">
        <v>48.7</v>
      </c>
      <c r="E240" s="253" t="s">
        <v>1517</v>
      </c>
      <c r="F240" s="253" t="s">
        <v>805</v>
      </c>
      <c r="G240" s="253">
        <v>0</v>
      </c>
    </row>
    <row r="241" spans="2:7" x14ac:dyDescent="0.2">
      <c r="B241" s="253">
        <v>51048</v>
      </c>
      <c r="C241" s="253" t="s">
        <v>807</v>
      </c>
      <c r="D241" s="253">
        <v>48.7</v>
      </c>
      <c r="E241" s="253" t="s">
        <v>1517</v>
      </c>
      <c r="F241" s="253" t="s">
        <v>805</v>
      </c>
      <c r="G241" s="253">
        <v>19.086300000000001</v>
      </c>
    </row>
    <row r="242" spans="2:7" x14ac:dyDescent="0.2">
      <c r="B242" s="253">
        <v>51048</v>
      </c>
      <c r="C242" s="253" t="s">
        <v>804</v>
      </c>
      <c r="D242" s="253">
        <v>48.7</v>
      </c>
      <c r="E242" s="253" t="s">
        <v>1517</v>
      </c>
      <c r="F242" s="253" t="s">
        <v>805</v>
      </c>
      <c r="G242" s="253">
        <v>18.814</v>
      </c>
    </row>
    <row r="243" spans="2:7" x14ac:dyDescent="0.2">
      <c r="B243" s="253">
        <v>51035</v>
      </c>
      <c r="C243" s="253" t="s">
        <v>807</v>
      </c>
      <c r="D243" s="253">
        <v>48.7</v>
      </c>
      <c r="E243" s="253" t="s">
        <v>1518</v>
      </c>
      <c r="F243" s="253" t="s">
        <v>805</v>
      </c>
      <c r="G243" s="253">
        <v>27.649899999999999</v>
      </c>
    </row>
    <row r="244" spans="2:7" x14ac:dyDescent="0.2">
      <c r="B244" s="253">
        <v>51035</v>
      </c>
      <c r="C244" s="253" t="s">
        <v>804</v>
      </c>
      <c r="D244" s="253">
        <v>48.7</v>
      </c>
      <c r="E244" s="253" t="s">
        <v>1518</v>
      </c>
      <c r="F244" s="253" t="s">
        <v>805</v>
      </c>
      <c r="G244" s="253">
        <v>27.732700000000001</v>
      </c>
    </row>
    <row r="245" spans="2:7" x14ac:dyDescent="0.2">
      <c r="B245" s="253">
        <v>51052</v>
      </c>
      <c r="C245" s="253" t="s">
        <v>807</v>
      </c>
      <c r="D245" s="253">
        <v>48.7</v>
      </c>
      <c r="E245" s="253" t="s">
        <v>1519</v>
      </c>
      <c r="F245" s="253" t="s">
        <v>805</v>
      </c>
      <c r="G245" s="253">
        <v>16.311199999999999</v>
      </c>
    </row>
    <row r="246" spans="2:7" x14ac:dyDescent="0.2">
      <c r="B246" s="253">
        <v>51052</v>
      </c>
      <c r="C246" s="253" t="s">
        <v>807</v>
      </c>
      <c r="D246" s="253">
        <v>48.7</v>
      </c>
      <c r="E246" s="253" t="s">
        <v>1519</v>
      </c>
      <c r="F246" s="253" t="s">
        <v>805</v>
      </c>
      <c r="G246" s="253">
        <v>16.311199999999999</v>
      </c>
    </row>
    <row r="247" spans="2:7" x14ac:dyDescent="0.2">
      <c r="B247" s="253">
        <v>97105</v>
      </c>
      <c r="C247" s="253" t="s">
        <v>807</v>
      </c>
      <c r="D247" s="253">
        <v>48.6</v>
      </c>
      <c r="E247" s="253" t="s">
        <v>1520</v>
      </c>
      <c r="F247" s="253" t="s">
        <v>817</v>
      </c>
      <c r="G247" s="253">
        <v>11.980700000000001</v>
      </c>
    </row>
    <row r="248" spans="2:7" x14ac:dyDescent="0.2">
      <c r="B248" s="253">
        <v>97105</v>
      </c>
      <c r="C248" s="253" t="s">
        <v>804</v>
      </c>
      <c r="D248" s="253">
        <v>48.6</v>
      </c>
      <c r="E248" s="253" t="s">
        <v>1520</v>
      </c>
      <c r="F248" s="253" t="s">
        <v>817</v>
      </c>
      <c r="G248" s="253">
        <v>12.008699999999999</v>
      </c>
    </row>
    <row r="249" spans="2:7" x14ac:dyDescent="0.2">
      <c r="B249" s="253">
        <v>97132</v>
      </c>
      <c r="C249" s="253" t="s">
        <v>807</v>
      </c>
      <c r="D249" s="253">
        <v>48.6</v>
      </c>
      <c r="E249" s="253" t="s">
        <v>1521</v>
      </c>
      <c r="F249" s="253" t="s">
        <v>817</v>
      </c>
      <c r="G249" s="253">
        <v>11.748799999999999</v>
      </c>
    </row>
    <row r="250" spans="2:7" x14ac:dyDescent="0.2">
      <c r="B250" s="253">
        <v>97132</v>
      </c>
      <c r="C250" s="253" t="s">
        <v>804</v>
      </c>
      <c r="D250" s="253">
        <v>48.6</v>
      </c>
      <c r="E250" s="253" t="s">
        <v>1521</v>
      </c>
      <c r="F250" s="253" t="s">
        <v>817</v>
      </c>
      <c r="G250" s="253">
        <v>11.7539</v>
      </c>
    </row>
    <row r="251" spans="2:7" x14ac:dyDescent="0.2">
      <c r="B251" s="253">
        <v>97113</v>
      </c>
      <c r="C251" s="253" t="s">
        <v>860</v>
      </c>
      <c r="D251" s="253">
        <v>48.6</v>
      </c>
      <c r="E251" s="253" t="s">
        <v>1522</v>
      </c>
      <c r="F251" s="253" t="s">
        <v>817</v>
      </c>
      <c r="G251" s="253">
        <v>0.67410000000000003</v>
      </c>
    </row>
    <row r="252" spans="2:7" x14ac:dyDescent="0.2">
      <c r="B252" s="253">
        <v>97113</v>
      </c>
      <c r="C252" s="253" t="s">
        <v>848</v>
      </c>
      <c r="D252" s="253">
        <v>48.6</v>
      </c>
      <c r="E252" s="253" t="s">
        <v>1522</v>
      </c>
      <c r="F252" s="253" t="s">
        <v>817</v>
      </c>
      <c r="G252" s="253">
        <v>0.62749999999999995</v>
      </c>
    </row>
    <row r="253" spans="2:7" x14ac:dyDescent="0.2">
      <c r="B253" s="253">
        <v>97185</v>
      </c>
      <c r="C253" s="253" t="s">
        <v>807</v>
      </c>
      <c r="D253" s="253">
        <v>48.6</v>
      </c>
      <c r="E253" s="253" t="s">
        <v>1523</v>
      </c>
      <c r="F253" s="253" t="s">
        <v>817</v>
      </c>
      <c r="G253" s="253">
        <v>11.7995</v>
      </c>
    </row>
    <row r="254" spans="2:7" x14ac:dyDescent="0.2">
      <c r="B254" s="253">
        <v>97185</v>
      </c>
      <c r="C254" s="253" t="s">
        <v>804</v>
      </c>
      <c r="D254" s="253">
        <v>48.6</v>
      </c>
      <c r="E254" s="253" t="s">
        <v>1523</v>
      </c>
      <c r="F254" s="253" t="s">
        <v>817</v>
      </c>
      <c r="G254" s="253">
        <v>11.7415</v>
      </c>
    </row>
    <row r="255" spans="2:7" x14ac:dyDescent="0.2">
      <c r="B255" s="253">
        <v>74127</v>
      </c>
      <c r="C255" s="253" t="s">
        <v>807</v>
      </c>
      <c r="D255" s="253">
        <v>48.6</v>
      </c>
      <c r="E255" s="253" t="s">
        <v>1524</v>
      </c>
      <c r="F255" s="253" t="s">
        <v>824</v>
      </c>
      <c r="G255" s="253">
        <v>7.6120000000000001</v>
      </c>
    </row>
    <row r="256" spans="2:7" x14ac:dyDescent="0.2">
      <c r="B256" s="253">
        <v>74127</v>
      </c>
      <c r="C256" s="253" t="s">
        <v>804</v>
      </c>
      <c r="D256" s="253">
        <v>48.6</v>
      </c>
      <c r="E256" s="253" t="s">
        <v>1524</v>
      </c>
      <c r="F256" s="253" t="s">
        <v>824</v>
      </c>
      <c r="G256" s="253">
        <v>14.467000000000001</v>
      </c>
    </row>
    <row r="257" spans="2:7" x14ac:dyDescent="0.2">
      <c r="B257" s="253">
        <v>74117</v>
      </c>
      <c r="C257" s="253" t="s">
        <v>807</v>
      </c>
      <c r="D257" s="253">
        <v>48.6</v>
      </c>
      <c r="E257" s="253" t="s">
        <v>1525</v>
      </c>
      <c r="F257" s="253" t="s">
        <v>824</v>
      </c>
      <c r="G257" s="253">
        <v>22.577999999999999</v>
      </c>
    </row>
    <row r="258" spans="2:7" x14ac:dyDescent="0.2">
      <c r="B258" s="253">
        <v>74117</v>
      </c>
      <c r="C258" s="253" t="s">
        <v>804</v>
      </c>
      <c r="D258" s="253">
        <v>48.6</v>
      </c>
      <c r="E258" s="253" t="s">
        <v>1525</v>
      </c>
      <c r="F258" s="253" t="s">
        <v>824</v>
      </c>
      <c r="G258" s="253">
        <v>0</v>
      </c>
    </row>
    <row r="259" spans="2:7" x14ac:dyDescent="0.2">
      <c r="B259" s="253">
        <v>74144</v>
      </c>
      <c r="C259" s="253" t="s">
        <v>809</v>
      </c>
      <c r="D259" s="253">
        <v>48.6</v>
      </c>
      <c r="E259" s="253" t="s">
        <v>1526</v>
      </c>
      <c r="F259" s="253" t="s">
        <v>824</v>
      </c>
      <c r="G259" s="253">
        <v>0</v>
      </c>
    </row>
    <row r="260" spans="2:7" x14ac:dyDescent="0.2">
      <c r="B260" s="253">
        <v>74144</v>
      </c>
      <c r="C260" s="253" t="s">
        <v>808</v>
      </c>
      <c r="D260" s="253">
        <v>48.6</v>
      </c>
      <c r="E260" s="253" t="s">
        <v>1526</v>
      </c>
      <c r="F260" s="253" t="s">
        <v>824</v>
      </c>
      <c r="G260" s="253">
        <v>0</v>
      </c>
    </row>
    <row r="261" spans="2:7" x14ac:dyDescent="0.2">
      <c r="B261" s="253">
        <v>74144</v>
      </c>
      <c r="C261" s="253" t="s">
        <v>807</v>
      </c>
      <c r="D261" s="253">
        <v>48.6</v>
      </c>
      <c r="E261" s="253" t="s">
        <v>1526</v>
      </c>
      <c r="F261" s="253" t="s">
        <v>824</v>
      </c>
      <c r="G261" s="253">
        <v>9.1155000000000008</v>
      </c>
    </row>
    <row r="262" spans="2:7" x14ac:dyDescent="0.2">
      <c r="B262" s="253">
        <v>74144</v>
      </c>
      <c r="C262" s="253" t="s">
        <v>804</v>
      </c>
      <c r="D262" s="253">
        <v>48.6</v>
      </c>
      <c r="E262" s="253" t="s">
        <v>1526</v>
      </c>
      <c r="F262" s="253" t="s">
        <v>824</v>
      </c>
      <c r="G262" s="253">
        <v>9.0398999999999994</v>
      </c>
    </row>
    <row r="263" spans="2:7" x14ac:dyDescent="0.2">
      <c r="B263" s="253">
        <v>74147</v>
      </c>
      <c r="C263" s="253" t="s">
        <v>823</v>
      </c>
      <c r="D263" s="253">
        <v>48.6</v>
      </c>
      <c r="E263" s="253" t="s">
        <v>1527</v>
      </c>
      <c r="F263" s="253" t="s">
        <v>824</v>
      </c>
      <c r="G263" s="253">
        <v>0.32100000000000001</v>
      </c>
    </row>
    <row r="264" spans="2:7" x14ac:dyDescent="0.2">
      <c r="B264" s="253">
        <v>62118</v>
      </c>
      <c r="C264" s="253" t="s">
        <v>808</v>
      </c>
      <c r="D264" s="253">
        <v>48.6</v>
      </c>
      <c r="E264" s="253" t="s">
        <v>1528</v>
      </c>
      <c r="F264" s="253" t="s">
        <v>845</v>
      </c>
      <c r="G264" s="253">
        <v>21.4069</v>
      </c>
    </row>
    <row r="265" spans="2:7" x14ac:dyDescent="0.2">
      <c r="B265" s="253">
        <v>62118</v>
      </c>
      <c r="C265" s="253" t="s">
        <v>807</v>
      </c>
      <c r="D265" s="253">
        <v>48.6</v>
      </c>
      <c r="E265" s="253" t="s">
        <v>1528</v>
      </c>
      <c r="F265" s="253" t="s">
        <v>845</v>
      </c>
      <c r="G265" s="253">
        <v>21.373699999999999</v>
      </c>
    </row>
    <row r="266" spans="2:7" x14ac:dyDescent="0.2">
      <c r="B266" s="253">
        <v>62118</v>
      </c>
      <c r="C266" s="253" t="s">
        <v>804</v>
      </c>
      <c r="D266" s="253">
        <v>48.6</v>
      </c>
      <c r="E266" s="253" t="s">
        <v>1528</v>
      </c>
      <c r="F266" s="253" t="s">
        <v>845</v>
      </c>
      <c r="G266" s="253">
        <v>19.196100000000001</v>
      </c>
    </row>
    <row r="267" spans="2:7" x14ac:dyDescent="0.2">
      <c r="B267" s="253">
        <v>62110</v>
      </c>
      <c r="C267" s="253" t="s">
        <v>807</v>
      </c>
      <c r="D267" s="253">
        <v>48.6</v>
      </c>
      <c r="E267" s="253" t="s">
        <v>1529</v>
      </c>
      <c r="F267" s="253" t="s">
        <v>845</v>
      </c>
      <c r="G267" s="253">
        <v>57.494</v>
      </c>
    </row>
    <row r="268" spans="2:7" x14ac:dyDescent="0.2">
      <c r="B268" s="253">
        <v>62110</v>
      </c>
      <c r="C268" s="253" t="s">
        <v>804</v>
      </c>
      <c r="D268" s="253">
        <v>48.6</v>
      </c>
      <c r="E268" s="253" t="s">
        <v>1529</v>
      </c>
      <c r="F268" s="253" t="s">
        <v>845</v>
      </c>
      <c r="G268" s="253">
        <v>62.741900000000001</v>
      </c>
    </row>
    <row r="269" spans="2:7" x14ac:dyDescent="0.2">
      <c r="B269" s="253">
        <v>62120</v>
      </c>
      <c r="C269" s="253" t="s">
        <v>807</v>
      </c>
      <c r="D269" s="253">
        <v>48.6</v>
      </c>
      <c r="E269" s="253" t="s">
        <v>1530</v>
      </c>
      <c r="F269" s="253" t="s">
        <v>845</v>
      </c>
      <c r="G269" s="253">
        <v>54.365699999999997</v>
      </c>
    </row>
    <row r="270" spans="2:7" x14ac:dyDescent="0.2">
      <c r="B270" s="253">
        <v>62120</v>
      </c>
      <c r="C270" s="253" t="s">
        <v>804</v>
      </c>
      <c r="D270" s="253">
        <v>48.6</v>
      </c>
      <c r="E270" s="253" t="s">
        <v>1530</v>
      </c>
      <c r="F270" s="253" t="s">
        <v>845</v>
      </c>
      <c r="G270" s="253">
        <v>55.877600000000001</v>
      </c>
    </row>
    <row r="271" spans="2:7" x14ac:dyDescent="0.2">
      <c r="B271" s="253">
        <v>61137</v>
      </c>
      <c r="C271" s="253" t="s">
        <v>809</v>
      </c>
      <c r="D271" s="253">
        <v>48.6</v>
      </c>
      <c r="E271" s="253" t="s">
        <v>1531</v>
      </c>
      <c r="F271" s="253" t="s">
        <v>849</v>
      </c>
      <c r="G271" s="253">
        <v>10.9504</v>
      </c>
    </row>
    <row r="272" spans="2:7" x14ac:dyDescent="0.2">
      <c r="B272" s="253">
        <v>61137</v>
      </c>
      <c r="C272" s="253" t="s">
        <v>808</v>
      </c>
      <c r="D272" s="253">
        <v>48.6</v>
      </c>
      <c r="E272" s="253" t="s">
        <v>1531</v>
      </c>
      <c r="F272" s="253" t="s">
        <v>849</v>
      </c>
      <c r="G272" s="253">
        <v>7.4080000000000004</v>
      </c>
    </row>
    <row r="273" spans="2:7" x14ac:dyDescent="0.2">
      <c r="B273" s="253">
        <v>51041</v>
      </c>
      <c r="C273" s="253" t="s">
        <v>809</v>
      </c>
      <c r="D273" s="253">
        <v>48.6</v>
      </c>
      <c r="E273" s="253" t="s">
        <v>1532</v>
      </c>
      <c r="F273" s="253" t="s">
        <v>805</v>
      </c>
      <c r="G273" s="253">
        <v>28.456499999999998</v>
      </c>
    </row>
    <row r="274" spans="2:7" x14ac:dyDescent="0.2">
      <c r="B274" s="253">
        <v>51041</v>
      </c>
      <c r="C274" s="253" t="s">
        <v>808</v>
      </c>
      <c r="D274" s="253">
        <v>48.6</v>
      </c>
      <c r="E274" s="253" t="s">
        <v>1532</v>
      </c>
      <c r="F274" s="253" t="s">
        <v>805</v>
      </c>
      <c r="G274" s="253">
        <v>28.591100000000001</v>
      </c>
    </row>
    <row r="275" spans="2:7" x14ac:dyDescent="0.2">
      <c r="B275" s="253">
        <v>51041</v>
      </c>
      <c r="C275" s="253" t="s">
        <v>807</v>
      </c>
      <c r="D275" s="253">
        <v>48.6</v>
      </c>
      <c r="E275" s="253" t="s">
        <v>1532</v>
      </c>
      <c r="F275" s="253" t="s">
        <v>805</v>
      </c>
      <c r="G275" s="253">
        <v>5.8288000000000002</v>
      </c>
    </row>
    <row r="276" spans="2:7" x14ac:dyDescent="0.2">
      <c r="B276" s="253">
        <v>51041</v>
      </c>
      <c r="C276" s="253" t="s">
        <v>804</v>
      </c>
      <c r="D276" s="253">
        <v>48.6</v>
      </c>
      <c r="E276" s="253" t="s">
        <v>1532</v>
      </c>
      <c r="F276" s="253" t="s">
        <v>805</v>
      </c>
      <c r="G276" s="253">
        <v>9.2294</v>
      </c>
    </row>
    <row r="277" spans="2:7" x14ac:dyDescent="0.2">
      <c r="B277" s="253">
        <v>51051</v>
      </c>
      <c r="C277" s="253" t="s">
        <v>809</v>
      </c>
      <c r="D277" s="253">
        <v>48.6</v>
      </c>
      <c r="E277" s="253" t="s">
        <v>1533</v>
      </c>
      <c r="F277" s="253" t="s">
        <v>805</v>
      </c>
      <c r="G277" s="253">
        <v>45.545400000000001</v>
      </c>
    </row>
    <row r="278" spans="2:7" x14ac:dyDescent="0.2">
      <c r="B278" s="253">
        <v>51051</v>
      </c>
      <c r="C278" s="253" t="s">
        <v>808</v>
      </c>
      <c r="D278" s="253">
        <v>48.6</v>
      </c>
      <c r="E278" s="253" t="s">
        <v>1533</v>
      </c>
      <c r="F278" s="253" t="s">
        <v>805</v>
      </c>
      <c r="G278" s="253">
        <v>45.288600000000002</v>
      </c>
    </row>
    <row r="279" spans="2:7" x14ac:dyDescent="0.2">
      <c r="B279" s="253">
        <v>51003</v>
      </c>
      <c r="C279" s="253" t="s">
        <v>808</v>
      </c>
      <c r="D279" s="253">
        <v>48.6</v>
      </c>
      <c r="E279" s="253" t="s">
        <v>1534</v>
      </c>
      <c r="F279" s="253" t="s">
        <v>805</v>
      </c>
      <c r="G279" s="253">
        <v>0</v>
      </c>
    </row>
    <row r="280" spans="2:7" x14ac:dyDescent="0.2">
      <c r="B280" s="253">
        <v>51003</v>
      </c>
      <c r="C280" s="253" t="s">
        <v>807</v>
      </c>
      <c r="D280" s="253">
        <v>48.6</v>
      </c>
      <c r="E280" s="253" t="s">
        <v>1534</v>
      </c>
      <c r="F280" s="253" t="s">
        <v>805</v>
      </c>
      <c r="G280" s="253">
        <v>7.0000000000000001E-3</v>
      </c>
    </row>
    <row r="281" spans="2:7" x14ac:dyDescent="0.2">
      <c r="B281" s="253">
        <v>51003</v>
      </c>
      <c r="C281" s="253" t="s">
        <v>804</v>
      </c>
      <c r="D281" s="253">
        <v>48.6</v>
      </c>
      <c r="E281" s="253" t="s">
        <v>1534</v>
      </c>
      <c r="F281" s="253" t="s">
        <v>805</v>
      </c>
      <c r="G281" s="253">
        <v>0</v>
      </c>
    </row>
    <row r="282" spans="2:7" x14ac:dyDescent="0.2">
      <c r="B282" s="253">
        <v>51002</v>
      </c>
      <c r="C282" s="253" t="s">
        <v>807</v>
      </c>
      <c r="D282" s="253">
        <v>48.6</v>
      </c>
      <c r="E282" s="253" t="s">
        <v>1535</v>
      </c>
      <c r="F282" s="253" t="s">
        <v>805</v>
      </c>
      <c r="G282" s="253">
        <v>27.513200000000001</v>
      </c>
    </row>
    <row r="283" spans="2:7" x14ac:dyDescent="0.2">
      <c r="B283" s="253">
        <v>51002</v>
      </c>
      <c r="C283" s="253" t="s">
        <v>804</v>
      </c>
      <c r="D283" s="253">
        <v>48.6</v>
      </c>
      <c r="E283" s="253" t="s">
        <v>1535</v>
      </c>
      <c r="F283" s="253" t="s">
        <v>805</v>
      </c>
      <c r="G283" s="253">
        <v>27.409600000000001</v>
      </c>
    </row>
    <row r="284" spans="2:7" x14ac:dyDescent="0.2">
      <c r="B284" s="253">
        <v>51037</v>
      </c>
      <c r="C284" s="253" t="s">
        <v>807</v>
      </c>
      <c r="D284" s="253">
        <v>48.6</v>
      </c>
      <c r="E284" s="253" t="s">
        <v>1536</v>
      </c>
      <c r="F284" s="253" t="s">
        <v>805</v>
      </c>
      <c r="G284" s="253">
        <v>38.075299999999999</v>
      </c>
    </row>
    <row r="285" spans="2:7" x14ac:dyDescent="0.2">
      <c r="B285" s="253">
        <v>51037</v>
      </c>
      <c r="C285" s="253" t="s">
        <v>804</v>
      </c>
      <c r="D285" s="253">
        <v>48.6</v>
      </c>
      <c r="E285" s="253" t="s">
        <v>1536</v>
      </c>
      <c r="F285" s="253" t="s">
        <v>805</v>
      </c>
      <c r="G285" s="253">
        <v>38.707999999999998</v>
      </c>
    </row>
    <row r="286" spans="2:7" x14ac:dyDescent="0.2">
      <c r="B286" s="253">
        <v>61115</v>
      </c>
      <c r="C286" s="253" t="s">
        <v>807</v>
      </c>
      <c r="D286" s="253">
        <v>48.6</v>
      </c>
      <c r="E286" s="253" t="s">
        <v>1537</v>
      </c>
      <c r="F286" s="253" t="s">
        <v>820</v>
      </c>
      <c r="G286" s="253">
        <v>18.748699999999999</v>
      </c>
    </row>
    <row r="287" spans="2:7" x14ac:dyDescent="0.2">
      <c r="B287" s="253">
        <v>61115</v>
      </c>
      <c r="C287" s="253" t="s">
        <v>804</v>
      </c>
      <c r="D287" s="253">
        <v>48.6</v>
      </c>
      <c r="E287" s="253" t="s">
        <v>1537</v>
      </c>
      <c r="F287" s="253" t="s">
        <v>820</v>
      </c>
      <c r="G287" s="253">
        <v>21.702999999999999</v>
      </c>
    </row>
    <row r="288" spans="2:7" x14ac:dyDescent="0.2">
      <c r="B288" s="253">
        <v>88111</v>
      </c>
      <c r="C288" s="253" t="s">
        <v>807</v>
      </c>
      <c r="D288" s="253">
        <v>48.6</v>
      </c>
      <c r="E288" s="253" t="s">
        <v>1538</v>
      </c>
      <c r="F288" s="253" t="s">
        <v>811</v>
      </c>
      <c r="G288" s="253">
        <v>38.202599999999997</v>
      </c>
    </row>
    <row r="289" spans="2:7" x14ac:dyDescent="0.2">
      <c r="B289" s="253">
        <v>88111</v>
      </c>
      <c r="C289" s="253" t="s">
        <v>804</v>
      </c>
      <c r="D289" s="253">
        <v>48.6</v>
      </c>
      <c r="E289" s="253" t="s">
        <v>1538</v>
      </c>
      <c r="F289" s="253" t="s">
        <v>811</v>
      </c>
      <c r="G289" s="253">
        <v>38.271999999999998</v>
      </c>
    </row>
    <row r="290" spans="2:7" x14ac:dyDescent="0.2">
      <c r="B290" s="253">
        <v>75103</v>
      </c>
      <c r="C290" s="253" t="s">
        <v>807</v>
      </c>
      <c r="D290" s="253">
        <v>48.6</v>
      </c>
      <c r="E290" s="253" t="s">
        <v>1539</v>
      </c>
      <c r="F290" s="253" t="s">
        <v>840</v>
      </c>
      <c r="G290" s="253">
        <v>5.1722999999999999</v>
      </c>
    </row>
    <row r="291" spans="2:7" x14ac:dyDescent="0.2">
      <c r="B291" s="253">
        <v>75103</v>
      </c>
      <c r="C291" s="253" t="s">
        <v>804</v>
      </c>
      <c r="D291" s="253">
        <v>48.6</v>
      </c>
      <c r="E291" s="253" t="s">
        <v>1539</v>
      </c>
      <c r="F291" s="253" t="s">
        <v>840</v>
      </c>
      <c r="G291" s="253">
        <v>5.2179000000000002</v>
      </c>
    </row>
    <row r="292" spans="2:7" x14ac:dyDescent="0.2">
      <c r="B292" s="253">
        <v>75109</v>
      </c>
      <c r="C292" s="253" t="s">
        <v>807</v>
      </c>
      <c r="D292" s="253">
        <v>48.6</v>
      </c>
      <c r="E292" s="253" t="s">
        <v>1540</v>
      </c>
      <c r="F292" s="253" t="s">
        <v>840</v>
      </c>
      <c r="G292" s="253">
        <v>14.3209</v>
      </c>
    </row>
    <row r="293" spans="2:7" x14ac:dyDescent="0.2">
      <c r="B293" s="253">
        <v>75109</v>
      </c>
      <c r="C293" s="253" t="s">
        <v>804</v>
      </c>
      <c r="D293" s="253">
        <v>48.6</v>
      </c>
      <c r="E293" s="253" t="s">
        <v>1540</v>
      </c>
      <c r="F293" s="253" t="s">
        <v>840</v>
      </c>
      <c r="G293" s="253">
        <v>17.8064</v>
      </c>
    </row>
    <row r="294" spans="2:7" x14ac:dyDescent="0.2">
      <c r="B294" s="253">
        <v>97109</v>
      </c>
      <c r="C294" s="253" t="s">
        <v>807</v>
      </c>
      <c r="D294" s="253">
        <v>48.5</v>
      </c>
      <c r="E294" s="253" t="s">
        <v>1541</v>
      </c>
      <c r="F294" s="253" t="s">
        <v>817</v>
      </c>
      <c r="G294" s="253">
        <v>8.2529000000000003</v>
      </c>
    </row>
    <row r="295" spans="2:7" x14ac:dyDescent="0.2">
      <c r="B295" s="253">
        <v>97109</v>
      </c>
      <c r="C295" s="253" t="s">
        <v>804</v>
      </c>
      <c r="D295" s="253">
        <v>48.5</v>
      </c>
      <c r="E295" s="253" t="s">
        <v>1541</v>
      </c>
      <c r="F295" s="253" t="s">
        <v>817</v>
      </c>
      <c r="G295" s="253">
        <v>8.5646000000000004</v>
      </c>
    </row>
    <row r="296" spans="2:7" x14ac:dyDescent="0.2">
      <c r="B296" s="253">
        <v>97115</v>
      </c>
      <c r="C296" s="253" t="s">
        <v>807</v>
      </c>
      <c r="D296" s="253">
        <v>48.5</v>
      </c>
      <c r="E296" s="253" t="s">
        <v>1542</v>
      </c>
      <c r="F296" s="253" t="s">
        <v>817</v>
      </c>
      <c r="G296" s="253">
        <v>6.2512999999999996</v>
      </c>
    </row>
    <row r="297" spans="2:7" x14ac:dyDescent="0.2">
      <c r="B297" s="253">
        <v>97115</v>
      </c>
      <c r="C297" s="253" t="s">
        <v>804</v>
      </c>
      <c r="D297" s="253">
        <v>48.5</v>
      </c>
      <c r="E297" s="253" t="s">
        <v>1542</v>
      </c>
      <c r="F297" s="253" t="s">
        <v>817</v>
      </c>
      <c r="G297" s="253">
        <v>6.5547000000000004</v>
      </c>
    </row>
    <row r="298" spans="2:7" x14ac:dyDescent="0.2">
      <c r="B298" s="253">
        <v>75118</v>
      </c>
      <c r="C298" s="253" t="s">
        <v>807</v>
      </c>
      <c r="D298" s="253">
        <v>48.5</v>
      </c>
      <c r="E298" s="253" t="s">
        <v>1543</v>
      </c>
      <c r="F298" s="253" t="s">
        <v>840</v>
      </c>
      <c r="G298" s="253">
        <v>25.8719</v>
      </c>
    </row>
    <row r="299" spans="2:7" x14ac:dyDescent="0.2">
      <c r="B299" s="253">
        <v>75118</v>
      </c>
      <c r="C299" s="253" t="s">
        <v>804</v>
      </c>
      <c r="D299" s="253">
        <v>48.5</v>
      </c>
      <c r="E299" s="253" t="s">
        <v>1543</v>
      </c>
      <c r="F299" s="253" t="s">
        <v>840</v>
      </c>
      <c r="G299" s="253">
        <v>0</v>
      </c>
    </row>
    <row r="300" spans="2:7" x14ac:dyDescent="0.2">
      <c r="B300" s="253">
        <v>75144</v>
      </c>
      <c r="C300" s="253" t="s">
        <v>807</v>
      </c>
      <c r="D300" s="253">
        <v>48.5</v>
      </c>
      <c r="E300" s="253" t="s">
        <v>1544</v>
      </c>
      <c r="F300" s="253" t="s">
        <v>840</v>
      </c>
      <c r="G300" s="253">
        <v>12.759399999999999</v>
      </c>
    </row>
    <row r="301" spans="2:7" x14ac:dyDescent="0.2">
      <c r="B301" s="253">
        <v>75144</v>
      </c>
      <c r="C301" s="253" t="s">
        <v>804</v>
      </c>
      <c r="D301" s="253">
        <v>48.5</v>
      </c>
      <c r="E301" s="253" t="s">
        <v>1544</v>
      </c>
      <c r="F301" s="253" t="s">
        <v>840</v>
      </c>
      <c r="G301" s="253">
        <v>12.7325</v>
      </c>
    </row>
    <row r="302" spans="2:7" x14ac:dyDescent="0.2">
      <c r="B302" s="253">
        <v>61132</v>
      </c>
      <c r="C302" s="253" t="s">
        <v>809</v>
      </c>
      <c r="D302" s="253">
        <v>48.5</v>
      </c>
      <c r="E302" s="253" t="s">
        <v>1433</v>
      </c>
      <c r="F302" s="253" t="s">
        <v>820</v>
      </c>
      <c r="G302" s="253">
        <v>10.8261</v>
      </c>
    </row>
    <row r="303" spans="2:7" x14ac:dyDescent="0.2">
      <c r="B303" s="253">
        <v>61132</v>
      </c>
      <c r="C303" s="253" t="s">
        <v>808</v>
      </c>
      <c r="D303" s="253">
        <v>48.5</v>
      </c>
      <c r="E303" s="253" t="s">
        <v>1433</v>
      </c>
      <c r="F303" s="253" t="s">
        <v>820</v>
      </c>
      <c r="G303" s="253">
        <v>10.7723</v>
      </c>
    </row>
    <row r="304" spans="2:7" x14ac:dyDescent="0.2">
      <c r="B304" s="253">
        <v>62108</v>
      </c>
      <c r="C304" s="253" t="s">
        <v>809</v>
      </c>
      <c r="D304" s="253">
        <v>48.5</v>
      </c>
      <c r="E304" s="253" t="s">
        <v>1545</v>
      </c>
      <c r="F304" s="253" t="s">
        <v>845</v>
      </c>
      <c r="G304" s="253">
        <v>48.297699999999999</v>
      </c>
    </row>
    <row r="305" spans="2:7" x14ac:dyDescent="0.2">
      <c r="B305" s="253">
        <v>62108</v>
      </c>
      <c r="C305" s="253" t="s">
        <v>808</v>
      </c>
      <c r="D305" s="253">
        <v>48.5</v>
      </c>
      <c r="E305" s="253" t="s">
        <v>1545</v>
      </c>
      <c r="F305" s="253" t="s">
        <v>845</v>
      </c>
      <c r="G305" s="253">
        <v>49.206899999999997</v>
      </c>
    </row>
    <row r="306" spans="2:7" x14ac:dyDescent="0.2">
      <c r="B306" s="253">
        <v>62108</v>
      </c>
      <c r="C306" s="253" t="s">
        <v>807</v>
      </c>
      <c r="D306" s="253">
        <v>48.5</v>
      </c>
      <c r="E306" s="253" t="s">
        <v>1545</v>
      </c>
      <c r="F306" s="253" t="s">
        <v>845</v>
      </c>
      <c r="G306" s="253">
        <v>14.630599999999999</v>
      </c>
    </row>
    <row r="307" spans="2:7" x14ac:dyDescent="0.2">
      <c r="B307" s="253">
        <v>62108</v>
      </c>
      <c r="C307" s="253" t="s">
        <v>804</v>
      </c>
      <c r="D307" s="253">
        <v>48.5</v>
      </c>
      <c r="E307" s="253" t="s">
        <v>1545</v>
      </c>
      <c r="F307" s="253" t="s">
        <v>845</v>
      </c>
      <c r="G307" s="253">
        <v>11.951700000000001</v>
      </c>
    </row>
    <row r="308" spans="2:7" x14ac:dyDescent="0.2">
      <c r="B308" s="253">
        <v>62155</v>
      </c>
      <c r="C308" s="253" t="s">
        <v>809</v>
      </c>
      <c r="D308" s="253">
        <v>48.5</v>
      </c>
      <c r="E308" s="253" t="s">
        <v>1546</v>
      </c>
      <c r="F308" s="253" t="s">
        <v>845</v>
      </c>
      <c r="G308" s="253">
        <v>36.909300000000002</v>
      </c>
    </row>
    <row r="309" spans="2:7" x14ac:dyDescent="0.2">
      <c r="B309" s="253">
        <v>62155</v>
      </c>
      <c r="C309" s="253" t="s">
        <v>808</v>
      </c>
      <c r="D309" s="253">
        <v>48.5</v>
      </c>
      <c r="E309" s="253" t="s">
        <v>1546</v>
      </c>
      <c r="F309" s="253" t="s">
        <v>845</v>
      </c>
      <c r="G309" s="253">
        <v>36.820300000000003</v>
      </c>
    </row>
    <row r="310" spans="2:7" x14ac:dyDescent="0.2">
      <c r="B310" s="253">
        <v>62155</v>
      </c>
      <c r="C310" s="253" t="s">
        <v>807</v>
      </c>
      <c r="D310" s="253">
        <v>48.5</v>
      </c>
      <c r="E310" s="253" t="s">
        <v>1546</v>
      </c>
      <c r="F310" s="253" t="s">
        <v>845</v>
      </c>
      <c r="G310" s="253">
        <v>23.4313</v>
      </c>
    </row>
    <row r="311" spans="2:7" x14ac:dyDescent="0.2">
      <c r="B311" s="253">
        <v>62155</v>
      </c>
      <c r="C311" s="253" t="s">
        <v>804</v>
      </c>
      <c r="D311" s="253">
        <v>48.5</v>
      </c>
      <c r="E311" s="253" t="s">
        <v>1546</v>
      </c>
      <c r="F311" s="253" t="s">
        <v>845</v>
      </c>
      <c r="G311" s="253">
        <v>23.613499999999998</v>
      </c>
    </row>
    <row r="312" spans="2:7" x14ac:dyDescent="0.2">
      <c r="B312" s="253">
        <v>51103</v>
      </c>
      <c r="C312" s="253" t="s">
        <v>808</v>
      </c>
      <c r="D312" s="253">
        <v>48.5</v>
      </c>
      <c r="E312" s="253" t="s">
        <v>1547</v>
      </c>
      <c r="F312" s="253" t="s">
        <v>805</v>
      </c>
      <c r="G312" s="253">
        <v>25.645199999999999</v>
      </c>
    </row>
    <row r="313" spans="2:7" x14ac:dyDescent="0.2">
      <c r="B313" s="253">
        <v>551103</v>
      </c>
      <c r="C313" s="253" t="s">
        <v>807</v>
      </c>
      <c r="D313" s="253">
        <v>48.5</v>
      </c>
      <c r="E313" s="253" t="s">
        <v>1547</v>
      </c>
      <c r="F313" s="253" t="s">
        <v>805</v>
      </c>
      <c r="G313" s="253">
        <v>46.370699999999999</v>
      </c>
    </row>
    <row r="314" spans="2:7" x14ac:dyDescent="0.2">
      <c r="B314" s="253">
        <v>551103</v>
      </c>
      <c r="C314" s="253" t="s">
        <v>804</v>
      </c>
      <c r="D314" s="253">
        <v>48.5</v>
      </c>
      <c r="E314" s="253" t="s">
        <v>1547</v>
      </c>
      <c r="F314" s="253" t="s">
        <v>805</v>
      </c>
      <c r="G314" s="253">
        <v>46.198799999999999</v>
      </c>
    </row>
    <row r="315" spans="2:7" x14ac:dyDescent="0.2">
      <c r="B315" s="253">
        <v>51006</v>
      </c>
      <c r="C315" s="253" t="s">
        <v>809</v>
      </c>
      <c r="D315" s="253">
        <v>48.5</v>
      </c>
      <c r="E315" s="253" t="s">
        <v>1548</v>
      </c>
      <c r="F315" s="253" t="s">
        <v>805</v>
      </c>
      <c r="G315" s="253">
        <v>44.174399999999999</v>
      </c>
    </row>
    <row r="316" spans="2:7" x14ac:dyDescent="0.2">
      <c r="B316" s="253">
        <v>51006</v>
      </c>
      <c r="C316" s="253" t="s">
        <v>808</v>
      </c>
      <c r="D316" s="253">
        <v>48.5</v>
      </c>
      <c r="E316" s="253" t="s">
        <v>1548</v>
      </c>
      <c r="F316" s="253" t="s">
        <v>805</v>
      </c>
      <c r="G316" s="253">
        <v>44.967599999999997</v>
      </c>
    </row>
    <row r="317" spans="2:7" x14ac:dyDescent="0.2">
      <c r="B317" s="253">
        <v>51027</v>
      </c>
      <c r="C317" s="253" t="s">
        <v>807</v>
      </c>
      <c r="D317" s="253">
        <v>48.5</v>
      </c>
      <c r="E317" s="253" t="s">
        <v>1549</v>
      </c>
      <c r="F317" s="253" t="s">
        <v>805</v>
      </c>
      <c r="G317" s="253">
        <v>26.025200000000002</v>
      </c>
    </row>
    <row r="318" spans="2:7" x14ac:dyDescent="0.2">
      <c r="B318" s="253">
        <v>51027</v>
      </c>
      <c r="C318" s="253" t="s">
        <v>804</v>
      </c>
      <c r="D318" s="253">
        <v>48.5</v>
      </c>
      <c r="E318" s="253" t="s">
        <v>1549</v>
      </c>
      <c r="F318" s="253" t="s">
        <v>805</v>
      </c>
      <c r="G318" s="253">
        <v>25.234100000000002</v>
      </c>
    </row>
    <row r="319" spans="2:7" x14ac:dyDescent="0.2">
      <c r="B319" s="253">
        <v>88122</v>
      </c>
      <c r="C319" s="253" t="s">
        <v>807</v>
      </c>
      <c r="D319" s="253">
        <v>48.5</v>
      </c>
      <c r="E319" s="253" t="s">
        <v>1550</v>
      </c>
      <c r="F319" s="253" t="s">
        <v>811</v>
      </c>
      <c r="G319" s="253">
        <v>39.647199999999998</v>
      </c>
    </row>
    <row r="320" spans="2:7" x14ac:dyDescent="0.2">
      <c r="B320" s="253">
        <v>88122</v>
      </c>
      <c r="C320" s="253" t="s">
        <v>804</v>
      </c>
      <c r="D320" s="253">
        <v>48.5</v>
      </c>
      <c r="E320" s="253" t="s">
        <v>1550</v>
      </c>
      <c r="F320" s="253" t="s">
        <v>811</v>
      </c>
      <c r="G320" s="253">
        <v>40.1111</v>
      </c>
    </row>
    <row r="321" spans="2:7" x14ac:dyDescent="0.2">
      <c r="B321" s="253">
        <v>75206</v>
      </c>
      <c r="C321" s="253" t="s">
        <v>807</v>
      </c>
      <c r="D321" s="253">
        <v>48.5</v>
      </c>
      <c r="E321" s="253" t="s">
        <v>3067</v>
      </c>
      <c r="F321" s="253" t="s">
        <v>947</v>
      </c>
      <c r="G321" s="253">
        <v>6.1704999999999997</v>
      </c>
    </row>
    <row r="322" spans="2:7" x14ac:dyDescent="0.2">
      <c r="B322" s="253">
        <v>75206</v>
      </c>
      <c r="C322" s="253" t="s">
        <v>804</v>
      </c>
      <c r="D322" s="253">
        <v>48.5</v>
      </c>
      <c r="E322" s="253" t="s">
        <v>3067</v>
      </c>
      <c r="F322" s="253" t="s">
        <v>947</v>
      </c>
      <c r="G322" s="253">
        <v>6.3818000000000001</v>
      </c>
    </row>
    <row r="323" spans="2:7" x14ac:dyDescent="0.2">
      <c r="B323" s="253">
        <v>75114</v>
      </c>
      <c r="C323" s="253" t="s">
        <v>807</v>
      </c>
      <c r="D323" s="253">
        <v>48.5</v>
      </c>
      <c r="E323" s="253" t="s">
        <v>1551</v>
      </c>
      <c r="F323" s="253" t="s">
        <v>947</v>
      </c>
      <c r="G323" s="253">
        <v>19.122599999999998</v>
      </c>
    </row>
    <row r="324" spans="2:7" x14ac:dyDescent="0.2">
      <c r="B324" s="253">
        <v>75114</v>
      </c>
      <c r="C324" s="253" t="s">
        <v>804</v>
      </c>
      <c r="D324" s="253">
        <v>48.5</v>
      </c>
      <c r="E324" s="253" t="s">
        <v>1551</v>
      </c>
      <c r="F324" s="253" t="s">
        <v>947</v>
      </c>
      <c r="G324" s="253">
        <v>19.610299999999999</v>
      </c>
    </row>
    <row r="325" spans="2:7" x14ac:dyDescent="0.2">
      <c r="B325" s="253">
        <v>75106</v>
      </c>
      <c r="C325" s="253" t="s">
        <v>810</v>
      </c>
      <c r="D325" s="253">
        <v>48.5</v>
      </c>
      <c r="E325" s="253" t="s">
        <v>1552</v>
      </c>
      <c r="F325" s="253" t="s">
        <v>947</v>
      </c>
      <c r="G325" s="253">
        <v>14.891500000000001</v>
      </c>
    </row>
    <row r="326" spans="2:7" x14ac:dyDescent="0.2">
      <c r="B326" s="253">
        <v>75106</v>
      </c>
      <c r="C326" s="253" t="s">
        <v>807</v>
      </c>
      <c r="D326" s="253">
        <v>48.5</v>
      </c>
      <c r="E326" s="253" t="s">
        <v>1552</v>
      </c>
      <c r="F326" s="253" t="s">
        <v>947</v>
      </c>
      <c r="G326" s="253">
        <v>21.5291</v>
      </c>
    </row>
    <row r="327" spans="2:7" x14ac:dyDescent="0.2">
      <c r="B327" s="253">
        <v>75106</v>
      </c>
      <c r="C327" s="253" t="s">
        <v>804</v>
      </c>
      <c r="D327" s="253">
        <v>48.5</v>
      </c>
      <c r="E327" s="253" t="s">
        <v>1552</v>
      </c>
      <c r="F327" s="253" t="s">
        <v>947</v>
      </c>
      <c r="G327" s="253">
        <v>21.3261</v>
      </c>
    </row>
    <row r="328" spans="2:7" x14ac:dyDescent="0.2">
      <c r="B328" s="253">
        <v>96195</v>
      </c>
      <c r="C328" s="253" t="s">
        <v>807</v>
      </c>
      <c r="D328" s="253">
        <v>48.4</v>
      </c>
      <c r="E328" s="253" t="s">
        <v>1553</v>
      </c>
      <c r="F328" s="253" t="s">
        <v>815</v>
      </c>
      <c r="G328" s="253">
        <v>6.7473000000000001</v>
      </c>
    </row>
    <row r="329" spans="2:7" x14ac:dyDescent="0.2">
      <c r="B329" s="253">
        <v>96195</v>
      </c>
      <c r="C329" s="253" t="s">
        <v>804</v>
      </c>
      <c r="D329" s="253">
        <v>48.4</v>
      </c>
      <c r="E329" s="253" t="s">
        <v>1553</v>
      </c>
      <c r="F329" s="253" t="s">
        <v>815</v>
      </c>
      <c r="G329" s="253">
        <v>6.7297000000000002</v>
      </c>
    </row>
    <row r="330" spans="2:7" x14ac:dyDescent="0.2">
      <c r="B330" s="253">
        <v>96181</v>
      </c>
      <c r="C330" s="253" t="s">
        <v>827</v>
      </c>
      <c r="D330" s="253">
        <v>48.4</v>
      </c>
      <c r="E330" s="253" t="s">
        <v>1554</v>
      </c>
      <c r="F330" s="253" t="s">
        <v>815</v>
      </c>
      <c r="G330" s="253">
        <v>3.3210000000000002</v>
      </c>
    </row>
    <row r="331" spans="2:7" x14ac:dyDescent="0.2">
      <c r="B331" s="253">
        <v>96181</v>
      </c>
      <c r="C331" s="253" t="s">
        <v>826</v>
      </c>
      <c r="D331" s="253">
        <v>48.4</v>
      </c>
      <c r="E331" s="253" t="s">
        <v>1554</v>
      </c>
      <c r="F331" s="253" t="s">
        <v>815</v>
      </c>
      <c r="G331" s="253">
        <v>2.3210000000000002</v>
      </c>
    </row>
    <row r="332" spans="2:7" x14ac:dyDescent="0.2">
      <c r="B332" s="253">
        <v>96181</v>
      </c>
      <c r="C332" s="253" t="s">
        <v>823</v>
      </c>
      <c r="D332" s="253">
        <v>48.4</v>
      </c>
      <c r="E332" s="253" t="s">
        <v>1554</v>
      </c>
      <c r="F332" s="253" t="s">
        <v>815</v>
      </c>
      <c r="G332" s="253">
        <v>1.321</v>
      </c>
    </row>
    <row r="333" spans="2:7" x14ac:dyDescent="0.2">
      <c r="B333" s="253">
        <v>96191</v>
      </c>
      <c r="C333" s="253" t="s">
        <v>809</v>
      </c>
      <c r="D333" s="253">
        <v>48.4</v>
      </c>
      <c r="E333" s="253" t="s">
        <v>1555</v>
      </c>
      <c r="F333" s="253" t="s">
        <v>815</v>
      </c>
      <c r="G333" s="253">
        <v>31.850899999999999</v>
      </c>
    </row>
    <row r="334" spans="2:7" x14ac:dyDescent="0.2">
      <c r="B334" s="253">
        <v>96191</v>
      </c>
      <c r="C334" s="253" t="s">
        <v>808</v>
      </c>
      <c r="D334" s="253">
        <v>48.4</v>
      </c>
      <c r="E334" s="253" t="s">
        <v>1555</v>
      </c>
      <c r="F334" s="253" t="s">
        <v>815</v>
      </c>
      <c r="G334" s="253">
        <v>31.840599999999998</v>
      </c>
    </row>
    <row r="335" spans="2:7" x14ac:dyDescent="0.2">
      <c r="B335" s="253">
        <v>96191</v>
      </c>
      <c r="C335" s="253" t="s">
        <v>807</v>
      </c>
      <c r="D335" s="253">
        <v>48.4</v>
      </c>
      <c r="E335" s="253" t="s">
        <v>1555</v>
      </c>
      <c r="F335" s="253" t="s">
        <v>815</v>
      </c>
      <c r="G335" s="253">
        <v>10.6045</v>
      </c>
    </row>
    <row r="336" spans="2:7" x14ac:dyDescent="0.2">
      <c r="B336" s="253">
        <v>96191</v>
      </c>
      <c r="C336" s="253" t="s">
        <v>804</v>
      </c>
      <c r="D336" s="253">
        <v>48.4</v>
      </c>
      <c r="E336" s="253" t="s">
        <v>1555</v>
      </c>
      <c r="F336" s="253" t="s">
        <v>815</v>
      </c>
      <c r="G336" s="253">
        <v>7.3437999999999999</v>
      </c>
    </row>
    <row r="337" spans="2:7" x14ac:dyDescent="0.2">
      <c r="B337" s="253">
        <v>96111</v>
      </c>
      <c r="C337" s="253" t="s">
        <v>807</v>
      </c>
      <c r="D337" s="253">
        <v>48.4</v>
      </c>
      <c r="E337" s="253" t="s">
        <v>1556</v>
      </c>
      <c r="F337" s="253" t="s">
        <v>815</v>
      </c>
      <c r="G337" s="253">
        <v>8.8483000000000001</v>
      </c>
    </row>
    <row r="338" spans="2:7" x14ac:dyDescent="0.2">
      <c r="B338" s="253">
        <v>96111</v>
      </c>
      <c r="C338" s="253" t="s">
        <v>804</v>
      </c>
      <c r="D338" s="253">
        <v>48.4</v>
      </c>
      <c r="E338" s="253" t="s">
        <v>1556</v>
      </c>
      <c r="F338" s="253" t="s">
        <v>815</v>
      </c>
      <c r="G338" s="253">
        <v>5.6828000000000003</v>
      </c>
    </row>
    <row r="339" spans="2:7" x14ac:dyDescent="0.2">
      <c r="B339" s="253">
        <v>96108</v>
      </c>
      <c r="C339" s="253" t="s">
        <v>807</v>
      </c>
      <c r="D339" s="253">
        <v>48.4</v>
      </c>
      <c r="E339" s="253" t="s">
        <v>1557</v>
      </c>
      <c r="F339" s="253" t="s">
        <v>815</v>
      </c>
      <c r="G339" s="253">
        <v>7.0092999999999996</v>
      </c>
    </row>
    <row r="340" spans="2:7" x14ac:dyDescent="0.2">
      <c r="B340" s="253">
        <v>96108</v>
      </c>
      <c r="C340" s="253" t="s">
        <v>804</v>
      </c>
      <c r="D340" s="253">
        <v>48.4</v>
      </c>
      <c r="E340" s="253" t="s">
        <v>1557</v>
      </c>
      <c r="F340" s="253" t="s">
        <v>815</v>
      </c>
      <c r="G340" s="253">
        <v>9.3722999999999992</v>
      </c>
    </row>
    <row r="341" spans="2:7" x14ac:dyDescent="0.2">
      <c r="B341" s="253">
        <v>96122</v>
      </c>
      <c r="C341" s="253" t="s">
        <v>807</v>
      </c>
      <c r="D341" s="253">
        <v>48.4</v>
      </c>
      <c r="E341" s="253" t="s">
        <v>1558</v>
      </c>
      <c r="F341" s="253" t="s">
        <v>815</v>
      </c>
      <c r="G341" s="253">
        <v>8.5501000000000005</v>
      </c>
    </row>
    <row r="342" spans="2:7" x14ac:dyDescent="0.2">
      <c r="B342" s="253">
        <v>96122</v>
      </c>
      <c r="C342" s="253" t="s">
        <v>804</v>
      </c>
      <c r="D342" s="253">
        <v>48.4</v>
      </c>
      <c r="E342" s="253" t="s">
        <v>1558</v>
      </c>
      <c r="F342" s="253" t="s">
        <v>815</v>
      </c>
      <c r="G342" s="253">
        <v>3.3694999999999999</v>
      </c>
    </row>
    <row r="343" spans="2:7" x14ac:dyDescent="0.2">
      <c r="B343" s="253">
        <v>96189</v>
      </c>
      <c r="C343" s="253" t="s">
        <v>809</v>
      </c>
      <c r="D343" s="253">
        <v>48.4</v>
      </c>
      <c r="E343" s="253" t="s">
        <v>1559</v>
      </c>
      <c r="F343" s="253" t="s">
        <v>815</v>
      </c>
      <c r="G343" s="253">
        <v>16.861000000000001</v>
      </c>
    </row>
    <row r="344" spans="2:7" x14ac:dyDescent="0.2">
      <c r="B344" s="253">
        <v>96189</v>
      </c>
      <c r="C344" s="253" t="s">
        <v>808</v>
      </c>
      <c r="D344" s="253">
        <v>48.4</v>
      </c>
      <c r="E344" s="253" t="s">
        <v>1559</v>
      </c>
      <c r="F344" s="253" t="s">
        <v>815</v>
      </c>
      <c r="G344" s="253">
        <v>16.782299999999999</v>
      </c>
    </row>
    <row r="345" spans="2:7" x14ac:dyDescent="0.2">
      <c r="B345" s="253">
        <v>96189</v>
      </c>
      <c r="C345" s="253" t="s">
        <v>807</v>
      </c>
      <c r="D345" s="253">
        <v>48.4</v>
      </c>
      <c r="E345" s="253" t="s">
        <v>1559</v>
      </c>
      <c r="F345" s="253" t="s">
        <v>815</v>
      </c>
      <c r="G345" s="253">
        <v>3.6387</v>
      </c>
    </row>
    <row r="346" spans="2:7" x14ac:dyDescent="0.2">
      <c r="B346" s="253">
        <v>96189</v>
      </c>
      <c r="C346" s="253" t="s">
        <v>804</v>
      </c>
      <c r="D346" s="253">
        <v>48.4</v>
      </c>
      <c r="E346" s="253" t="s">
        <v>1559</v>
      </c>
      <c r="F346" s="253" t="s">
        <v>815</v>
      </c>
      <c r="G346" s="253">
        <v>3.7267999999999999</v>
      </c>
    </row>
    <row r="347" spans="2:7" x14ac:dyDescent="0.2">
      <c r="B347" s="253">
        <v>96197</v>
      </c>
      <c r="C347" s="253" t="s">
        <v>826</v>
      </c>
      <c r="D347" s="253">
        <v>48.4</v>
      </c>
      <c r="E347" s="253" t="s">
        <v>1560</v>
      </c>
      <c r="F347" s="253" t="s">
        <v>815</v>
      </c>
      <c r="G347" s="253">
        <v>0.12429999999999999</v>
      </c>
    </row>
    <row r="348" spans="2:7" x14ac:dyDescent="0.2">
      <c r="B348" s="253">
        <v>96197</v>
      </c>
      <c r="C348" s="253" t="s">
        <v>823</v>
      </c>
      <c r="D348" s="253">
        <v>48.4</v>
      </c>
      <c r="E348" s="253" t="s">
        <v>1560</v>
      </c>
      <c r="F348" s="253" t="s">
        <v>815</v>
      </c>
      <c r="G348" s="253">
        <v>2.7441</v>
      </c>
    </row>
    <row r="349" spans="2:7" x14ac:dyDescent="0.2">
      <c r="B349" s="253">
        <v>96196</v>
      </c>
      <c r="C349" s="253" t="s">
        <v>823</v>
      </c>
      <c r="D349" s="253">
        <v>48.4</v>
      </c>
      <c r="E349" s="253" t="s">
        <v>1561</v>
      </c>
      <c r="F349" s="253" t="s">
        <v>815</v>
      </c>
      <c r="G349" s="253">
        <v>9.5389999999999997</v>
      </c>
    </row>
    <row r="350" spans="2:7" x14ac:dyDescent="0.2">
      <c r="B350" s="253">
        <v>96101</v>
      </c>
      <c r="C350" s="253" t="s">
        <v>809</v>
      </c>
      <c r="D350" s="253">
        <v>48.4</v>
      </c>
      <c r="E350" s="253" t="s">
        <v>1562</v>
      </c>
      <c r="F350" s="253" t="s">
        <v>815</v>
      </c>
      <c r="G350" s="253">
        <v>10.1313</v>
      </c>
    </row>
    <row r="351" spans="2:7" x14ac:dyDescent="0.2">
      <c r="B351" s="253">
        <v>96101</v>
      </c>
      <c r="C351" s="253" t="s">
        <v>808</v>
      </c>
      <c r="D351" s="253">
        <v>48.4</v>
      </c>
      <c r="E351" s="253" t="s">
        <v>1562</v>
      </c>
      <c r="F351" s="253" t="s">
        <v>815</v>
      </c>
      <c r="G351" s="253">
        <v>10.1531</v>
      </c>
    </row>
    <row r="352" spans="2:7" x14ac:dyDescent="0.2">
      <c r="B352" s="253">
        <v>96101</v>
      </c>
      <c r="C352" s="253" t="s">
        <v>807</v>
      </c>
      <c r="D352" s="253">
        <v>48.4</v>
      </c>
      <c r="E352" s="253" t="s">
        <v>1562</v>
      </c>
      <c r="F352" s="253" t="s">
        <v>815</v>
      </c>
      <c r="G352" s="253">
        <v>9.1227</v>
      </c>
    </row>
    <row r="353" spans="2:7" x14ac:dyDescent="0.2">
      <c r="B353" s="253">
        <v>96101</v>
      </c>
      <c r="C353" s="253" t="s">
        <v>804</v>
      </c>
      <c r="D353" s="253">
        <v>48.4</v>
      </c>
      <c r="E353" s="253" t="s">
        <v>1562</v>
      </c>
      <c r="F353" s="253" t="s">
        <v>815</v>
      </c>
      <c r="G353" s="253">
        <v>6.6623999999999999</v>
      </c>
    </row>
    <row r="354" spans="2:7" x14ac:dyDescent="0.2">
      <c r="B354" s="253">
        <v>75116</v>
      </c>
      <c r="C354" s="253" t="s">
        <v>809</v>
      </c>
      <c r="D354" s="253">
        <v>48.4</v>
      </c>
      <c r="E354" s="253" t="s">
        <v>1563</v>
      </c>
      <c r="F354" s="253" t="s">
        <v>840</v>
      </c>
      <c r="G354" s="253">
        <v>19.429099999999998</v>
      </c>
    </row>
    <row r="355" spans="2:7" x14ac:dyDescent="0.2">
      <c r="B355" s="253">
        <v>75116</v>
      </c>
      <c r="C355" s="253" t="s">
        <v>808</v>
      </c>
      <c r="D355" s="253">
        <v>48.4</v>
      </c>
      <c r="E355" s="253" t="s">
        <v>1563</v>
      </c>
      <c r="F355" s="253" t="s">
        <v>840</v>
      </c>
      <c r="G355" s="253">
        <v>19.3752</v>
      </c>
    </row>
    <row r="356" spans="2:7" x14ac:dyDescent="0.2">
      <c r="B356" s="253">
        <v>75116</v>
      </c>
      <c r="C356" s="253" t="s">
        <v>807</v>
      </c>
      <c r="D356" s="253">
        <v>48.4</v>
      </c>
      <c r="E356" s="253" t="s">
        <v>1563</v>
      </c>
      <c r="F356" s="253" t="s">
        <v>840</v>
      </c>
      <c r="G356" s="253">
        <v>10.683199999999999</v>
      </c>
    </row>
    <row r="357" spans="2:7" x14ac:dyDescent="0.2">
      <c r="B357" s="253">
        <v>75116</v>
      </c>
      <c r="C357" s="253" t="s">
        <v>804</v>
      </c>
      <c r="D357" s="253">
        <v>48.4</v>
      </c>
      <c r="E357" s="253" t="s">
        <v>1563</v>
      </c>
      <c r="F357" s="253" t="s">
        <v>840</v>
      </c>
      <c r="G357" s="253">
        <v>10.6625</v>
      </c>
    </row>
    <row r="358" spans="2:7" x14ac:dyDescent="0.2">
      <c r="B358" s="253">
        <v>75140</v>
      </c>
      <c r="C358" s="253" t="s">
        <v>809</v>
      </c>
      <c r="D358" s="253">
        <v>48.4</v>
      </c>
      <c r="E358" s="253" t="s">
        <v>1564</v>
      </c>
      <c r="F358" s="253" t="s">
        <v>840</v>
      </c>
      <c r="G358" s="253">
        <v>5.133</v>
      </c>
    </row>
    <row r="359" spans="2:7" x14ac:dyDescent="0.2">
      <c r="B359" s="253">
        <v>75140</v>
      </c>
      <c r="C359" s="253" t="s">
        <v>808</v>
      </c>
      <c r="D359" s="253">
        <v>48.4</v>
      </c>
      <c r="E359" s="253" t="s">
        <v>1564</v>
      </c>
      <c r="F359" s="253" t="s">
        <v>840</v>
      </c>
      <c r="G359" s="253">
        <v>5.0563000000000002</v>
      </c>
    </row>
    <row r="360" spans="2:7" x14ac:dyDescent="0.2">
      <c r="B360" s="253">
        <v>75140</v>
      </c>
      <c r="C360" s="253" t="s">
        <v>807</v>
      </c>
      <c r="D360" s="253">
        <v>48.4</v>
      </c>
      <c r="E360" s="253" t="s">
        <v>1564</v>
      </c>
      <c r="F360" s="253" t="s">
        <v>840</v>
      </c>
      <c r="G360" s="253">
        <v>10.486499999999999</v>
      </c>
    </row>
    <row r="361" spans="2:7" x14ac:dyDescent="0.2">
      <c r="B361" s="253">
        <v>75140</v>
      </c>
      <c r="C361" s="253" t="s">
        <v>804</v>
      </c>
      <c r="D361" s="253">
        <v>48.4</v>
      </c>
      <c r="E361" s="253" t="s">
        <v>1564</v>
      </c>
      <c r="F361" s="253" t="s">
        <v>840</v>
      </c>
      <c r="G361" s="253">
        <v>10.886200000000001</v>
      </c>
    </row>
    <row r="362" spans="2:7" x14ac:dyDescent="0.2">
      <c r="B362" s="253">
        <v>75115</v>
      </c>
      <c r="C362" s="253" t="s">
        <v>809</v>
      </c>
      <c r="D362" s="253">
        <v>48.4</v>
      </c>
      <c r="E362" s="253" t="s">
        <v>1565</v>
      </c>
      <c r="F362" s="253" t="s">
        <v>840</v>
      </c>
      <c r="G362" s="253">
        <v>11.5365</v>
      </c>
    </row>
    <row r="363" spans="2:7" x14ac:dyDescent="0.2">
      <c r="B363" s="253">
        <v>75115</v>
      </c>
      <c r="C363" s="253" t="s">
        <v>808</v>
      </c>
      <c r="D363" s="253">
        <v>48.4</v>
      </c>
      <c r="E363" s="253" t="s">
        <v>1565</v>
      </c>
      <c r="F363" s="253" t="s">
        <v>840</v>
      </c>
      <c r="G363" s="253">
        <v>11.521000000000001</v>
      </c>
    </row>
    <row r="364" spans="2:7" x14ac:dyDescent="0.2">
      <c r="B364" s="253">
        <v>75115</v>
      </c>
      <c r="C364" s="253" t="s">
        <v>807</v>
      </c>
      <c r="D364" s="253">
        <v>48.4</v>
      </c>
      <c r="E364" s="253" t="s">
        <v>1565</v>
      </c>
      <c r="F364" s="253" t="s">
        <v>840</v>
      </c>
      <c r="G364" s="253">
        <v>11.4909</v>
      </c>
    </row>
    <row r="365" spans="2:7" x14ac:dyDescent="0.2">
      <c r="B365" s="253">
        <v>75115</v>
      </c>
      <c r="C365" s="253" t="s">
        <v>804</v>
      </c>
      <c r="D365" s="253">
        <v>48.4</v>
      </c>
      <c r="E365" s="253" t="s">
        <v>1565</v>
      </c>
      <c r="F365" s="253" t="s">
        <v>840</v>
      </c>
      <c r="G365" s="253">
        <v>13.361000000000001</v>
      </c>
    </row>
    <row r="366" spans="2:7" x14ac:dyDescent="0.2">
      <c r="B366" s="253">
        <v>75138</v>
      </c>
      <c r="C366" s="253" t="s">
        <v>808</v>
      </c>
      <c r="D366" s="253">
        <v>48.4</v>
      </c>
      <c r="E366" s="253" t="s">
        <v>1566</v>
      </c>
      <c r="F366" s="253" t="s">
        <v>840</v>
      </c>
      <c r="G366" s="253">
        <v>14.7041</v>
      </c>
    </row>
    <row r="367" spans="2:7" x14ac:dyDescent="0.2">
      <c r="B367" s="253">
        <v>75138</v>
      </c>
      <c r="C367" s="253" t="s">
        <v>807</v>
      </c>
      <c r="D367" s="253">
        <v>48.4</v>
      </c>
      <c r="E367" s="253" t="s">
        <v>1566</v>
      </c>
      <c r="F367" s="253" t="s">
        <v>840</v>
      </c>
      <c r="G367" s="253">
        <v>9.0182000000000002</v>
      </c>
    </row>
    <row r="368" spans="2:7" x14ac:dyDescent="0.2">
      <c r="B368" s="253">
        <v>75138</v>
      </c>
      <c r="C368" s="253" t="s">
        <v>804</v>
      </c>
      <c r="D368" s="253">
        <v>48.4</v>
      </c>
      <c r="E368" s="253" t="s">
        <v>1566</v>
      </c>
      <c r="F368" s="253" t="s">
        <v>840</v>
      </c>
      <c r="G368" s="253">
        <v>9.1206999999999994</v>
      </c>
    </row>
    <row r="369" spans="2:7" x14ac:dyDescent="0.2">
      <c r="B369" s="253">
        <v>97143</v>
      </c>
      <c r="C369" s="253" t="s">
        <v>809</v>
      </c>
      <c r="D369" s="253">
        <v>48.4</v>
      </c>
      <c r="E369" s="253" t="s">
        <v>1567</v>
      </c>
      <c r="F369" s="253" t="s">
        <v>817</v>
      </c>
      <c r="G369" s="253">
        <v>29.006399999999999</v>
      </c>
    </row>
    <row r="370" spans="2:7" x14ac:dyDescent="0.2">
      <c r="B370" s="253">
        <v>97143</v>
      </c>
      <c r="C370" s="253" t="s">
        <v>808</v>
      </c>
      <c r="D370" s="253">
        <v>48.4</v>
      </c>
      <c r="E370" s="253" t="s">
        <v>1567</v>
      </c>
      <c r="F370" s="253" t="s">
        <v>817</v>
      </c>
      <c r="G370" s="253">
        <v>29.151399999999999</v>
      </c>
    </row>
    <row r="371" spans="2:7" x14ac:dyDescent="0.2">
      <c r="B371" s="253">
        <v>97143</v>
      </c>
      <c r="C371" s="253" t="s">
        <v>807</v>
      </c>
      <c r="D371" s="253">
        <v>48.4</v>
      </c>
      <c r="E371" s="253" t="s">
        <v>1567</v>
      </c>
      <c r="F371" s="253" t="s">
        <v>817</v>
      </c>
      <c r="G371" s="253">
        <v>13.5661</v>
      </c>
    </row>
    <row r="372" spans="2:7" x14ac:dyDescent="0.2">
      <c r="B372" s="253">
        <v>97143</v>
      </c>
      <c r="C372" s="253" t="s">
        <v>804</v>
      </c>
      <c r="D372" s="253">
        <v>48.4</v>
      </c>
      <c r="E372" s="253" t="s">
        <v>1567</v>
      </c>
      <c r="F372" s="253" t="s">
        <v>817</v>
      </c>
      <c r="G372" s="253">
        <v>12.476699999999999</v>
      </c>
    </row>
    <row r="373" spans="2:7" x14ac:dyDescent="0.2">
      <c r="B373" s="253">
        <v>97162</v>
      </c>
      <c r="C373" s="253" t="s">
        <v>809</v>
      </c>
      <c r="D373" s="253">
        <v>48.4</v>
      </c>
      <c r="E373" s="253" t="s">
        <v>1568</v>
      </c>
      <c r="F373" s="253" t="s">
        <v>817</v>
      </c>
      <c r="G373" s="253">
        <v>42.671900000000001</v>
      </c>
    </row>
    <row r="374" spans="2:7" x14ac:dyDescent="0.2">
      <c r="B374" s="253">
        <v>97162</v>
      </c>
      <c r="C374" s="253" t="s">
        <v>808</v>
      </c>
      <c r="D374" s="253">
        <v>48.4</v>
      </c>
      <c r="E374" s="253" t="s">
        <v>1568</v>
      </c>
      <c r="F374" s="253" t="s">
        <v>817</v>
      </c>
      <c r="G374" s="253">
        <v>43.069499999999998</v>
      </c>
    </row>
    <row r="375" spans="2:7" x14ac:dyDescent="0.2">
      <c r="B375" s="253">
        <v>97162</v>
      </c>
      <c r="C375" s="253" t="s">
        <v>807</v>
      </c>
      <c r="D375" s="253">
        <v>48.4</v>
      </c>
      <c r="E375" s="253" t="s">
        <v>1568</v>
      </c>
      <c r="F375" s="253" t="s">
        <v>817</v>
      </c>
      <c r="G375" s="253">
        <v>9.6228999999999996</v>
      </c>
    </row>
    <row r="376" spans="2:7" x14ac:dyDescent="0.2">
      <c r="B376" s="253">
        <v>97162</v>
      </c>
      <c r="C376" s="253" t="s">
        <v>804</v>
      </c>
      <c r="D376" s="253">
        <v>48.4</v>
      </c>
      <c r="E376" s="253" t="s">
        <v>1568</v>
      </c>
      <c r="F376" s="253" t="s">
        <v>817</v>
      </c>
      <c r="G376" s="253">
        <v>9.6219000000000001</v>
      </c>
    </row>
    <row r="377" spans="2:7" x14ac:dyDescent="0.2">
      <c r="B377" s="253">
        <v>97112</v>
      </c>
      <c r="C377" s="253" t="s">
        <v>804</v>
      </c>
      <c r="D377" s="253">
        <v>48.4</v>
      </c>
      <c r="E377" s="253" t="s">
        <v>1569</v>
      </c>
      <c r="F377" s="253" t="s">
        <v>817</v>
      </c>
      <c r="G377" s="253">
        <v>0</v>
      </c>
    </row>
    <row r="378" spans="2:7" x14ac:dyDescent="0.2">
      <c r="B378" s="253">
        <v>597112</v>
      </c>
      <c r="C378" s="253" t="s">
        <v>807</v>
      </c>
      <c r="D378" s="253">
        <v>48.4</v>
      </c>
      <c r="E378" s="253" t="s">
        <v>1570</v>
      </c>
      <c r="F378" s="253" t="s">
        <v>817</v>
      </c>
      <c r="G378" s="253">
        <v>20.135300000000001</v>
      </c>
    </row>
    <row r="379" spans="2:7" x14ac:dyDescent="0.2">
      <c r="B379" s="253">
        <v>97159</v>
      </c>
      <c r="C379" s="253" t="s">
        <v>823</v>
      </c>
      <c r="D379" s="253">
        <v>48.4</v>
      </c>
      <c r="E379" s="253" t="s">
        <v>1571</v>
      </c>
      <c r="F379" s="253" t="s">
        <v>817</v>
      </c>
      <c r="G379" s="253">
        <v>4.0799000000000003</v>
      </c>
    </row>
    <row r="380" spans="2:7" x14ac:dyDescent="0.2">
      <c r="B380" s="253">
        <v>597159</v>
      </c>
      <c r="C380" s="253" t="s">
        <v>826</v>
      </c>
      <c r="D380" s="253">
        <v>48.4</v>
      </c>
      <c r="E380" s="253" t="s">
        <v>1572</v>
      </c>
      <c r="F380" s="253" t="s">
        <v>817</v>
      </c>
      <c r="G380" s="253">
        <v>1.3565</v>
      </c>
    </row>
    <row r="381" spans="2:7" x14ac:dyDescent="0.2">
      <c r="B381" s="253">
        <v>51001</v>
      </c>
      <c r="C381" s="253" t="s">
        <v>807</v>
      </c>
      <c r="D381" s="253">
        <v>48.4</v>
      </c>
      <c r="E381" s="253" t="s">
        <v>1573</v>
      </c>
      <c r="F381" s="253" t="s">
        <v>805</v>
      </c>
      <c r="G381" s="253">
        <v>0</v>
      </c>
    </row>
    <row r="382" spans="2:7" x14ac:dyDescent="0.2">
      <c r="B382" s="253">
        <v>51001</v>
      </c>
      <c r="C382" s="253" t="s">
        <v>804</v>
      </c>
      <c r="D382" s="253">
        <v>48.4</v>
      </c>
      <c r="E382" s="253" t="s">
        <v>1573</v>
      </c>
      <c r="F382" s="253" t="s">
        <v>805</v>
      </c>
      <c r="G382" s="253">
        <v>11.876099999999999</v>
      </c>
    </row>
    <row r="383" spans="2:7" x14ac:dyDescent="0.2">
      <c r="B383" s="253">
        <v>588124</v>
      </c>
      <c r="C383" s="253" t="s">
        <v>807</v>
      </c>
      <c r="D383" s="253">
        <v>48.4</v>
      </c>
      <c r="E383" s="253" t="s">
        <v>1574</v>
      </c>
      <c r="F383" s="253" t="s">
        <v>811</v>
      </c>
      <c r="G383" s="253">
        <v>39.370699999999999</v>
      </c>
    </row>
    <row r="384" spans="2:7" x14ac:dyDescent="0.2">
      <c r="B384" s="253">
        <v>588124</v>
      </c>
      <c r="C384" s="253" t="s">
        <v>804</v>
      </c>
      <c r="D384" s="253">
        <v>48.4</v>
      </c>
      <c r="E384" s="253" t="s">
        <v>1574</v>
      </c>
      <c r="F384" s="253" t="s">
        <v>811</v>
      </c>
      <c r="G384" s="253">
        <v>39.369700000000002</v>
      </c>
    </row>
    <row r="385" spans="2:7" x14ac:dyDescent="0.2">
      <c r="B385" s="253">
        <v>88163</v>
      </c>
      <c r="C385" s="253" t="s">
        <v>807</v>
      </c>
      <c r="D385" s="253">
        <v>48.4</v>
      </c>
      <c r="E385" s="253" t="s">
        <v>1575</v>
      </c>
      <c r="F385" s="253" t="s">
        <v>811</v>
      </c>
      <c r="G385" s="253">
        <v>28.610800000000001</v>
      </c>
    </row>
    <row r="386" spans="2:7" x14ac:dyDescent="0.2">
      <c r="B386" s="253">
        <v>88163</v>
      </c>
      <c r="C386" s="253" t="s">
        <v>804</v>
      </c>
      <c r="D386" s="253">
        <v>48.4</v>
      </c>
      <c r="E386" s="253" t="s">
        <v>1575</v>
      </c>
      <c r="F386" s="253" t="s">
        <v>811</v>
      </c>
      <c r="G386" s="253">
        <v>28.569400000000002</v>
      </c>
    </row>
    <row r="387" spans="2:7" x14ac:dyDescent="0.2">
      <c r="B387" s="253">
        <v>61112</v>
      </c>
      <c r="C387" s="253" t="s">
        <v>807</v>
      </c>
      <c r="D387" s="253">
        <v>48.4</v>
      </c>
      <c r="E387" s="253" t="s">
        <v>1576</v>
      </c>
      <c r="F387" s="253" t="s">
        <v>820</v>
      </c>
      <c r="G387" s="253">
        <v>31.707000000000001</v>
      </c>
    </row>
    <row r="388" spans="2:7" x14ac:dyDescent="0.2">
      <c r="B388" s="253">
        <v>61112</v>
      </c>
      <c r="C388" s="253" t="s">
        <v>804</v>
      </c>
      <c r="D388" s="253">
        <v>48.4</v>
      </c>
      <c r="E388" s="253" t="s">
        <v>1576</v>
      </c>
      <c r="F388" s="253" t="s">
        <v>820</v>
      </c>
      <c r="G388" s="253">
        <v>31.637599999999999</v>
      </c>
    </row>
    <row r="389" spans="2:7" x14ac:dyDescent="0.2">
      <c r="B389" s="253" t="e">
        <v>#N/A</v>
      </c>
      <c r="C389" s="253" t="s">
        <v>808</v>
      </c>
      <c r="D389" s="253">
        <v>48.3</v>
      </c>
      <c r="E389" s="253" t="s">
        <v>1577</v>
      </c>
      <c r="F389" s="253" t="e">
        <v>#N/A</v>
      </c>
      <c r="G389" s="253" t="e">
        <v>#N/A</v>
      </c>
    </row>
    <row r="390" spans="2:7" x14ac:dyDescent="0.2">
      <c r="B390" s="253">
        <v>97127</v>
      </c>
      <c r="C390" s="253" t="s">
        <v>807</v>
      </c>
      <c r="D390" s="253">
        <v>48.3</v>
      </c>
      <c r="E390" s="253" t="s">
        <v>1577</v>
      </c>
      <c r="F390" s="253" t="s">
        <v>817</v>
      </c>
      <c r="G390" s="253">
        <v>11.916499999999999</v>
      </c>
    </row>
    <row r="391" spans="2:7" x14ac:dyDescent="0.2">
      <c r="B391" s="253">
        <v>97127</v>
      </c>
      <c r="C391" s="253" t="s">
        <v>804</v>
      </c>
      <c r="D391" s="253">
        <v>48.3</v>
      </c>
      <c r="E391" s="253" t="s">
        <v>1577</v>
      </c>
      <c r="F391" s="253" t="s">
        <v>817</v>
      </c>
      <c r="G391" s="253">
        <v>11.9093</v>
      </c>
    </row>
    <row r="392" spans="2:7" x14ac:dyDescent="0.2">
      <c r="B392" s="253">
        <v>97129</v>
      </c>
      <c r="C392" s="253" t="s">
        <v>807</v>
      </c>
      <c r="D392" s="253">
        <v>48.3</v>
      </c>
      <c r="E392" s="253" t="s">
        <v>1578</v>
      </c>
      <c r="F392" s="253" t="s">
        <v>817</v>
      </c>
      <c r="G392" s="253">
        <v>11.890599999999999</v>
      </c>
    </row>
    <row r="393" spans="2:7" x14ac:dyDescent="0.2">
      <c r="B393" s="253">
        <v>97129</v>
      </c>
      <c r="C393" s="253" t="s">
        <v>804</v>
      </c>
      <c r="D393" s="253">
        <v>48.3</v>
      </c>
      <c r="E393" s="253" t="s">
        <v>1578</v>
      </c>
      <c r="F393" s="253" t="s">
        <v>817</v>
      </c>
      <c r="G393" s="253">
        <v>11.055</v>
      </c>
    </row>
    <row r="394" spans="2:7" x14ac:dyDescent="0.2">
      <c r="B394" s="253">
        <v>97121</v>
      </c>
      <c r="C394" s="253" t="s">
        <v>807</v>
      </c>
      <c r="D394" s="253">
        <v>48.3</v>
      </c>
      <c r="E394" s="253" t="s">
        <v>1579</v>
      </c>
      <c r="F394" s="253" t="s">
        <v>817</v>
      </c>
      <c r="G394" s="253">
        <v>4.8667999999999996</v>
      </c>
    </row>
    <row r="395" spans="2:7" x14ac:dyDescent="0.2">
      <c r="B395" s="253">
        <v>97121</v>
      </c>
      <c r="C395" s="253" t="s">
        <v>804</v>
      </c>
      <c r="D395" s="253">
        <v>48.3</v>
      </c>
      <c r="E395" s="253" t="s">
        <v>1579</v>
      </c>
      <c r="F395" s="253" t="s">
        <v>817</v>
      </c>
      <c r="G395" s="253">
        <v>11.4329</v>
      </c>
    </row>
    <row r="396" spans="2:7" x14ac:dyDescent="0.2">
      <c r="B396" s="253">
        <v>97107</v>
      </c>
      <c r="C396" s="253" t="s">
        <v>807</v>
      </c>
      <c r="D396" s="253">
        <v>48.3</v>
      </c>
      <c r="E396" s="253" t="s">
        <v>1580</v>
      </c>
      <c r="F396" s="253" t="s">
        <v>817</v>
      </c>
      <c r="G396" s="253">
        <v>9.8682999999999996</v>
      </c>
    </row>
    <row r="397" spans="2:7" x14ac:dyDescent="0.2">
      <c r="B397" s="253">
        <v>97107</v>
      </c>
      <c r="C397" s="253" t="s">
        <v>804</v>
      </c>
      <c r="D397" s="253">
        <v>48.3</v>
      </c>
      <c r="E397" s="253" t="s">
        <v>1580</v>
      </c>
      <c r="F397" s="253" t="s">
        <v>817</v>
      </c>
      <c r="G397" s="253">
        <v>11.4443</v>
      </c>
    </row>
    <row r="398" spans="2:7" x14ac:dyDescent="0.2">
      <c r="B398" s="253">
        <v>51057</v>
      </c>
      <c r="C398" s="253" t="s">
        <v>809</v>
      </c>
      <c r="D398" s="253">
        <v>48.3</v>
      </c>
      <c r="E398" s="253" t="s">
        <v>1581</v>
      </c>
      <c r="F398" s="253" t="s">
        <v>805</v>
      </c>
      <c r="G398" s="253">
        <v>44.053199999999997</v>
      </c>
    </row>
    <row r="399" spans="2:7" x14ac:dyDescent="0.2">
      <c r="B399" s="253">
        <v>51057</v>
      </c>
      <c r="C399" s="253" t="s">
        <v>808</v>
      </c>
      <c r="D399" s="253">
        <v>48.3</v>
      </c>
      <c r="E399" s="253" t="s">
        <v>1581</v>
      </c>
      <c r="F399" s="253" t="s">
        <v>805</v>
      </c>
      <c r="G399" s="253">
        <v>43.935200000000002</v>
      </c>
    </row>
    <row r="400" spans="2:7" x14ac:dyDescent="0.2">
      <c r="B400" s="253">
        <v>51009</v>
      </c>
      <c r="C400" s="253" t="s">
        <v>808</v>
      </c>
      <c r="D400" s="253">
        <v>48.3</v>
      </c>
      <c r="E400" s="253" t="s">
        <v>1582</v>
      </c>
      <c r="F400" s="253" t="s">
        <v>805</v>
      </c>
      <c r="G400" s="253">
        <v>49.7164</v>
      </c>
    </row>
    <row r="401" spans="2:7" x14ac:dyDescent="0.2">
      <c r="B401" s="253">
        <v>51009</v>
      </c>
      <c r="C401" s="253" t="s">
        <v>807</v>
      </c>
      <c r="D401" s="253">
        <v>48.3</v>
      </c>
      <c r="E401" s="253" t="s">
        <v>1582</v>
      </c>
      <c r="F401" s="253" t="s">
        <v>805</v>
      </c>
      <c r="G401" s="253">
        <v>32.279600000000002</v>
      </c>
    </row>
    <row r="402" spans="2:7" x14ac:dyDescent="0.2">
      <c r="B402" s="253">
        <v>51009</v>
      </c>
      <c r="C402" s="253" t="s">
        <v>804</v>
      </c>
      <c r="D402" s="253">
        <v>48.3</v>
      </c>
      <c r="E402" s="253" t="s">
        <v>1582</v>
      </c>
      <c r="F402" s="253" t="s">
        <v>805</v>
      </c>
      <c r="G402" s="253">
        <v>32.4039</v>
      </c>
    </row>
    <row r="403" spans="2:7" x14ac:dyDescent="0.2">
      <c r="B403" s="253">
        <v>96132</v>
      </c>
      <c r="C403" s="253" t="s">
        <v>807</v>
      </c>
      <c r="D403" s="253">
        <v>48.3</v>
      </c>
      <c r="E403" s="253" t="s">
        <v>1583</v>
      </c>
      <c r="F403" s="253" t="s">
        <v>830</v>
      </c>
      <c r="G403" s="253">
        <v>9.5855999999999995</v>
      </c>
    </row>
    <row r="404" spans="2:7" x14ac:dyDescent="0.2">
      <c r="B404" s="253">
        <v>96132</v>
      </c>
      <c r="C404" s="253" t="s">
        <v>804</v>
      </c>
      <c r="D404" s="253">
        <v>48.3</v>
      </c>
      <c r="E404" s="253" t="s">
        <v>1583</v>
      </c>
      <c r="F404" s="253" t="s">
        <v>830</v>
      </c>
      <c r="G404" s="253">
        <v>13.741099999999999</v>
      </c>
    </row>
    <row r="405" spans="2:7" x14ac:dyDescent="0.2">
      <c r="B405" s="253">
        <v>61103</v>
      </c>
      <c r="C405" s="253" t="s">
        <v>807</v>
      </c>
      <c r="D405" s="253">
        <v>48.3</v>
      </c>
      <c r="E405" s="253" t="s">
        <v>1584</v>
      </c>
      <c r="F405" s="253" t="s">
        <v>1030</v>
      </c>
      <c r="G405" s="253">
        <v>33.288200000000003</v>
      </c>
    </row>
    <row r="406" spans="2:7" x14ac:dyDescent="0.2">
      <c r="B406" s="253">
        <v>61103</v>
      </c>
      <c r="C406" s="253" t="s">
        <v>804</v>
      </c>
      <c r="D406" s="253">
        <v>48.3</v>
      </c>
      <c r="E406" s="253" t="s">
        <v>1584</v>
      </c>
      <c r="F406" s="253" t="s">
        <v>1030</v>
      </c>
      <c r="G406" s="253">
        <v>0</v>
      </c>
    </row>
    <row r="407" spans="2:7" x14ac:dyDescent="0.2">
      <c r="B407" s="253">
        <v>61125</v>
      </c>
      <c r="C407" s="253" t="s">
        <v>809</v>
      </c>
      <c r="D407" s="253">
        <v>48.3</v>
      </c>
      <c r="E407" s="253" t="s">
        <v>1585</v>
      </c>
      <c r="F407" s="253" t="s">
        <v>1030</v>
      </c>
      <c r="G407" s="253">
        <v>17.1541</v>
      </c>
    </row>
    <row r="408" spans="2:7" x14ac:dyDescent="0.2">
      <c r="B408" s="253">
        <v>61125</v>
      </c>
      <c r="C408" s="253" t="s">
        <v>808</v>
      </c>
      <c r="D408" s="253">
        <v>48.3</v>
      </c>
      <c r="E408" s="253" t="s">
        <v>1585</v>
      </c>
      <c r="F408" s="253" t="s">
        <v>1030</v>
      </c>
      <c r="G408" s="253">
        <v>17.298999999999999</v>
      </c>
    </row>
    <row r="409" spans="2:7" x14ac:dyDescent="0.2">
      <c r="B409" s="253">
        <v>61125</v>
      </c>
      <c r="C409" s="253" t="s">
        <v>807</v>
      </c>
      <c r="D409" s="253">
        <v>48.3</v>
      </c>
      <c r="E409" s="253" t="s">
        <v>1585</v>
      </c>
      <c r="F409" s="253" t="s">
        <v>1030</v>
      </c>
      <c r="G409" s="253">
        <v>3.7237</v>
      </c>
    </row>
    <row r="410" spans="2:7" x14ac:dyDescent="0.2">
      <c r="B410" s="253">
        <v>61125</v>
      </c>
      <c r="C410" s="253" t="s">
        <v>804</v>
      </c>
      <c r="D410" s="253">
        <v>48.3</v>
      </c>
      <c r="E410" s="253" t="s">
        <v>1585</v>
      </c>
      <c r="F410" s="253" t="s">
        <v>1030</v>
      </c>
      <c r="G410" s="253">
        <v>3.7267999999999999</v>
      </c>
    </row>
    <row r="411" spans="2:7" x14ac:dyDescent="0.2">
      <c r="B411" s="253">
        <v>561145</v>
      </c>
      <c r="C411" s="253" t="s">
        <v>826</v>
      </c>
      <c r="D411" s="253">
        <v>48.3</v>
      </c>
      <c r="E411" s="253" t="s">
        <v>1586</v>
      </c>
      <c r="F411" s="253" t="s">
        <v>1030</v>
      </c>
      <c r="G411" s="253">
        <v>26.176400000000001</v>
      </c>
    </row>
    <row r="412" spans="2:7" x14ac:dyDescent="0.2">
      <c r="B412" s="253">
        <v>61145</v>
      </c>
      <c r="C412" s="253" t="s">
        <v>823</v>
      </c>
      <c r="D412" s="253">
        <v>48.3</v>
      </c>
      <c r="E412" s="253" t="s">
        <v>1587</v>
      </c>
      <c r="F412" s="253" t="s">
        <v>1030</v>
      </c>
      <c r="G412" s="253">
        <v>0</v>
      </c>
    </row>
    <row r="413" spans="2:7" x14ac:dyDescent="0.2">
      <c r="B413" s="253">
        <v>88161</v>
      </c>
      <c r="C413" s="253" t="s">
        <v>810</v>
      </c>
      <c r="D413" s="253">
        <v>48.3</v>
      </c>
      <c r="E413" s="253" t="s">
        <v>1588</v>
      </c>
      <c r="F413" s="253" t="s">
        <v>811</v>
      </c>
      <c r="G413" s="253">
        <v>33.947800000000001</v>
      </c>
    </row>
    <row r="414" spans="2:7" x14ac:dyDescent="0.2">
      <c r="B414" s="253">
        <v>88161</v>
      </c>
      <c r="C414" s="253" t="s">
        <v>809</v>
      </c>
      <c r="D414" s="253">
        <v>48.3</v>
      </c>
      <c r="E414" s="253" t="s">
        <v>1588</v>
      </c>
      <c r="F414" s="253" t="s">
        <v>811</v>
      </c>
      <c r="G414" s="253">
        <v>25.618200000000002</v>
      </c>
    </row>
    <row r="415" spans="2:7" x14ac:dyDescent="0.2">
      <c r="B415" s="253">
        <v>88161</v>
      </c>
      <c r="C415" s="253" t="s">
        <v>808</v>
      </c>
      <c r="D415" s="253">
        <v>48.3</v>
      </c>
      <c r="E415" s="253" t="s">
        <v>1588</v>
      </c>
      <c r="F415" s="253" t="s">
        <v>811</v>
      </c>
      <c r="G415" s="253">
        <v>25.444299999999998</v>
      </c>
    </row>
    <row r="416" spans="2:7" x14ac:dyDescent="0.2">
      <c r="B416" s="253">
        <v>51011</v>
      </c>
      <c r="C416" s="253" t="s">
        <v>810</v>
      </c>
      <c r="D416" s="253">
        <v>48.3</v>
      </c>
      <c r="E416" s="253" t="s">
        <v>1589</v>
      </c>
      <c r="F416" s="253" t="s">
        <v>805</v>
      </c>
      <c r="G416" s="253">
        <v>40.815199999999997</v>
      </c>
    </row>
    <row r="417" spans="2:7" x14ac:dyDescent="0.2">
      <c r="B417" s="253">
        <v>51011</v>
      </c>
      <c r="C417" s="253" t="s">
        <v>809</v>
      </c>
      <c r="D417" s="253">
        <v>48.3</v>
      </c>
      <c r="E417" s="253" t="s">
        <v>1589</v>
      </c>
      <c r="F417" s="253" t="s">
        <v>805</v>
      </c>
      <c r="G417" s="253">
        <v>39.991999999999997</v>
      </c>
    </row>
    <row r="418" spans="2:7" x14ac:dyDescent="0.2">
      <c r="B418" s="253">
        <v>51011</v>
      </c>
      <c r="C418" s="253" t="s">
        <v>808</v>
      </c>
      <c r="D418" s="253">
        <v>48.3</v>
      </c>
      <c r="E418" s="253" t="s">
        <v>1589</v>
      </c>
      <c r="F418" s="253" t="s">
        <v>805</v>
      </c>
      <c r="G418" s="253">
        <v>51.034599999999998</v>
      </c>
    </row>
    <row r="419" spans="2:7" x14ac:dyDescent="0.2">
      <c r="B419" s="253">
        <v>88133</v>
      </c>
      <c r="C419" s="253" t="s">
        <v>807</v>
      </c>
      <c r="D419" s="253">
        <v>48.3</v>
      </c>
      <c r="E419" s="253" t="s">
        <v>1590</v>
      </c>
      <c r="F419" s="253" t="s">
        <v>811</v>
      </c>
      <c r="G419" s="253">
        <v>13.302</v>
      </c>
    </row>
    <row r="420" spans="2:7" x14ac:dyDescent="0.2">
      <c r="B420" s="253">
        <v>88133</v>
      </c>
      <c r="C420" s="253" t="s">
        <v>804</v>
      </c>
      <c r="D420" s="253">
        <v>48.3</v>
      </c>
      <c r="E420" s="253" t="s">
        <v>1590</v>
      </c>
      <c r="F420" s="253" t="s">
        <v>811</v>
      </c>
      <c r="G420" s="253">
        <v>13.3186</v>
      </c>
    </row>
    <row r="421" spans="2:7" x14ac:dyDescent="0.2">
      <c r="B421" s="253">
        <v>62126</v>
      </c>
      <c r="C421" s="253" t="s">
        <v>826</v>
      </c>
      <c r="D421" s="253">
        <v>48.3</v>
      </c>
      <c r="E421" s="253" t="s">
        <v>1591</v>
      </c>
      <c r="F421" s="253" t="s">
        <v>845</v>
      </c>
      <c r="G421" s="253">
        <v>3.32E-2</v>
      </c>
    </row>
    <row r="422" spans="2:7" x14ac:dyDescent="0.2">
      <c r="B422" s="253">
        <v>62126</v>
      </c>
      <c r="C422" s="253" t="s">
        <v>823</v>
      </c>
      <c r="D422" s="253">
        <v>48.3</v>
      </c>
      <c r="E422" s="253" t="s">
        <v>1591</v>
      </c>
      <c r="F422" s="253" t="s">
        <v>845</v>
      </c>
      <c r="G422" s="253">
        <v>0.33339999999999997</v>
      </c>
    </row>
    <row r="423" spans="2:7" x14ac:dyDescent="0.2">
      <c r="B423" s="253">
        <v>62122</v>
      </c>
      <c r="C423" s="253" t="s">
        <v>807</v>
      </c>
      <c r="D423" s="253">
        <v>48.3</v>
      </c>
      <c r="E423" s="253" t="s">
        <v>1592</v>
      </c>
      <c r="F423" s="253" t="s">
        <v>845</v>
      </c>
      <c r="G423" s="253">
        <v>15.5097</v>
      </c>
    </row>
    <row r="424" spans="2:7" x14ac:dyDescent="0.2">
      <c r="B424" s="253">
        <v>62122</v>
      </c>
      <c r="C424" s="253" t="s">
        <v>804</v>
      </c>
      <c r="D424" s="253">
        <v>48.3</v>
      </c>
      <c r="E424" s="253" t="s">
        <v>1592</v>
      </c>
      <c r="F424" s="253" t="s">
        <v>845</v>
      </c>
      <c r="G424" s="253">
        <v>12.69</v>
      </c>
    </row>
    <row r="425" spans="2:7" x14ac:dyDescent="0.2">
      <c r="B425" s="253">
        <v>63118</v>
      </c>
      <c r="C425" s="253" t="s">
        <v>807</v>
      </c>
      <c r="D425" s="253">
        <v>48.3</v>
      </c>
      <c r="E425" s="253" t="s">
        <v>1593</v>
      </c>
      <c r="F425" s="253" t="s">
        <v>834</v>
      </c>
      <c r="G425" s="253">
        <v>22.1845</v>
      </c>
    </row>
    <row r="426" spans="2:7" x14ac:dyDescent="0.2">
      <c r="B426" s="253">
        <v>63118</v>
      </c>
      <c r="C426" s="253" t="s">
        <v>804</v>
      </c>
      <c r="D426" s="253">
        <v>48.3</v>
      </c>
      <c r="E426" s="253" t="s">
        <v>1593</v>
      </c>
      <c r="F426" s="253" t="s">
        <v>834</v>
      </c>
      <c r="G426" s="253">
        <v>19.1557</v>
      </c>
    </row>
    <row r="427" spans="2:7" x14ac:dyDescent="0.2">
      <c r="B427" s="253">
        <v>62111</v>
      </c>
      <c r="C427" s="253" t="s">
        <v>807</v>
      </c>
      <c r="D427" s="253">
        <v>48.3</v>
      </c>
      <c r="E427" s="253" t="s">
        <v>1594</v>
      </c>
      <c r="F427" s="253" t="s">
        <v>845</v>
      </c>
      <c r="G427" s="253">
        <v>14.825200000000001</v>
      </c>
    </row>
    <row r="428" spans="2:7" x14ac:dyDescent="0.2">
      <c r="B428" s="253">
        <v>62111</v>
      </c>
      <c r="C428" s="253" t="s">
        <v>804</v>
      </c>
      <c r="D428" s="253">
        <v>48.3</v>
      </c>
      <c r="E428" s="253" t="s">
        <v>1594</v>
      </c>
      <c r="F428" s="253" t="s">
        <v>845</v>
      </c>
      <c r="G428" s="253">
        <v>11.9238</v>
      </c>
    </row>
    <row r="429" spans="2:7" x14ac:dyDescent="0.2">
      <c r="B429" s="253">
        <v>62135</v>
      </c>
      <c r="C429" s="253" t="s">
        <v>807</v>
      </c>
      <c r="D429" s="253">
        <v>48.2</v>
      </c>
      <c r="E429" s="253" t="s">
        <v>1807</v>
      </c>
      <c r="F429" s="253" t="s">
        <v>845</v>
      </c>
      <c r="G429" s="253">
        <v>25.937200000000001</v>
      </c>
    </row>
    <row r="430" spans="2:7" x14ac:dyDescent="0.2">
      <c r="B430" s="253">
        <v>62135</v>
      </c>
      <c r="C430" s="253" t="s">
        <v>804</v>
      </c>
      <c r="D430" s="253">
        <v>48.2</v>
      </c>
      <c r="E430" s="253" t="s">
        <v>1807</v>
      </c>
      <c r="F430" s="253" t="s">
        <v>845</v>
      </c>
      <c r="G430" s="253">
        <v>27.458300000000001</v>
      </c>
    </row>
    <row r="431" spans="2:7" x14ac:dyDescent="0.2">
      <c r="B431" s="253">
        <v>51060</v>
      </c>
      <c r="C431" s="253" t="s">
        <v>807</v>
      </c>
      <c r="D431" s="253">
        <v>48.2</v>
      </c>
      <c r="E431" s="253" t="s">
        <v>1595</v>
      </c>
      <c r="F431" s="253" t="s">
        <v>805</v>
      </c>
      <c r="G431" s="253">
        <v>9.6270000000000007</v>
      </c>
    </row>
    <row r="432" spans="2:7" x14ac:dyDescent="0.2">
      <c r="B432" s="253">
        <v>51060</v>
      </c>
      <c r="C432" s="253" t="s">
        <v>804</v>
      </c>
      <c r="D432" s="253">
        <v>48.2</v>
      </c>
      <c r="E432" s="253" t="s">
        <v>1595</v>
      </c>
      <c r="F432" s="253" t="s">
        <v>805</v>
      </c>
      <c r="G432" s="253">
        <v>5.6238000000000001</v>
      </c>
    </row>
    <row r="433" spans="2:7" x14ac:dyDescent="0.2">
      <c r="B433" s="253">
        <v>96152</v>
      </c>
      <c r="C433" s="253" t="s">
        <v>809</v>
      </c>
      <c r="D433" s="253">
        <v>48.2</v>
      </c>
      <c r="E433" s="253" t="s">
        <v>1596</v>
      </c>
      <c r="F433" s="253" t="s">
        <v>830</v>
      </c>
      <c r="G433" s="253">
        <v>31.603400000000001</v>
      </c>
    </row>
    <row r="434" spans="2:7" x14ac:dyDescent="0.2">
      <c r="B434" s="253">
        <v>96152</v>
      </c>
      <c r="C434" s="253" t="s">
        <v>808</v>
      </c>
      <c r="D434" s="253">
        <v>48.2</v>
      </c>
      <c r="E434" s="253" t="s">
        <v>1596</v>
      </c>
      <c r="F434" s="253" t="s">
        <v>830</v>
      </c>
      <c r="G434" s="253">
        <v>31.955500000000001</v>
      </c>
    </row>
    <row r="435" spans="2:7" x14ac:dyDescent="0.2">
      <c r="B435" s="253">
        <v>96152</v>
      </c>
      <c r="C435" s="253" t="s">
        <v>807</v>
      </c>
      <c r="D435" s="253">
        <v>48.2</v>
      </c>
      <c r="E435" s="253" t="s">
        <v>1596</v>
      </c>
      <c r="F435" s="253" t="s">
        <v>830</v>
      </c>
      <c r="G435" s="253">
        <v>7.4691000000000001</v>
      </c>
    </row>
    <row r="436" spans="2:7" x14ac:dyDescent="0.2">
      <c r="B436" s="253">
        <v>96152</v>
      </c>
      <c r="C436" s="253" t="s">
        <v>804</v>
      </c>
      <c r="D436" s="253">
        <v>48.2</v>
      </c>
      <c r="E436" s="253" t="s">
        <v>1596</v>
      </c>
      <c r="F436" s="253" t="s">
        <v>830</v>
      </c>
      <c r="G436" s="253">
        <v>6.7225000000000001</v>
      </c>
    </row>
    <row r="437" spans="2:7" x14ac:dyDescent="0.2">
      <c r="B437" s="253">
        <v>96156</v>
      </c>
      <c r="C437" s="253" t="s">
        <v>809</v>
      </c>
      <c r="D437" s="253">
        <v>48.2</v>
      </c>
      <c r="E437" s="253" t="s">
        <v>1597</v>
      </c>
      <c r="F437" s="253" t="s">
        <v>830</v>
      </c>
      <c r="G437" s="253">
        <v>19.993400000000001</v>
      </c>
    </row>
    <row r="438" spans="2:7" x14ac:dyDescent="0.2">
      <c r="B438" s="253">
        <v>96156</v>
      </c>
      <c r="C438" s="253" t="s">
        <v>808</v>
      </c>
      <c r="D438" s="253">
        <v>48.2</v>
      </c>
      <c r="E438" s="253" t="s">
        <v>1597</v>
      </c>
      <c r="F438" s="253" t="s">
        <v>830</v>
      </c>
      <c r="G438" s="253">
        <v>0</v>
      </c>
    </row>
    <row r="439" spans="2:7" x14ac:dyDescent="0.2">
      <c r="B439" s="253">
        <v>96188</v>
      </c>
      <c r="C439" s="253" t="s">
        <v>809</v>
      </c>
      <c r="D439" s="253">
        <v>48.2</v>
      </c>
      <c r="E439" s="253" t="s">
        <v>1598</v>
      </c>
      <c r="F439" s="253" t="s">
        <v>830</v>
      </c>
      <c r="G439" s="253">
        <v>2.9615</v>
      </c>
    </row>
    <row r="440" spans="2:7" x14ac:dyDescent="0.2">
      <c r="B440" s="253">
        <v>96188</v>
      </c>
      <c r="C440" s="253" t="s">
        <v>808</v>
      </c>
      <c r="D440" s="253">
        <v>48.2</v>
      </c>
      <c r="E440" s="253" t="s">
        <v>1598</v>
      </c>
      <c r="F440" s="253" t="s">
        <v>830</v>
      </c>
      <c r="G440" s="253">
        <v>2.7751000000000001</v>
      </c>
    </row>
    <row r="441" spans="2:7" x14ac:dyDescent="0.2">
      <c r="B441" s="253">
        <v>96188</v>
      </c>
      <c r="C441" s="253" t="s">
        <v>807</v>
      </c>
      <c r="D441" s="253">
        <v>48.2</v>
      </c>
      <c r="E441" s="253" t="s">
        <v>1598</v>
      </c>
      <c r="F441" s="253" t="s">
        <v>830</v>
      </c>
      <c r="G441" s="253">
        <v>7.1501000000000001</v>
      </c>
    </row>
    <row r="442" spans="2:7" x14ac:dyDescent="0.2">
      <c r="B442" s="253">
        <v>96188</v>
      </c>
      <c r="C442" s="253" t="s">
        <v>804</v>
      </c>
      <c r="D442" s="253">
        <v>48.2</v>
      </c>
      <c r="E442" s="253" t="s">
        <v>1598</v>
      </c>
      <c r="F442" s="253" t="s">
        <v>830</v>
      </c>
      <c r="G442" s="253">
        <v>7.5716000000000001</v>
      </c>
    </row>
    <row r="443" spans="2:7" x14ac:dyDescent="0.2">
      <c r="B443" s="253">
        <v>51092</v>
      </c>
      <c r="C443" s="253" t="s">
        <v>807</v>
      </c>
      <c r="D443" s="253">
        <v>48.2</v>
      </c>
      <c r="E443" s="253" t="s">
        <v>1599</v>
      </c>
      <c r="F443" s="253" t="s">
        <v>811</v>
      </c>
      <c r="G443" s="253">
        <v>45.7483</v>
      </c>
    </row>
    <row r="444" spans="2:7" x14ac:dyDescent="0.2">
      <c r="B444" s="253">
        <v>51092</v>
      </c>
      <c r="C444" s="253" t="s">
        <v>804</v>
      </c>
      <c r="D444" s="253">
        <v>48.2</v>
      </c>
      <c r="E444" s="253" t="s">
        <v>1599</v>
      </c>
      <c r="F444" s="253" t="s">
        <v>811</v>
      </c>
      <c r="G444" s="253">
        <v>45.934699999999999</v>
      </c>
    </row>
    <row r="445" spans="2:7" x14ac:dyDescent="0.2">
      <c r="B445" s="253">
        <v>51054</v>
      </c>
      <c r="C445" s="253" t="s">
        <v>807</v>
      </c>
      <c r="D445" s="253">
        <v>48.2</v>
      </c>
      <c r="E445" s="253" t="s">
        <v>1600</v>
      </c>
      <c r="F445" s="253" t="s">
        <v>805</v>
      </c>
      <c r="G445" s="253">
        <v>12.1516</v>
      </c>
    </row>
    <row r="446" spans="2:7" x14ac:dyDescent="0.2">
      <c r="B446" s="253">
        <v>51054</v>
      </c>
      <c r="C446" s="253" t="s">
        <v>804</v>
      </c>
      <c r="D446" s="253">
        <v>48.2</v>
      </c>
      <c r="E446" s="253" t="s">
        <v>1600</v>
      </c>
      <c r="F446" s="253" t="s">
        <v>805</v>
      </c>
      <c r="G446" s="253">
        <v>8.4382999999999999</v>
      </c>
    </row>
    <row r="447" spans="2:7" x14ac:dyDescent="0.2">
      <c r="B447" s="253">
        <v>51053</v>
      </c>
      <c r="C447" s="253" t="s">
        <v>812</v>
      </c>
      <c r="D447" s="253">
        <v>48.2</v>
      </c>
      <c r="E447" s="253" t="s">
        <v>1601</v>
      </c>
      <c r="F447" s="253" t="s">
        <v>805</v>
      </c>
      <c r="G447" s="253">
        <v>33.675400000000003</v>
      </c>
    </row>
    <row r="448" spans="2:7" x14ac:dyDescent="0.2">
      <c r="B448" s="253">
        <v>51053</v>
      </c>
      <c r="C448" s="253" t="s">
        <v>810</v>
      </c>
      <c r="D448" s="253">
        <v>48.2</v>
      </c>
      <c r="E448" s="253" t="s">
        <v>1601</v>
      </c>
      <c r="F448" s="253" t="s">
        <v>805</v>
      </c>
      <c r="G448" s="253">
        <v>34.000599999999999</v>
      </c>
    </row>
    <row r="449" spans="2:7" x14ac:dyDescent="0.2">
      <c r="B449" s="253">
        <v>51053</v>
      </c>
      <c r="C449" s="253" t="s">
        <v>807</v>
      </c>
      <c r="D449" s="253">
        <v>48.2</v>
      </c>
      <c r="E449" s="253" t="s">
        <v>1601</v>
      </c>
      <c r="F449" s="253" t="s">
        <v>805</v>
      </c>
      <c r="G449" s="253">
        <v>19.687899999999999</v>
      </c>
    </row>
    <row r="450" spans="2:7" x14ac:dyDescent="0.2">
      <c r="B450" s="253">
        <v>51053</v>
      </c>
      <c r="C450" s="253" t="s">
        <v>804</v>
      </c>
      <c r="D450" s="253">
        <v>48.2</v>
      </c>
      <c r="E450" s="253" t="s">
        <v>1601</v>
      </c>
      <c r="F450" s="253" t="s">
        <v>805</v>
      </c>
      <c r="G450" s="253">
        <v>0</v>
      </c>
    </row>
    <row r="451" spans="2:7" x14ac:dyDescent="0.2">
      <c r="B451" s="253">
        <v>88114</v>
      </c>
      <c r="C451" s="253" t="s">
        <v>807</v>
      </c>
      <c r="D451" s="253">
        <v>48.2</v>
      </c>
      <c r="E451" s="253" t="s">
        <v>1602</v>
      </c>
      <c r="F451" s="253" t="s">
        <v>811</v>
      </c>
      <c r="G451" s="253">
        <v>14.174899999999999</v>
      </c>
    </row>
    <row r="452" spans="2:7" x14ac:dyDescent="0.2">
      <c r="B452" s="253">
        <v>88114</v>
      </c>
      <c r="C452" s="253" t="s">
        <v>804</v>
      </c>
      <c r="D452" s="253">
        <v>48.2</v>
      </c>
      <c r="E452" s="253" t="s">
        <v>1602</v>
      </c>
      <c r="F452" s="253" t="s">
        <v>811</v>
      </c>
      <c r="G452" s="253">
        <v>14.174899999999999</v>
      </c>
    </row>
    <row r="453" spans="2:7" x14ac:dyDescent="0.2">
      <c r="B453" s="253">
        <v>97116</v>
      </c>
      <c r="C453" s="253" t="s">
        <v>809</v>
      </c>
      <c r="D453" s="253">
        <v>48.2</v>
      </c>
      <c r="E453" s="253" t="s">
        <v>1603</v>
      </c>
      <c r="F453" s="253" t="s">
        <v>817</v>
      </c>
      <c r="G453" s="253">
        <v>5.8112000000000004</v>
      </c>
    </row>
    <row r="454" spans="2:7" x14ac:dyDescent="0.2">
      <c r="B454" s="253">
        <v>97116</v>
      </c>
      <c r="C454" s="253" t="s">
        <v>808</v>
      </c>
      <c r="D454" s="253">
        <v>48.2</v>
      </c>
      <c r="E454" s="253" t="s">
        <v>1603</v>
      </c>
      <c r="F454" s="253" t="s">
        <v>817</v>
      </c>
      <c r="G454" s="253">
        <v>8.3232999999999997</v>
      </c>
    </row>
    <row r="455" spans="2:7" x14ac:dyDescent="0.2">
      <c r="B455" s="253">
        <v>97188</v>
      </c>
      <c r="C455" s="253" t="s">
        <v>809</v>
      </c>
      <c r="D455" s="253">
        <v>48.2</v>
      </c>
      <c r="E455" s="253" t="s">
        <v>1604</v>
      </c>
      <c r="F455" s="253" t="s">
        <v>817</v>
      </c>
      <c r="G455" s="253">
        <v>29.683599999999998</v>
      </c>
    </row>
    <row r="456" spans="2:7" x14ac:dyDescent="0.2">
      <c r="B456" s="253">
        <v>97188</v>
      </c>
      <c r="C456" s="253" t="s">
        <v>808</v>
      </c>
      <c r="D456" s="253">
        <v>48.2</v>
      </c>
      <c r="E456" s="253" t="s">
        <v>1604</v>
      </c>
      <c r="F456" s="253" t="s">
        <v>817</v>
      </c>
      <c r="G456" s="253">
        <v>30.555499999999999</v>
      </c>
    </row>
    <row r="457" spans="2:7" x14ac:dyDescent="0.2">
      <c r="B457" s="253">
        <v>97188</v>
      </c>
      <c r="C457" s="253" t="s">
        <v>807</v>
      </c>
      <c r="D457" s="253">
        <v>48.2</v>
      </c>
      <c r="E457" s="253" t="s">
        <v>1604</v>
      </c>
      <c r="F457" s="253" t="s">
        <v>817</v>
      </c>
      <c r="G457" s="253">
        <v>9.3102</v>
      </c>
    </row>
    <row r="458" spans="2:7" x14ac:dyDescent="0.2">
      <c r="B458" s="253">
        <v>97188</v>
      </c>
      <c r="C458" s="253" t="s">
        <v>804</v>
      </c>
      <c r="D458" s="253">
        <v>48.2</v>
      </c>
      <c r="E458" s="253" t="s">
        <v>1604</v>
      </c>
      <c r="F458" s="253" t="s">
        <v>817</v>
      </c>
      <c r="G458" s="253">
        <v>9.2790999999999997</v>
      </c>
    </row>
    <row r="459" spans="2:7" x14ac:dyDescent="0.2">
      <c r="B459" s="253">
        <v>97118</v>
      </c>
      <c r="C459" s="253" t="s">
        <v>807</v>
      </c>
      <c r="D459" s="253">
        <v>48.2</v>
      </c>
      <c r="E459" s="253" t="s">
        <v>1605</v>
      </c>
      <c r="F459" s="253" t="s">
        <v>817</v>
      </c>
      <c r="G459" s="253">
        <v>10.2514</v>
      </c>
    </row>
    <row r="460" spans="2:7" x14ac:dyDescent="0.2">
      <c r="B460" s="253">
        <v>97118</v>
      </c>
      <c r="C460" s="253" t="s">
        <v>804</v>
      </c>
      <c r="D460" s="253">
        <v>48.2</v>
      </c>
      <c r="E460" s="253" t="s">
        <v>1605</v>
      </c>
      <c r="F460" s="253" t="s">
        <v>817</v>
      </c>
      <c r="G460" s="253">
        <v>10.158200000000001</v>
      </c>
    </row>
    <row r="461" spans="2:7" x14ac:dyDescent="0.2">
      <c r="B461" s="253">
        <v>97198</v>
      </c>
      <c r="C461" s="253" t="s">
        <v>807</v>
      </c>
      <c r="D461" s="253">
        <v>48.2</v>
      </c>
      <c r="E461" s="253" t="s">
        <v>1606</v>
      </c>
      <c r="F461" s="253" t="s">
        <v>817</v>
      </c>
      <c r="G461" s="253">
        <v>29.205200000000001</v>
      </c>
    </row>
    <row r="462" spans="2:7" x14ac:dyDescent="0.2">
      <c r="B462" s="253">
        <v>97198</v>
      </c>
      <c r="C462" s="253" t="s">
        <v>804</v>
      </c>
      <c r="D462" s="253">
        <v>48.2</v>
      </c>
      <c r="E462" s="253" t="s">
        <v>1606</v>
      </c>
      <c r="F462" s="253" t="s">
        <v>817</v>
      </c>
      <c r="G462" s="253">
        <v>29.056100000000001</v>
      </c>
    </row>
    <row r="463" spans="2:7" x14ac:dyDescent="0.2">
      <c r="B463" s="253">
        <v>97111</v>
      </c>
      <c r="C463" s="253" t="s">
        <v>807</v>
      </c>
      <c r="D463" s="253">
        <v>48.2</v>
      </c>
      <c r="E463" s="253" t="s">
        <v>1607</v>
      </c>
      <c r="F463" s="253" t="s">
        <v>817</v>
      </c>
      <c r="G463" s="253">
        <v>4.4764999999999997</v>
      </c>
    </row>
    <row r="464" spans="2:7" x14ac:dyDescent="0.2">
      <c r="B464" s="253">
        <v>97111</v>
      </c>
      <c r="C464" s="253" t="s">
        <v>804</v>
      </c>
      <c r="D464" s="253">
        <v>48.2</v>
      </c>
      <c r="E464" s="253" t="s">
        <v>1607</v>
      </c>
      <c r="F464" s="253" t="s">
        <v>817</v>
      </c>
      <c r="G464" s="253">
        <v>4.3905000000000003</v>
      </c>
    </row>
    <row r="465" spans="2:7" x14ac:dyDescent="0.2">
      <c r="B465" s="253">
        <v>97149</v>
      </c>
      <c r="C465" s="253" t="s">
        <v>809</v>
      </c>
      <c r="D465" s="253">
        <v>48.2</v>
      </c>
      <c r="E465" s="253" t="s">
        <v>1608</v>
      </c>
      <c r="F465" s="253" t="s">
        <v>817</v>
      </c>
      <c r="G465" s="253">
        <v>10.1158</v>
      </c>
    </row>
    <row r="466" spans="2:7" x14ac:dyDescent="0.2">
      <c r="B466" s="253">
        <v>97149</v>
      </c>
      <c r="C466" s="253" t="s">
        <v>808</v>
      </c>
      <c r="D466" s="253">
        <v>48.2</v>
      </c>
      <c r="E466" s="253" t="s">
        <v>1608</v>
      </c>
      <c r="F466" s="253" t="s">
        <v>817</v>
      </c>
      <c r="G466" s="253">
        <v>6.3331</v>
      </c>
    </row>
    <row r="467" spans="2:7" x14ac:dyDescent="0.2">
      <c r="B467" s="253">
        <v>97149</v>
      </c>
      <c r="C467" s="253" t="s">
        <v>807</v>
      </c>
      <c r="D467" s="253">
        <v>48.2</v>
      </c>
      <c r="E467" s="253" t="s">
        <v>1608</v>
      </c>
      <c r="F467" s="253" t="s">
        <v>817</v>
      </c>
      <c r="G467" s="253">
        <v>10.852</v>
      </c>
    </row>
    <row r="468" spans="2:7" x14ac:dyDescent="0.2">
      <c r="B468" s="253">
        <v>97149</v>
      </c>
      <c r="C468" s="253" t="s">
        <v>804</v>
      </c>
      <c r="D468" s="253">
        <v>48.2</v>
      </c>
      <c r="E468" s="253" t="s">
        <v>1608</v>
      </c>
      <c r="F468" s="253" t="s">
        <v>817</v>
      </c>
      <c r="G468" s="253">
        <v>10.126099999999999</v>
      </c>
    </row>
    <row r="469" spans="2:7" x14ac:dyDescent="0.2">
      <c r="B469" s="253">
        <v>97131</v>
      </c>
      <c r="C469" s="253" t="s">
        <v>809</v>
      </c>
      <c r="D469" s="253">
        <v>48.2</v>
      </c>
      <c r="E469" s="253" t="s">
        <v>1609</v>
      </c>
      <c r="F469" s="253" t="s">
        <v>817</v>
      </c>
      <c r="G469" s="253">
        <v>6.8291000000000004</v>
      </c>
    </row>
    <row r="470" spans="2:7" x14ac:dyDescent="0.2">
      <c r="B470" s="253">
        <v>97131</v>
      </c>
      <c r="C470" s="253" t="s">
        <v>808</v>
      </c>
      <c r="D470" s="253">
        <v>48.2</v>
      </c>
      <c r="E470" s="253" t="s">
        <v>1609</v>
      </c>
      <c r="F470" s="253" t="s">
        <v>817</v>
      </c>
      <c r="G470" s="253">
        <v>6.8384</v>
      </c>
    </row>
    <row r="471" spans="2:7" x14ac:dyDescent="0.2">
      <c r="B471" s="253">
        <v>97131</v>
      </c>
      <c r="C471" s="253" t="s">
        <v>807</v>
      </c>
      <c r="D471" s="253">
        <v>48.2</v>
      </c>
      <c r="E471" s="253" t="s">
        <v>1609</v>
      </c>
      <c r="F471" s="253" t="s">
        <v>817</v>
      </c>
      <c r="G471" s="253">
        <v>3.8685999999999998</v>
      </c>
    </row>
    <row r="472" spans="2:7" x14ac:dyDescent="0.2">
      <c r="B472" s="253">
        <v>97131</v>
      </c>
      <c r="C472" s="253" t="s">
        <v>804</v>
      </c>
      <c r="D472" s="253">
        <v>48.2</v>
      </c>
      <c r="E472" s="253" t="s">
        <v>1609</v>
      </c>
      <c r="F472" s="253" t="s">
        <v>817</v>
      </c>
      <c r="G472" s="253">
        <v>2.8311000000000002</v>
      </c>
    </row>
    <row r="473" spans="2:7" x14ac:dyDescent="0.2">
      <c r="B473" s="253">
        <v>74133</v>
      </c>
      <c r="C473" s="253" t="s">
        <v>807</v>
      </c>
      <c r="D473" s="253">
        <v>48.2</v>
      </c>
      <c r="E473" s="253" t="s">
        <v>1610</v>
      </c>
      <c r="F473" s="253" t="s">
        <v>824</v>
      </c>
      <c r="G473" s="253">
        <v>13.741099999999999</v>
      </c>
    </row>
    <row r="474" spans="2:7" x14ac:dyDescent="0.2">
      <c r="B474" s="253">
        <v>74133</v>
      </c>
      <c r="C474" s="253" t="s">
        <v>804</v>
      </c>
      <c r="D474" s="253">
        <v>48.2</v>
      </c>
      <c r="E474" s="253" t="s">
        <v>1610</v>
      </c>
      <c r="F474" s="253" t="s">
        <v>824</v>
      </c>
      <c r="G474" s="253">
        <v>13.7514</v>
      </c>
    </row>
    <row r="475" spans="2:7" x14ac:dyDescent="0.2">
      <c r="B475" s="253">
        <v>97138</v>
      </c>
      <c r="C475" s="253" t="s">
        <v>807</v>
      </c>
      <c r="D475" s="253">
        <v>48.2</v>
      </c>
      <c r="E475" s="253" t="s">
        <v>1611</v>
      </c>
      <c r="F475" s="253" t="s">
        <v>817</v>
      </c>
      <c r="G475" s="253">
        <v>16.610399999999998</v>
      </c>
    </row>
    <row r="476" spans="2:7" x14ac:dyDescent="0.2">
      <c r="B476" s="253">
        <v>97138</v>
      </c>
      <c r="C476" s="253" t="s">
        <v>804</v>
      </c>
      <c r="D476" s="253">
        <v>48.2</v>
      </c>
      <c r="E476" s="253" t="s">
        <v>1611</v>
      </c>
      <c r="F476" s="253" t="s">
        <v>817</v>
      </c>
      <c r="G476" s="253">
        <v>11.3926</v>
      </c>
    </row>
    <row r="477" spans="2:7" x14ac:dyDescent="0.2">
      <c r="B477" s="253">
        <v>61137</v>
      </c>
      <c r="C477" s="253" t="s">
        <v>807</v>
      </c>
      <c r="D477" s="253">
        <v>48.1</v>
      </c>
      <c r="E477" s="253" t="s">
        <v>1531</v>
      </c>
      <c r="F477" s="253" t="s">
        <v>849</v>
      </c>
      <c r="G477" s="253">
        <v>11.7281</v>
      </c>
    </row>
    <row r="478" spans="2:7" x14ac:dyDescent="0.2">
      <c r="B478" s="253">
        <v>61137</v>
      </c>
      <c r="C478" s="253" t="s">
        <v>804</v>
      </c>
      <c r="D478" s="253">
        <v>48.1</v>
      </c>
      <c r="E478" s="253" t="s">
        <v>1531</v>
      </c>
      <c r="F478" s="253" t="s">
        <v>849</v>
      </c>
      <c r="G478" s="253">
        <v>12.037699999999999</v>
      </c>
    </row>
    <row r="479" spans="2:7" x14ac:dyDescent="0.2">
      <c r="B479" s="253">
        <v>63111</v>
      </c>
      <c r="C479" s="253" t="s">
        <v>809</v>
      </c>
      <c r="D479" s="253">
        <v>48.1</v>
      </c>
      <c r="E479" s="253" t="s">
        <v>1612</v>
      </c>
      <c r="F479" s="253" t="s">
        <v>834</v>
      </c>
      <c r="G479" s="253">
        <v>23.921099999999999</v>
      </c>
    </row>
    <row r="480" spans="2:7" x14ac:dyDescent="0.2">
      <c r="B480" s="253">
        <v>63111</v>
      </c>
      <c r="C480" s="253" t="s">
        <v>808</v>
      </c>
      <c r="D480" s="253">
        <v>48.1</v>
      </c>
      <c r="E480" s="253" t="s">
        <v>1612</v>
      </c>
      <c r="F480" s="253" t="s">
        <v>834</v>
      </c>
      <c r="G480" s="253">
        <v>23.8703</v>
      </c>
    </row>
    <row r="481" spans="2:7" x14ac:dyDescent="0.2">
      <c r="B481" s="253">
        <v>51085</v>
      </c>
      <c r="C481" s="253" t="s">
        <v>809</v>
      </c>
      <c r="D481" s="253">
        <v>48.1</v>
      </c>
      <c r="E481" s="253" t="s">
        <v>1613</v>
      </c>
      <c r="F481" s="253" t="s">
        <v>805</v>
      </c>
      <c r="G481" s="253">
        <v>28.47</v>
      </c>
    </row>
    <row r="482" spans="2:7" x14ac:dyDescent="0.2">
      <c r="B482" s="253">
        <v>51085</v>
      </c>
      <c r="C482" s="253" t="s">
        <v>808</v>
      </c>
      <c r="D482" s="253">
        <v>48.1</v>
      </c>
      <c r="E482" s="253" t="s">
        <v>1613</v>
      </c>
      <c r="F482" s="253" t="s">
        <v>805</v>
      </c>
      <c r="G482" s="253">
        <v>28.645</v>
      </c>
    </row>
    <row r="483" spans="2:7" x14ac:dyDescent="0.2">
      <c r="B483" s="253">
        <v>51075</v>
      </c>
      <c r="C483" s="253" t="s">
        <v>807</v>
      </c>
      <c r="D483" s="253">
        <v>48.1</v>
      </c>
      <c r="E483" s="253" t="s">
        <v>1614</v>
      </c>
      <c r="F483" s="253" t="s">
        <v>805</v>
      </c>
      <c r="G483" s="253">
        <v>28.530100000000001</v>
      </c>
    </row>
    <row r="484" spans="2:7" x14ac:dyDescent="0.2">
      <c r="B484" s="253">
        <v>51075</v>
      </c>
      <c r="C484" s="253" t="s">
        <v>804</v>
      </c>
      <c r="D484" s="253">
        <v>48.1</v>
      </c>
      <c r="E484" s="253" t="s">
        <v>1614</v>
      </c>
      <c r="F484" s="253" t="s">
        <v>805</v>
      </c>
      <c r="G484" s="253">
        <v>28.460699999999999</v>
      </c>
    </row>
    <row r="485" spans="2:7" x14ac:dyDescent="0.2">
      <c r="B485" s="253">
        <v>62131</v>
      </c>
      <c r="C485" s="253" t="s">
        <v>807</v>
      </c>
      <c r="D485" s="253">
        <v>48.1</v>
      </c>
      <c r="E485" s="253" t="s">
        <v>1615</v>
      </c>
      <c r="F485" s="253" t="s">
        <v>845</v>
      </c>
      <c r="G485" s="253">
        <v>48.166200000000003</v>
      </c>
    </row>
    <row r="486" spans="2:7" x14ac:dyDescent="0.2">
      <c r="B486" s="253">
        <v>62131</v>
      </c>
      <c r="C486" s="253" t="s">
        <v>804</v>
      </c>
      <c r="D486" s="253">
        <v>48.1</v>
      </c>
      <c r="E486" s="253" t="s">
        <v>1615</v>
      </c>
      <c r="F486" s="253" t="s">
        <v>845</v>
      </c>
      <c r="G486" s="253">
        <v>48.453000000000003</v>
      </c>
    </row>
    <row r="487" spans="2:7" x14ac:dyDescent="0.2">
      <c r="B487" s="253">
        <v>96133</v>
      </c>
      <c r="C487" s="253" t="s">
        <v>807</v>
      </c>
      <c r="D487" s="253">
        <v>48.1</v>
      </c>
      <c r="E487" s="253" t="s">
        <v>1616</v>
      </c>
      <c r="F487" s="253" t="s">
        <v>830</v>
      </c>
      <c r="G487" s="253">
        <v>10.801299999999999</v>
      </c>
    </row>
    <row r="488" spans="2:7" x14ac:dyDescent="0.2">
      <c r="B488" s="253">
        <v>96133</v>
      </c>
      <c r="C488" s="253" t="s">
        <v>804</v>
      </c>
      <c r="D488" s="253">
        <v>48.1</v>
      </c>
      <c r="E488" s="253" t="s">
        <v>1616</v>
      </c>
      <c r="F488" s="253" t="s">
        <v>830</v>
      </c>
      <c r="G488" s="253">
        <v>11.5406</v>
      </c>
    </row>
    <row r="489" spans="2:7" x14ac:dyDescent="0.2">
      <c r="B489" s="253">
        <v>96194</v>
      </c>
      <c r="C489" s="253" t="s">
        <v>971</v>
      </c>
      <c r="D489" s="253">
        <v>48.1</v>
      </c>
      <c r="E489" s="253" t="s">
        <v>1617</v>
      </c>
      <c r="F489" s="253" t="s">
        <v>830</v>
      </c>
      <c r="G489" s="253">
        <v>0</v>
      </c>
    </row>
    <row r="490" spans="2:7" x14ac:dyDescent="0.2">
      <c r="B490" s="253">
        <v>96194</v>
      </c>
      <c r="C490" s="253" t="s">
        <v>827</v>
      </c>
      <c r="D490" s="253">
        <v>48.1</v>
      </c>
      <c r="E490" s="253" t="s">
        <v>1617</v>
      </c>
      <c r="F490" s="253" t="s">
        <v>830</v>
      </c>
      <c r="G490" s="253">
        <v>10.868600000000001</v>
      </c>
    </row>
    <row r="491" spans="2:7" x14ac:dyDescent="0.2">
      <c r="B491" s="253">
        <v>96194</v>
      </c>
      <c r="C491" s="253" t="s">
        <v>826</v>
      </c>
      <c r="D491" s="253">
        <v>48.1</v>
      </c>
      <c r="E491" s="253" t="s">
        <v>1617</v>
      </c>
      <c r="F491" s="253" t="s">
        <v>830</v>
      </c>
      <c r="G491" s="253">
        <v>10.7143</v>
      </c>
    </row>
    <row r="492" spans="2:7" x14ac:dyDescent="0.2">
      <c r="B492" s="253">
        <v>96194</v>
      </c>
      <c r="C492" s="253" t="s">
        <v>823</v>
      </c>
      <c r="D492" s="253">
        <v>48.1</v>
      </c>
      <c r="E492" s="253" t="s">
        <v>1617</v>
      </c>
      <c r="F492" s="253" t="s">
        <v>830</v>
      </c>
      <c r="G492" s="253">
        <v>0.1118</v>
      </c>
    </row>
    <row r="493" spans="2:7" x14ac:dyDescent="0.2">
      <c r="B493" s="253">
        <v>97142</v>
      </c>
      <c r="C493" s="253" t="s">
        <v>807</v>
      </c>
      <c r="D493" s="253">
        <v>48.1</v>
      </c>
      <c r="E493" s="253" t="s">
        <v>1618</v>
      </c>
      <c r="F493" s="253" t="s">
        <v>817</v>
      </c>
      <c r="G493" s="253">
        <v>14.6927</v>
      </c>
    </row>
    <row r="494" spans="2:7" x14ac:dyDescent="0.2">
      <c r="B494" s="253">
        <v>97142</v>
      </c>
      <c r="C494" s="253" t="s">
        <v>804</v>
      </c>
      <c r="D494" s="253">
        <v>48.1</v>
      </c>
      <c r="E494" s="253" t="s">
        <v>1618</v>
      </c>
      <c r="F494" s="253" t="s">
        <v>817</v>
      </c>
      <c r="G494" s="253">
        <v>14.6927</v>
      </c>
    </row>
    <row r="495" spans="2:7" x14ac:dyDescent="0.2">
      <c r="B495" s="253">
        <v>97152</v>
      </c>
      <c r="C495" s="253" t="s">
        <v>807</v>
      </c>
      <c r="D495" s="253">
        <v>48.1</v>
      </c>
      <c r="E495" s="253" t="s">
        <v>1619</v>
      </c>
      <c r="F495" s="253" t="s">
        <v>817</v>
      </c>
      <c r="G495" s="253">
        <v>5.2778999999999998</v>
      </c>
    </row>
    <row r="496" spans="2:7" x14ac:dyDescent="0.2">
      <c r="B496" s="253">
        <v>97152</v>
      </c>
      <c r="C496" s="253" t="s">
        <v>804</v>
      </c>
      <c r="D496" s="253">
        <v>48.1</v>
      </c>
      <c r="E496" s="253" t="s">
        <v>1619</v>
      </c>
      <c r="F496" s="253" t="s">
        <v>817</v>
      </c>
      <c r="G496" s="253">
        <v>5.2914000000000003</v>
      </c>
    </row>
    <row r="497" spans="2:7" x14ac:dyDescent="0.2">
      <c r="B497" s="253">
        <v>97146</v>
      </c>
      <c r="C497" s="253" t="s">
        <v>809</v>
      </c>
      <c r="D497" s="253">
        <v>48.1</v>
      </c>
      <c r="E497" s="253" t="s">
        <v>1620</v>
      </c>
      <c r="F497" s="253" t="s">
        <v>817</v>
      </c>
      <c r="G497" s="253">
        <v>10.7537</v>
      </c>
    </row>
    <row r="498" spans="2:7" x14ac:dyDescent="0.2">
      <c r="B498" s="253">
        <v>97146</v>
      </c>
      <c r="C498" s="253" t="s">
        <v>808</v>
      </c>
      <c r="D498" s="253">
        <v>48.1</v>
      </c>
      <c r="E498" s="253" t="s">
        <v>1620</v>
      </c>
      <c r="F498" s="253" t="s">
        <v>817</v>
      </c>
      <c r="G498" s="253">
        <v>11.9062</v>
      </c>
    </row>
    <row r="499" spans="2:7" x14ac:dyDescent="0.2">
      <c r="B499" s="253">
        <v>97146</v>
      </c>
      <c r="C499" s="253" t="s">
        <v>807</v>
      </c>
      <c r="D499" s="253">
        <v>48.1</v>
      </c>
      <c r="E499" s="253" t="s">
        <v>1620</v>
      </c>
      <c r="F499" s="253" t="s">
        <v>817</v>
      </c>
      <c r="G499" s="253">
        <v>8.7022999999999993</v>
      </c>
    </row>
    <row r="500" spans="2:7" x14ac:dyDescent="0.2">
      <c r="B500" s="253">
        <v>97146</v>
      </c>
      <c r="C500" s="253" t="s">
        <v>804</v>
      </c>
      <c r="D500" s="253">
        <v>48.1</v>
      </c>
      <c r="E500" s="253" t="s">
        <v>1620</v>
      </c>
      <c r="F500" s="253" t="s">
        <v>817</v>
      </c>
      <c r="G500" s="253">
        <v>15.217700000000001</v>
      </c>
    </row>
    <row r="501" spans="2:7" x14ac:dyDescent="0.2">
      <c r="B501" s="253">
        <v>97103</v>
      </c>
      <c r="C501" s="253" t="s">
        <v>809</v>
      </c>
      <c r="D501" s="253">
        <v>48.1</v>
      </c>
      <c r="E501" s="253" t="s">
        <v>1621</v>
      </c>
      <c r="F501" s="253" t="s">
        <v>817</v>
      </c>
      <c r="G501" s="253">
        <v>9.5803999999999991</v>
      </c>
    </row>
    <row r="502" spans="2:7" x14ac:dyDescent="0.2">
      <c r="B502" s="253">
        <v>97103</v>
      </c>
      <c r="C502" s="253" t="s">
        <v>808</v>
      </c>
      <c r="D502" s="253">
        <v>48.1</v>
      </c>
      <c r="E502" s="253" t="s">
        <v>1621</v>
      </c>
      <c r="F502" s="253" t="s">
        <v>817</v>
      </c>
      <c r="G502" s="253">
        <v>9.6156000000000006</v>
      </c>
    </row>
    <row r="503" spans="2:7" x14ac:dyDescent="0.2">
      <c r="B503" s="253">
        <v>97104</v>
      </c>
      <c r="C503" s="253" t="s">
        <v>807</v>
      </c>
      <c r="D503" s="253">
        <v>48.1</v>
      </c>
      <c r="E503" s="253" t="s">
        <v>1622</v>
      </c>
      <c r="F503" s="253" t="s">
        <v>817</v>
      </c>
      <c r="G503" s="253">
        <v>3.9866999999999999</v>
      </c>
    </row>
    <row r="504" spans="2:7" x14ac:dyDescent="0.2">
      <c r="B504" s="253">
        <v>97104</v>
      </c>
      <c r="C504" s="253" t="s">
        <v>804</v>
      </c>
      <c r="D504" s="253">
        <v>48.1</v>
      </c>
      <c r="E504" s="253" t="s">
        <v>1622</v>
      </c>
      <c r="F504" s="253" t="s">
        <v>817</v>
      </c>
      <c r="G504" s="253">
        <v>4.0208000000000004</v>
      </c>
    </row>
    <row r="505" spans="2:7" x14ac:dyDescent="0.2">
      <c r="B505" s="253">
        <v>97120</v>
      </c>
      <c r="C505" s="253" t="s">
        <v>807</v>
      </c>
      <c r="D505" s="253">
        <v>48.1</v>
      </c>
      <c r="E505" s="253" t="s">
        <v>1623</v>
      </c>
      <c r="F505" s="253" t="s">
        <v>817</v>
      </c>
      <c r="G505" s="253">
        <v>16.16</v>
      </c>
    </row>
    <row r="506" spans="2:7" x14ac:dyDescent="0.2">
      <c r="B506" s="253">
        <v>97120</v>
      </c>
      <c r="C506" s="253" t="s">
        <v>804</v>
      </c>
      <c r="D506" s="253">
        <v>48.1</v>
      </c>
      <c r="E506" s="253" t="s">
        <v>1623</v>
      </c>
      <c r="F506" s="253" t="s">
        <v>817</v>
      </c>
      <c r="G506" s="253">
        <v>6.8032000000000004</v>
      </c>
    </row>
    <row r="507" spans="2:7" x14ac:dyDescent="0.2">
      <c r="B507" s="253">
        <v>97125</v>
      </c>
      <c r="C507" s="253" t="s">
        <v>809</v>
      </c>
      <c r="D507" s="253">
        <v>48.1</v>
      </c>
      <c r="E507" s="253" t="s">
        <v>1624</v>
      </c>
      <c r="F507" s="253" t="s">
        <v>817</v>
      </c>
      <c r="G507" s="253">
        <v>4.5106000000000002</v>
      </c>
    </row>
    <row r="508" spans="2:7" x14ac:dyDescent="0.2">
      <c r="B508" s="253">
        <v>97125</v>
      </c>
      <c r="C508" s="253" t="s">
        <v>808</v>
      </c>
      <c r="D508" s="253">
        <v>48.1</v>
      </c>
      <c r="E508" s="253" t="s">
        <v>1624</v>
      </c>
      <c r="F508" s="253" t="s">
        <v>817</v>
      </c>
      <c r="G508" s="253">
        <v>4.5012999999999996</v>
      </c>
    </row>
  </sheetData>
  <autoFilter ref="B3:G508" xr:uid="{8705DD68-0249-45A1-AA24-8A12AA16C4CF}"/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2CC8-17A9-43AF-A90C-4A843C8AB1AB}">
  <dimension ref="A1:AH1267"/>
  <sheetViews>
    <sheetView topLeftCell="A277" zoomScale="90" zoomScaleNormal="90" workbookViewId="0">
      <selection activeCell="G300" sqref="G300"/>
    </sheetView>
  </sheetViews>
  <sheetFormatPr defaultRowHeight="15" x14ac:dyDescent="0.25"/>
  <cols>
    <col min="1" max="1" width="23.625" style="5" customWidth="1"/>
    <col min="2" max="2" width="20" style="5" customWidth="1"/>
    <col min="3" max="4" width="15" style="59" customWidth="1"/>
    <col min="5" max="5" width="23.625" style="5" customWidth="1"/>
    <col min="6" max="6" width="23.625" customWidth="1"/>
    <col min="7" max="7" width="23.625" style="5" customWidth="1"/>
    <col min="10" max="10" width="8.875" customWidth="1"/>
    <col min="11" max="11" width="9.625" bestFit="1" customWidth="1"/>
    <col min="13" max="13" width="11.625" bestFit="1" customWidth="1"/>
    <col min="14" max="14" width="11.625" customWidth="1"/>
    <col min="15" max="15" width="10.5" bestFit="1" customWidth="1"/>
    <col min="16" max="16" width="10.5" customWidth="1"/>
    <col min="18" max="18" width="10.5" bestFit="1" customWidth="1"/>
    <col min="19" max="19" width="18.125" bestFit="1" customWidth="1"/>
    <col min="21" max="21" width="9.5" bestFit="1" customWidth="1"/>
    <col min="23" max="23" width="11.375" bestFit="1" customWidth="1"/>
    <col min="24" max="24" width="9.375" bestFit="1" customWidth="1"/>
    <col min="26" max="26" width="19.5" bestFit="1" customWidth="1"/>
    <col min="27" max="27" width="3.5" bestFit="1" customWidth="1"/>
    <col min="28" max="28" width="9.5" bestFit="1" customWidth="1"/>
    <col min="30" max="30" width="11.375" bestFit="1" customWidth="1"/>
    <col min="31" max="31" width="8" bestFit="1" customWidth="1"/>
    <col min="32" max="32" width="7" bestFit="1" customWidth="1"/>
    <col min="34" max="34" width="11.625" bestFit="1" customWidth="1"/>
  </cols>
  <sheetData>
    <row r="1" spans="1:34" thickBot="1" x14ac:dyDescent="0.25">
      <c r="A1"/>
      <c r="B1"/>
      <c r="C1"/>
      <c r="D1"/>
      <c r="E1"/>
      <c r="G1"/>
    </row>
    <row r="2" spans="1:34" ht="32.25" thickBot="1" x14ac:dyDescent="0.25">
      <c r="A2" s="116" t="s">
        <v>2</v>
      </c>
      <c r="B2" s="116" t="s">
        <v>3</v>
      </c>
      <c r="C2" s="117" t="s">
        <v>255</v>
      </c>
      <c r="D2" s="117" t="s">
        <v>792</v>
      </c>
      <c r="E2" s="118" t="s">
        <v>282</v>
      </c>
      <c r="G2"/>
      <c r="H2" s="296" t="s">
        <v>1625</v>
      </c>
      <c r="I2" s="296"/>
      <c r="J2" s="296"/>
      <c r="K2" s="296"/>
      <c r="L2" s="296"/>
      <c r="M2" s="296"/>
      <c r="N2" s="247"/>
      <c r="O2" s="248" t="s">
        <v>1627</v>
      </c>
      <c r="P2" s="248"/>
      <c r="R2" s="295" t="s">
        <v>1626</v>
      </c>
      <c r="S2" s="295"/>
      <c r="T2" s="295"/>
      <c r="U2" s="295"/>
      <c r="V2" s="295"/>
      <c r="W2" s="295"/>
      <c r="X2" s="295"/>
      <c r="Z2" s="295" t="s">
        <v>3145</v>
      </c>
      <c r="AA2" s="295"/>
      <c r="AB2" s="295"/>
      <c r="AC2" s="295"/>
      <c r="AD2" s="295"/>
      <c r="AE2" s="295"/>
      <c r="AF2" s="295"/>
    </row>
    <row r="3" spans="1:34" x14ac:dyDescent="0.25">
      <c r="A3" s="22" t="s">
        <v>94</v>
      </c>
      <c r="B3" s="17" t="s">
        <v>99</v>
      </c>
      <c r="C3" s="72">
        <v>21.3659</v>
      </c>
      <c r="D3" s="72"/>
      <c r="E3" s="241" t="s">
        <v>294</v>
      </c>
      <c r="G3" s="244"/>
      <c r="H3">
        <f t="shared" ref="H3:H66" si="0">VLOOKUP(AH3,$AD$3:$AF$1300,3,FALSE)</f>
        <v>97178</v>
      </c>
      <c r="I3" t="s">
        <v>807</v>
      </c>
      <c r="J3">
        <v>49.2</v>
      </c>
      <c r="K3" t="s">
        <v>1415</v>
      </c>
      <c r="M3" t="str">
        <f>K3&amp;I3</f>
        <v>CBRU132T2</v>
      </c>
      <c r="N3" t="str">
        <f>VLOOKUP(H3,'TNB Load'!$A$2:$F$1448,6,FALSE)</f>
        <v>JOHOR</v>
      </c>
      <c r="O3">
        <f>VLOOKUP(M3,$W$3:$X$1300,2,FALSE)</f>
        <v>8.9519000000000002</v>
      </c>
      <c r="R3">
        <v>63177</v>
      </c>
      <c r="S3" t="s">
        <v>847</v>
      </c>
      <c r="T3" t="s">
        <v>848</v>
      </c>
      <c r="U3" t="str">
        <f>LEFT(S3,7)</f>
        <v>AYTH132</v>
      </c>
      <c r="W3" t="str">
        <f>U3&amp;T3</f>
        <v>AYTH132T7</v>
      </c>
      <c r="X3">
        <v>11.6897</v>
      </c>
      <c r="Z3" t="s">
        <v>847</v>
      </c>
      <c r="AA3" t="s">
        <v>848</v>
      </c>
      <c r="AB3" t="s">
        <v>1629</v>
      </c>
      <c r="AD3" t="s">
        <v>1630</v>
      </c>
      <c r="AE3">
        <v>11.6897</v>
      </c>
      <c r="AF3">
        <v>63177</v>
      </c>
      <c r="AH3" t="s">
        <v>2614</v>
      </c>
    </row>
    <row r="4" spans="1:34" x14ac:dyDescent="0.25">
      <c r="A4" s="22" t="s">
        <v>94</v>
      </c>
      <c r="B4" s="17" t="s">
        <v>99</v>
      </c>
      <c r="C4" s="72">
        <v>21.878900000000002</v>
      </c>
      <c r="D4" s="72"/>
      <c r="E4" s="241" t="s">
        <v>321</v>
      </c>
      <c r="G4" s="244"/>
      <c r="H4">
        <f t="shared" si="0"/>
        <v>97178</v>
      </c>
      <c r="I4" t="s">
        <v>804</v>
      </c>
      <c r="J4">
        <v>49.2</v>
      </c>
      <c r="K4" t="s">
        <v>1415</v>
      </c>
      <c r="M4" t="str">
        <f t="shared" ref="M4:M67" si="1">K4&amp;I4</f>
        <v>CBRU132T1</v>
      </c>
      <c r="N4" t="str">
        <f>VLOOKUP(H4,'TNB Load'!$A$2:$F$1448,6,FALSE)</f>
        <v>JOHOR</v>
      </c>
      <c r="O4">
        <f t="shared" ref="O4:O67" si="2">VLOOKUP(M4,$W$3:$X$1300,2,FALSE)</f>
        <v>8.9870999999999999</v>
      </c>
      <c r="R4">
        <v>61123</v>
      </c>
      <c r="S4" t="s">
        <v>882</v>
      </c>
      <c r="T4" t="s">
        <v>804</v>
      </c>
      <c r="U4" t="str">
        <f t="shared" ref="U4:U67" si="3">LEFT(S4,7)</f>
        <v>BKRS132</v>
      </c>
      <c r="W4" t="str">
        <f t="shared" ref="W4:W67" si="4">U4&amp;T4</f>
        <v>BKRS132T1</v>
      </c>
      <c r="X4">
        <v>21.289899999999999</v>
      </c>
      <c r="Z4" t="s">
        <v>882</v>
      </c>
      <c r="AA4" t="s">
        <v>804</v>
      </c>
      <c r="AB4" t="s">
        <v>1631</v>
      </c>
      <c r="AD4" t="s">
        <v>1632</v>
      </c>
      <c r="AE4">
        <v>21.289899999999999</v>
      </c>
      <c r="AF4">
        <v>61123</v>
      </c>
      <c r="AH4" t="s">
        <v>2613</v>
      </c>
    </row>
    <row r="5" spans="1:34" x14ac:dyDescent="0.25">
      <c r="A5" s="23" t="s">
        <v>95</v>
      </c>
      <c r="B5" s="26" t="s">
        <v>99</v>
      </c>
      <c r="C5" s="72">
        <v>64.076800000000006</v>
      </c>
      <c r="D5" s="72"/>
      <c r="E5" s="241" t="s">
        <v>306</v>
      </c>
      <c r="G5" s="244"/>
      <c r="H5">
        <f t="shared" si="0"/>
        <v>97153</v>
      </c>
      <c r="I5" t="s">
        <v>807</v>
      </c>
      <c r="J5">
        <v>49.2</v>
      </c>
      <c r="K5" t="s">
        <v>1416</v>
      </c>
      <c r="M5" t="str">
        <f t="shared" si="1"/>
        <v>PGDT132T2</v>
      </c>
      <c r="N5" t="str">
        <f>VLOOKUP(H5,'TNB Load'!$A$2:$F$1448,6,FALSE)</f>
        <v>JOHOR</v>
      </c>
      <c r="O5">
        <f t="shared" si="2"/>
        <v>10.1427</v>
      </c>
      <c r="R5">
        <v>61123</v>
      </c>
      <c r="S5" t="s">
        <v>882</v>
      </c>
      <c r="T5" t="s">
        <v>807</v>
      </c>
      <c r="U5" t="str">
        <f t="shared" si="3"/>
        <v>BKRS132</v>
      </c>
      <c r="W5" t="str">
        <f t="shared" si="4"/>
        <v>BKRS132T2</v>
      </c>
      <c r="X5">
        <v>21.207000000000001</v>
      </c>
      <c r="Z5" t="s">
        <v>882</v>
      </c>
      <c r="AA5" t="s">
        <v>807</v>
      </c>
      <c r="AB5" t="s">
        <v>1631</v>
      </c>
      <c r="AD5" t="s">
        <v>1633</v>
      </c>
      <c r="AE5">
        <v>21.207000000000001</v>
      </c>
      <c r="AF5">
        <v>61123</v>
      </c>
      <c r="AH5" t="s">
        <v>2708</v>
      </c>
    </row>
    <row r="6" spans="1:34" x14ac:dyDescent="0.25">
      <c r="A6" s="195" t="s">
        <v>95</v>
      </c>
      <c r="B6" s="193" t="s">
        <v>99</v>
      </c>
      <c r="C6" s="197">
        <v>41.546100000000003</v>
      </c>
      <c r="D6" s="197"/>
      <c r="E6" s="198" t="s">
        <v>295</v>
      </c>
      <c r="G6" s="244"/>
      <c r="H6">
        <f t="shared" si="0"/>
        <v>97153</v>
      </c>
      <c r="I6" t="s">
        <v>804</v>
      </c>
      <c r="J6">
        <v>49.2</v>
      </c>
      <c r="K6" t="s">
        <v>1416</v>
      </c>
      <c r="M6" t="str">
        <f t="shared" si="1"/>
        <v>PGDT132T1</v>
      </c>
      <c r="N6" t="str">
        <f>VLOOKUP(H6,'TNB Load'!$A$2:$F$1448,6,FALSE)</f>
        <v>JOHOR</v>
      </c>
      <c r="O6">
        <f t="shared" si="2"/>
        <v>2.4872999999999998</v>
      </c>
      <c r="R6">
        <v>51089</v>
      </c>
      <c r="S6" t="s">
        <v>923</v>
      </c>
      <c r="T6" t="s">
        <v>804</v>
      </c>
      <c r="U6" t="str">
        <f t="shared" si="3"/>
        <v>CBJC132</v>
      </c>
      <c r="W6" t="str">
        <f t="shared" si="4"/>
        <v>CBJC132T1</v>
      </c>
      <c r="X6">
        <v>27.656099999999999</v>
      </c>
      <c r="Z6" t="s">
        <v>923</v>
      </c>
      <c r="AA6" t="s">
        <v>804</v>
      </c>
      <c r="AB6" t="s">
        <v>1634</v>
      </c>
      <c r="AD6" t="s">
        <v>1635</v>
      </c>
      <c r="AE6">
        <v>27.656099999999999</v>
      </c>
      <c r="AF6">
        <v>51089</v>
      </c>
      <c r="AH6" t="s">
        <v>2707</v>
      </c>
    </row>
    <row r="7" spans="1:34" x14ac:dyDescent="0.25">
      <c r="A7" s="22" t="s">
        <v>95</v>
      </c>
      <c r="B7" s="17" t="s">
        <v>100</v>
      </c>
      <c r="C7" s="72">
        <v>18.5562</v>
      </c>
      <c r="D7" s="72"/>
      <c r="E7" s="241" t="s">
        <v>296</v>
      </c>
      <c r="G7" s="244"/>
      <c r="H7">
        <f t="shared" si="0"/>
        <v>97192</v>
      </c>
      <c r="I7" t="s">
        <v>807</v>
      </c>
      <c r="J7">
        <v>49.2</v>
      </c>
      <c r="K7" t="s">
        <v>1417</v>
      </c>
      <c r="M7" t="str">
        <f t="shared" si="1"/>
        <v>TMPI132T2</v>
      </c>
      <c r="N7" t="str">
        <f>VLOOKUP(H7,'TNB Load'!$A$2:$F$1448,6,FALSE)</f>
        <v>JOHOR</v>
      </c>
      <c r="O7">
        <f t="shared" si="2"/>
        <v>27.913900000000002</v>
      </c>
      <c r="R7">
        <v>96176</v>
      </c>
      <c r="S7" t="s">
        <v>934</v>
      </c>
      <c r="T7" t="s">
        <v>808</v>
      </c>
      <c r="U7" t="str">
        <f t="shared" si="3"/>
        <v>CMBG132</v>
      </c>
      <c r="W7" t="str">
        <f t="shared" si="4"/>
        <v>CMBG132T3</v>
      </c>
      <c r="X7">
        <v>18.462900000000001</v>
      </c>
      <c r="Z7" t="s">
        <v>934</v>
      </c>
      <c r="AA7" t="s">
        <v>808</v>
      </c>
      <c r="AB7" t="s">
        <v>1636</v>
      </c>
      <c r="AD7" t="s">
        <v>1637</v>
      </c>
      <c r="AE7">
        <v>18.462900000000001</v>
      </c>
      <c r="AF7">
        <v>96176</v>
      </c>
      <c r="AH7" t="s">
        <v>2861</v>
      </c>
    </row>
    <row r="8" spans="1:34" x14ac:dyDescent="0.25">
      <c r="A8" s="23" t="s">
        <v>95</v>
      </c>
      <c r="B8" s="17" t="s">
        <v>99</v>
      </c>
      <c r="C8" s="72">
        <v>15.386100000000001</v>
      </c>
      <c r="D8" s="72"/>
      <c r="E8" s="241" t="s">
        <v>312</v>
      </c>
      <c r="G8" s="244"/>
      <c r="H8">
        <f t="shared" si="0"/>
        <v>97192</v>
      </c>
      <c r="I8" t="s">
        <v>804</v>
      </c>
      <c r="J8">
        <v>49.2</v>
      </c>
      <c r="K8" t="s">
        <v>1417</v>
      </c>
      <c r="M8" t="str">
        <f t="shared" si="1"/>
        <v>TMPI132T1</v>
      </c>
      <c r="N8" t="str">
        <f>VLOOKUP(H8,'TNB Load'!$A$2:$F$1448,6,FALSE)</f>
        <v>JOHOR</v>
      </c>
      <c r="O8">
        <f t="shared" si="2"/>
        <v>29.0913</v>
      </c>
      <c r="R8">
        <v>61101</v>
      </c>
      <c r="S8" t="s">
        <v>936</v>
      </c>
      <c r="T8" t="s">
        <v>804</v>
      </c>
      <c r="U8" t="str">
        <f t="shared" si="3"/>
        <v>CPNG132</v>
      </c>
      <c r="W8" t="str">
        <f t="shared" si="4"/>
        <v>CPNG132T1</v>
      </c>
      <c r="X8">
        <v>5.7417999999999996</v>
      </c>
      <c r="Z8" t="s">
        <v>936</v>
      </c>
      <c r="AA8" t="s">
        <v>804</v>
      </c>
      <c r="AB8" t="s">
        <v>1638</v>
      </c>
      <c r="AD8" t="s">
        <v>1639</v>
      </c>
      <c r="AE8">
        <v>5.7417999999999996</v>
      </c>
      <c r="AF8">
        <v>61101</v>
      </c>
      <c r="AH8" t="s">
        <v>2860</v>
      </c>
    </row>
    <row r="9" spans="1:34" x14ac:dyDescent="0.25">
      <c r="A9" s="23" t="s">
        <v>95</v>
      </c>
      <c r="B9" s="17" t="s">
        <v>99</v>
      </c>
      <c r="C9" s="72">
        <v>36.419699999999999</v>
      </c>
      <c r="D9" s="72"/>
      <c r="E9" s="241" t="s">
        <v>297</v>
      </c>
      <c r="G9" s="244"/>
      <c r="H9">
        <f t="shared" si="0"/>
        <v>62128</v>
      </c>
      <c r="I9" t="s">
        <v>807</v>
      </c>
      <c r="J9">
        <v>49.2</v>
      </c>
      <c r="K9" t="s">
        <v>1418</v>
      </c>
      <c r="M9" t="str">
        <f t="shared" si="1"/>
        <v>SARA132T2</v>
      </c>
      <c r="N9" t="str">
        <f>VLOOKUP(H9,'TNB Load'!$A$2:$F$1448,6,FALSE)</f>
        <v>P PINANG</v>
      </c>
      <c r="O9">
        <f t="shared" si="2"/>
        <v>35.717399999999998</v>
      </c>
      <c r="R9">
        <v>61101</v>
      </c>
      <c r="S9" t="s">
        <v>936</v>
      </c>
      <c r="T9" t="s">
        <v>807</v>
      </c>
      <c r="U9" t="str">
        <f t="shared" si="3"/>
        <v>CPNG132</v>
      </c>
      <c r="W9" t="str">
        <f t="shared" si="4"/>
        <v>CPNG132T2</v>
      </c>
      <c r="X9">
        <v>5.7594000000000003</v>
      </c>
      <c r="Z9" t="s">
        <v>936</v>
      </c>
      <c r="AA9" t="s">
        <v>807</v>
      </c>
      <c r="AB9" t="s">
        <v>1638</v>
      </c>
      <c r="AD9" t="s">
        <v>1640</v>
      </c>
      <c r="AE9">
        <v>5.7594000000000003</v>
      </c>
      <c r="AF9">
        <v>61101</v>
      </c>
      <c r="AH9" t="s">
        <v>1793</v>
      </c>
    </row>
    <row r="10" spans="1:34" x14ac:dyDescent="0.25">
      <c r="A10" s="195" t="s">
        <v>96</v>
      </c>
      <c r="B10" s="193" t="s">
        <v>105</v>
      </c>
      <c r="C10" s="197">
        <v>20.223299999999998</v>
      </c>
      <c r="D10" s="197"/>
      <c r="E10" s="198" t="s">
        <v>298</v>
      </c>
      <c r="G10" s="244"/>
      <c r="H10">
        <f t="shared" si="0"/>
        <v>62128</v>
      </c>
      <c r="I10" t="s">
        <v>804</v>
      </c>
      <c r="J10">
        <v>49.2</v>
      </c>
      <c r="K10" t="s">
        <v>1418</v>
      </c>
      <c r="M10" t="str">
        <f t="shared" si="1"/>
        <v>SARA132T1</v>
      </c>
      <c r="N10" t="str">
        <f>VLOOKUP(H10,'TNB Load'!$A$2:$F$1448,6,FALSE)</f>
        <v>P PINANG</v>
      </c>
      <c r="O10">
        <f t="shared" si="2"/>
        <v>35.607700000000001</v>
      </c>
      <c r="R10">
        <v>61137</v>
      </c>
      <c r="S10" t="s">
        <v>1037</v>
      </c>
      <c r="T10" t="s">
        <v>804</v>
      </c>
      <c r="U10" t="str">
        <f t="shared" si="3"/>
        <v>KGAR132</v>
      </c>
      <c r="W10" t="str">
        <f t="shared" si="4"/>
        <v>KGAR132T1</v>
      </c>
      <c r="X10">
        <v>12.037699999999999</v>
      </c>
      <c r="Z10" t="s">
        <v>1037</v>
      </c>
      <c r="AA10" t="s">
        <v>804</v>
      </c>
      <c r="AB10" t="s">
        <v>1531</v>
      </c>
      <c r="AD10" t="s">
        <v>1641</v>
      </c>
      <c r="AE10">
        <v>12.037699999999999</v>
      </c>
      <c r="AF10">
        <v>61137</v>
      </c>
      <c r="AH10" t="s">
        <v>1792</v>
      </c>
    </row>
    <row r="11" spans="1:34" x14ac:dyDescent="0.25">
      <c r="A11" s="22" t="s">
        <v>96</v>
      </c>
      <c r="B11" s="17" t="s">
        <v>102</v>
      </c>
      <c r="C11" s="72">
        <v>21.537199999999999</v>
      </c>
      <c r="D11" s="72"/>
      <c r="E11" s="241" t="s">
        <v>299</v>
      </c>
      <c r="G11" s="244"/>
      <c r="H11">
        <f t="shared" si="0"/>
        <v>74115</v>
      </c>
      <c r="I11" t="s">
        <v>807</v>
      </c>
      <c r="J11">
        <v>49.2</v>
      </c>
      <c r="K11" t="s">
        <v>1419</v>
      </c>
      <c r="M11" t="str">
        <f t="shared" si="1"/>
        <v>PKNI132T2</v>
      </c>
      <c r="N11" t="str">
        <f>VLOOKUP(H11,'TNB Load'!$A$2:$F$1448,6,FALSE)</f>
        <v>PAHANG</v>
      </c>
      <c r="O11">
        <f t="shared" si="2"/>
        <v>6.3124000000000002</v>
      </c>
      <c r="R11">
        <v>61137</v>
      </c>
      <c r="S11" t="s">
        <v>1037</v>
      </c>
      <c r="T11" t="s">
        <v>807</v>
      </c>
      <c r="U11" t="str">
        <f t="shared" si="3"/>
        <v>KGAR132</v>
      </c>
      <c r="W11" t="str">
        <f t="shared" si="4"/>
        <v>KGAR132T2</v>
      </c>
      <c r="X11">
        <v>11.7281</v>
      </c>
      <c r="Z11" t="s">
        <v>1037</v>
      </c>
      <c r="AA11" t="s">
        <v>807</v>
      </c>
      <c r="AB11" t="s">
        <v>1531</v>
      </c>
      <c r="AD11" t="s">
        <v>1642</v>
      </c>
      <c r="AE11">
        <v>11.7281</v>
      </c>
      <c r="AF11">
        <v>61137</v>
      </c>
      <c r="AH11" t="s">
        <v>2965</v>
      </c>
    </row>
    <row r="12" spans="1:34" x14ac:dyDescent="0.25">
      <c r="A12" s="22" t="s">
        <v>97</v>
      </c>
      <c r="B12" s="17" t="s">
        <v>103</v>
      </c>
      <c r="C12" s="72">
        <v>25.2821</v>
      </c>
      <c r="D12" s="72"/>
      <c r="E12" s="241" t="s">
        <v>300</v>
      </c>
      <c r="G12" s="244"/>
      <c r="H12">
        <f t="shared" si="0"/>
        <v>74115</v>
      </c>
      <c r="I12" t="s">
        <v>804</v>
      </c>
      <c r="J12">
        <v>49.2</v>
      </c>
      <c r="K12" t="s">
        <v>1419</v>
      </c>
      <c r="M12" t="str">
        <f t="shared" si="1"/>
        <v>PKNI132T1</v>
      </c>
      <c r="N12" t="str">
        <f>VLOOKUP(H12,'TNB Load'!$A$2:$F$1448,6,FALSE)</f>
        <v>PAHANG</v>
      </c>
      <c r="O12">
        <f t="shared" si="2"/>
        <v>6.2824</v>
      </c>
      <c r="R12">
        <v>61137</v>
      </c>
      <c r="S12" t="s">
        <v>1037</v>
      </c>
      <c r="T12" t="s">
        <v>808</v>
      </c>
      <c r="U12" t="str">
        <f t="shared" si="3"/>
        <v>KGAR132</v>
      </c>
      <c r="W12" t="str">
        <f t="shared" si="4"/>
        <v>KGAR132T3</v>
      </c>
      <c r="X12">
        <v>7.4080000000000004</v>
      </c>
      <c r="Z12" t="s">
        <v>1037</v>
      </c>
      <c r="AA12" t="s">
        <v>808</v>
      </c>
      <c r="AB12" t="s">
        <v>1531</v>
      </c>
      <c r="AD12" t="s">
        <v>1643</v>
      </c>
      <c r="AE12">
        <v>7.4080000000000004</v>
      </c>
      <c r="AF12">
        <v>61137</v>
      </c>
      <c r="AH12" t="s">
        <v>2964</v>
      </c>
    </row>
    <row r="13" spans="1:34" x14ac:dyDescent="0.25">
      <c r="A13" s="23" t="s">
        <v>98</v>
      </c>
      <c r="B13" s="86" t="s">
        <v>104</v>
      </c>
      <c r="C13" s="72">
        <v>61.577100000000002</v>
      </c>
      <c r="D13" s="72"/>
      <c r="E13" s="241" t="s">
        <v>320</v>
      </c>
      <c r="G13" s="244"/>
      <c r="H13">
        <f t="shared" si="0"/>
        <v>96106</v>
      </c>
      <c r="I13" t="s">
        <v>807</v>
      </c>
      <c r="J13">
        <v>49.2</v>
      </c>
      <c r="K13" t="s">
        <v>1420</v>
      </c>
      <c r="M13" t="str">
        <f t="shared" si="1"/>
        <v>HPGH132T2</v>
      </c>
      <c r="N13" t="str">
        <f>VLOOKUP(H13,'TNB Load'!$A$2:$F$1448,6,FALSE)</f>
        <v>MELAKA</v>
      </c>
      <c r="O13">
        <f t="shared" si="2"/>
        <v>6.0110999999999999</v>
      </c>
      <c r="R13">
        <v>61137</v>
      </c>
      <c r="S13" t="s">
        <v>1037</v>
      </c>
      <c r="T13" t="s">
        <v>809</v>
      </c>
      <c r="U13" t="str">
        <f t="shared" si="3"/>
        <v>KGAR132</v>
      </c>
      <c r="W13" t="str">
        <f t="shared" si="4"/>
        <v>KGAR132T4</v>
      </c>
      <c r="X13">
        <v>10.9504</v>
      </c>
      <c r="Z13" t="s">
        <v>1037</v>
      </c>
      <c r="AA13" t="s">
        <v>809</v>
      </c>
      <c r="AB13" t="s">
        <v>1531</v>
      </c>
      <c r="AD13" t="s">
        <v>1644</v>
      </c>
      <c r="AE13">
        <v>10.9504</v>
      </c>
      <c r="AF13">
        <v>61137</v>
      </c>
      <c r="AH13" t="s">
        <v>2529</v>
      </c>
    </row>
    <row r="14" spans="1:34" x14ac:dyDescent="0.25">
      <c r="A14" s="194" t="s">
        <v>97</v>
      </c>
      <c r="B14" s="204" t="s">
        <v>103</v>
      </c>
      <c r="C14" s="197">
        <v>83.921099999999996</v>
      </c>
      <c r="D14" s="197"/>
      <c r="E14" s="198" t="s">
        <v>311</v>
      </c>
      <c r="G14" s="244"/>
      <c r="H14">
        <f t="shared" si="0"/>
        <v>96106</v>
      </c>
      <c r="I14" t="s">
        <v>804</v>
      </c>
      <c r="J14">
        <v>49.2</v>
      </c>
      <c r="K14" t="s">
        <v>1420</v>
      </c>
      <c r="M14" t="str">
        <f t="shared" si="1"/>
        <v>HPGH132T1</v>
      </c>
      <c r="N14" t="str">
        <f>VLOOKUP(H14,'TNB Load'!$A$2:$F$1448,6,FALSE)</f>
        <v>MELAKA</v>
      </c>
      <c r="O14">
        <f t="shared" si="2"/>
        <v>5.9893000000000001</v>
      </c>
      <c r="R14">
        <v>61102</v>
      </c>
      <c r="S14" t="s">
        <v>1078</v>
      </c>
      <c r="T14" t="s">
        <v>804</v>
      </c>
      <c r="U14" t="str">
        <f t="shared" si="3"/>
        <v>KPLS132</v>
      </c>
      <c r="W14" t="str">
        <f t="shared" si="4"/>
        <v>KPLS132T1</v>
      </c>
      <c r="X14">
        <v>9.0347000000000008</v>
      </c>
      <c r="Z14" t="s">
        <v>1078</v>
      </c>
      <c r="AA14" t="s">
        <v>804</v>
      </c>
      <c r="AB14" t="s">
        <v>1645</v>
      </c>
      <c r="AD14" t="s">
        <v>1646</v>
      </c>
      <c r="AE14">
        <v>9.0347000000000008</v>
      </c>
      <c r="AF14">
        <v>61102</v>
      </c>
      <c r="AH14" t="s">
        <v>2528</v>
      </c>
    </row>
    <row r="15" spans="1:34" x14ac:dyDescent="0.25">
      <c r="A15" s="23" t="s">
        <v>95</v>
      </c>
      <c r="B15" s="17" t="s">
        <v>100</v>
      </c>
      <c r="C15" s="72">
        <v>76.023399999999995</v>
      </c>
      <c r="D15" s="72"/>
      <c r="E15" s="241" t="s">
        <v>302</v>
      </c>
      <c r="G15" s="244"/>
      <c r="H15">
        <f t="shared" si="0"/>
        <v>96169</v>
      </c>
      <c r="I15" t="s">
        <v>807</v>
      </c>
      <c r="J15">
        <v>49.2</v>
      </c>
      <c r="K15" t="s">
        <v>1421</v>
      </c>
      <c r="M15" t="str">
        <f t="shared" si="1"/>
        <v>ESTK132T2</v>
      </c>
      <c r="N15" t="str">
        <f>VLOOKUP(H15,'TNB Load'!$A$2:$F$1448,6,FALSE)</f>
        <v>SELANGOR</v>
      </c>
      <c r="O15">
        <f t="shared" si="2"/>
        <v>22.844100000000001</v>
      </c>
      <c r="R15">
        <v>61102</v>
      </c>
      <c r="S15" t="s">
        <v>1078</v>
      </c>
      <c r="T15" t="s">
        <v>807</v>
      </c>
      <c r="U15" t="str">
        <f t="shared" si="3"/>
        <v>KPLS132</v>
      </c>
      <c r="W15" t="str">
        <f t="shared" si="4"/>
        <v>KPLS132T2</v>
      </c>
      <c r="X15">
        <v>8.9167000000000005</v>
      </c>
      <c r="Z15" t="s">
        <v>1078</v>
      </c>
      <c r="AA15" t="s">
        <v>807</v>
      </c>
      <c r="AB15" t="s">
        <v>1645</v>
      </c>
      <c r="AD15" t="s">
        <v>1647</v>
      </c>
      <c r="AE15">
        <v>8.9167000000000005</v>
      </c>
      <c r="AF15">
        <v>61102</v>
      </c>
      <c r="AH15" t="s">
        <v>2062</v>
      </c>
    </row>
    <row r="16" spans="1:34" x14ac:dyDescent="0.25">
      <c r="A16" s="23" t="s">
        <v>95</v>
      </c>
      <c r="B16" s="17" t="s">
        <v>99</v>
      </c>
      <c r="C16" s="72">
        <v>28.447500000000002</v>
      </c>
      <c r="D16" s="72"/>
      <c r="E16" s="241" t="s">
        <v>303</v>
      </c>
      <c r="G16" s="244"/>
      <c r="H16">
        <f t="shared" si="0"/>
        <v>96169</v>
      </c>
      <c r="I16" t="s">
        <v>804</v>
      </c>
      <c r="J16">
        <v>49.2</v>
      </c>
      <c r="K16" t="s">
        <v>1421</v>
      </c>
      <c r="M16" t="str">
        <f t="shared" si="1"/>
        <v>ESTK132T1</v>
      </c>
      <c r="N16" t="str">
        <f>VLOOKUP(H16,'TNB Load'!$A$2:$F$1448,6,FALSE)</f>
        <v>SELANGOR</v>
      </c>
      <c r="O16">
        <f t="shared" si="2"/>
        <v>22.637</v>
      </c>
      <c r="R16">
        <v>96116</v>
      </c>
      <c r="S16" t="s">
        <v>1228</v>
      </c>
      <c r="T16" t="s">
        <v>804</v>
      </c>
      <c r="U16" t="str">
        <f t="shared" si="3"/>
        <v>PMKA132</v>
      </c>
      <c r="W16" t="str">
        <f t="shared" si="4"/>
        <v>PMKA132T1</v>
      </c>
      <c r="X16">
        <v>4.1555</v>
      </c>
      <c r="Z16" t="s">
        <v>1228</v>
      </c>
      <c r="AA16" t="s">
        <v>804</v>
      </c>
      <c r="AB16" t="s">
        <v>1648</v>
      </c>
      <c r="AD16" t="s">
        <v>1649</v>
      </c>
      <c r="AE16">
        <v>4.1555</v>
      </c>
      <c r="AF16">
        <v>96116</v>
      </c>
      <c r="AH16" t="s">
        <v>2061</v>
      </c>
    </row>
    <row r="17" spans="1:34" x14ac:dyDescent="0.25">
      <c r="A17" s="23" t="s">
        <v>95</v>
      </c>
      <c r="B17" s="17" t="s">
        <v>99</v>
      </c>
      <c r="C17" s="72">
        <v>89.868300000000005</v>
      </c>
      <c r="D17" s="72"/>
      <c r="E17" s="241" t="s">
        <v>304</v>
      </c>
      <c r="G17" s="244"/>
      <c r="H17">
        <f t="shared" si="0"/>
        <v>63145</v>
      </c>
      <c r="I17" t="s">
        <v>807</v>
      </c>
      <c r="J17">
        <v>49.2</v>
      </c>
      <c r="K17" t="s">
        <v>1422</v>
      </c>
      <c r="M17" t="str">
        <f t="shared" si="1"/>
        <v>PKID132T2</v>
      </c>
      <c r="N17" t="str">
        <f>VLOOKUP(H17,'TNB Load'!$A$2:$F$1448,6,FALSE)</f>
        <v>PERAK</v>
      </c>
      <c r="O17">
        <f t="shared" si="2"/>
        <v>9.6611999999999991</v>
      </c>
      <c r="R17">
        <v>96116</v>
      </c>
      <c r="S17" t="s">
        <v>1228</v>
      </c>
      <c r="T17" t="s">
        <v>807</v>
      </c>
      <c r="U17" t="str">
        <f t="shared" si="3"/>
        <v>PMKA132</v>
      </c>
      <c r="W17" t="str">
        <f t="shared" si="4"/>
        <v>PMKA132T2</v>
      </c>
      <c r="X17">
        <v>4.1555</v>
      </c>
      <c r="Z17" t="s">
        <v>1228</v>
      </c>
      <c r="AA17" t="s">
        <v>807</v>
      </c>
      <c r="AB17" t="s">
        <v>1648</v>
      </c>
      <c r="AD17" t="s">
        <v>1650</v>
      </c>
      <c r="AE17">
        <v>4.1555</v>
      </c>
      <c r="AF17">
        <v>96116</v>
      </c>
      <c r="AH17" t="s">
        <v>1900</v>
      </c>
    </row>
    <row r="18" spans="1:34" x14ac:dyDescent="0.25">
      <c r="A18" s="207" t="s">
        <v>95</v>
      </c>
      <c r="B18" s="205" t="s">
        <v>99</v>
      </c>
      <c r="C18" s="197">
        <v>71.005499999999998</v>
      </c>
      <c r="D18" s="197"/>
      <c r="E18" s="209" t="s">
        <v>305</v>
      </c>
      <c r="G18" s="244"/>
      <c r="H18">
        <f t="shared" si="0"/>
        <v>63145</v>
      </c>
      <c r="I18" t="s">
        <v>804</v>
      </c>
      <c r="J18">
        <v>49.2</v>
      </c>
      <c r="K18" t="s">
        <v>1422</v>
      </c>
      <c r="M18" t="str">
        <f t="shared" si="1"/>
        <v>PKID132T1</v>
      </c>
      <c r="N18" t="str">
        <f>VLOOKUP(H18,'TNB Load'!$A$2:$F$1448,6,FALSE)</f>
        <v>PERAK</v>
      </c>
      <c r="O18">
        <f t="shared" si="2"/>
        <v>5.4146000000000001</v>
      </c>
      <c r="R18">
        <v>61148</v>
      </c>
      <c r="S18" t="s">
        <v>819</v>
      </c>
      <c r="T18" t="s">
        <v>804</v>
      </c>
      <c r="U18" t="str">
        <f t="shared" si="3"/>
        <v>AJYA132</v>
      </c>
      <c r="W18" t="str">
        <f t="shared" si="4"/>
        <v>AJYA132T1</v>
      </c>
      <c r="X18">
        <v>0</v>
      </c>
      <c r="Z18" t="s">
        <v>819</v>
      </c>
      <c r="AA18" t="s">
        <v>804</v>
      </c>
      <c r="AB18" t="s">
        <v>1651</v>
      </c>
      <c r="AD18" t="s">
        <v>1652</v>
      </c>
      <c r="AE18">
        <v>0</v>
      </c>
      <c r="AF18">
        <v>61148</v>
      </c>
      <c r="AH18" t="s">
        <v>1899</v>
      </c>
    </row>
    <row r="19" spans="1:34" x14ac:dyDescent="0.25">
      <c r="A19" s="195" t="s">
        <v>95</v>
      </c>
      <c r="B19" s="193" t="s">
        <v>106</v>
      </c>
      <c r="C19" s="197">
        <v>25.6995</v>
      </c>
      <c r="D19" s="197"/>
      <c r="E19" s="198" t="s">
        <v>301</v>
      </c>
      <c r="G19" s="244"/>
      <c r="H19">
        <f t="shared" si="0"/>
        <v>63145</v>
      </c>
      <c r="I19" t="s">
        <v>809</v>
      </c>
      <c r="J19">
        <v>49.2</v>
      </c>
      <c r="K19" t="s">
        <v>1422</v>
      </c>
      <c r="M19" t="str">
        <f t="shared" si="1"/>
        <v>PKID132T4</v>
      </c>
      <c r="N19" t="str">
        <f>VLOOKUP(H19,'TNB Load'!$A$2:$F$1448,6,FALSE)</f>
        <v>PERAK</v>
      </c>
      <c r="O19">
        <f t="shared" si="2"/>
        <v>12.6579</v>
      </c>
      <c r="R19">
        <v>61148</v>
      </c>
      <c r="S19" t="s">
        <v>819</v>
      </c>
      <c r="T19" t="s">
        <v>807</v>
      </c>
      <c r="U19" t="str">
        <f t="shared" si="3"/>
        <v>AJYA132</v>
      </c>
      <c r="W19" t="str">
        <f t="shared" si="4"/>
        <v>AJYA132T2</v>
      </c>
      <c r="X19">
        <v>16.345300000000002</v>
      </c>
      <c r="Z19" t="s">
        <v>819</v>
      </c>
      <c r="AA19" t="s">
        <v>807</v>
      </c>
      <c r="AB19" t="s">
        <v>1651</v>
      </c>
      <c r="AD19" t="s">
        <v>1653</v>
      </c>
      <c r="AE19">
        <v>16.345300000000002</v>
      </c>
      <c r="AF19">
        <v>61148</v>
      </c>
      <c r="AH19" t="s">
        <v>1902</v>
      </c>
    </row>
    <row r="20" spans="1:34" x14ac:dyDescent="0.25">
      <c r="A20" s="22" t="s">
        <v>109</v>
      </c>
      <c r="B20" s="17" t="s">
        <v>110</v>
      </c>
      <c r="C20" s="72">
        <v>157.1371</v>
      </c>
      <c r="D20" s="72"/>
      <c r="E20" s="241" t="s">
        <v>309</v>
      </c>
      <c r="G20" s="244"/>
      <c r="H20">
        <f t="shared" si="0"/>
        <v>63145</v>
      </c>
      <c r="I20" t="s">
        <v>808</v>
      </c>
      <c r="J20">
        <v>49.2</v>
      </c>
      <c r="K20" t="s">
        <v>1422</v>
      </c>
      <c r="M20" t="str">
        <f t="shared" si="1"/>
        <v>PKID132T3</v>
      </c>
      <c r="N20" t="str">
        <f>VLOOKUP(H20,'TNB Load'!$A$2:$F$1448,6,FALSE)</f>
        <v>PERAK</v>
      </c>
      <c r="O20">
        <f t="shared" si="2"/>
        <v>12.6652</v>
      </c>
      <c r="R20">
        <v>61148</v>
      </c>
      <c r="S20" t="s">
        <v>819</v>
      </c>
      <c r="T20" t="s">
        <v>808</v>
      </c>
      <c r="U20" t="str">
        <f t="shared" si="3"/>
        <v>AJYA132</v>
      </c>
      <c r="W20" t="str">
        <f t="shared" si="4"/>
        <v>AJYA132T3</v>
      </c>
      <c r="X20">
        <v>20.0669</v>
      </c>
      <c r="Z20" t="s">
        <v>819</v>
      </c>
      <c r="AA20" t="s">
        <v>808</v>
      </c>
      <c r="AB20" t="s">
        <v>1651</v>
      </c>
      <c r="AD20" t="s">
        <v>1654</v>
      </c>
      <c r="AE20">
        <v>20.0669</v>
      </c>
      <c r="AF20">
        <v>61148</v>
      </c>
      <c r="AH20" t="s">
        <v>1901</v>
      </c>
    </row>
    <row r="21" spans="1:34" x14ac:dyDescent="0.25">
      <c r="A21" s="194" t="s">
        <v>97</v>
      </c>
      <c r="B21" s="193" t="s">
        <v>103</v>
      </c>
      <c r="C21" s="197">
        <v>60.792400000000001</v>
      </c>
      <c r="D21" s="197"/>
      <c r="E21" s="198" t="s">
        <v>310</v>
      </c>
      <c r="G21" s="244"/>
      <c r="H21">
        <f t="shared" si="0"/>
        <v>63173</v>
      </c>
      <c r="I21" t="s">
        <v>809</v>
      </c>
      <c r="J21">
        <v>49.2</v>
      </c>
      <c r="K21" t="s">
        <v>1423</v>
      </c>
      <c r="M21" t="str">
        <f t="shared" si="1"/>
        <v>KVRT132T4</v>
      </c>
      <c r="N21" t="str">
        <f>VLOOKUP(H21,'TNB Load'!$A$2:$F$1448,6,FALSE)</f>
        <v>PERAK</v>
      </c>
      <c r="O21">
        <f t="shared" si="2"/>
        <v>33.933300000000003</v>
      </c>
      <c r="R21">
        <v>61148</v>
      </c>
      <c r="S21" t="s">
        <v>819</v>
      </c>
      <c r="T21" t="s">
        <v>809</v>
      </c>
      <c r="U21" t="str">
        <f t="shared" si="3"/>
        <v>AJYA132</v>
      </c>
      <c r="W21" t="str">
        <f t="shared" si="4"/>
        <v>AJYA132T4</v>
      </c>
      <c r="X21">
        <v>0</v>
      </c>
      <c r="Z21" t="s">
        <v>819</v>
      </c>
      <c r="AA21" t="s">
        <v>809</v>
      </c>
      <c r="AB21" t="s">
        <v>1651</v>
      </c>
      <c r="AD21" t="s">
        <v>1655</v>
      </c>
      <c r="AE21">
        <v>0</v>
      </c>
      <c r="AF21">
        <v>61148</v>
      </c>
      <c r="AH21" t="s">
        <v>1877</v>
      </c>
    </row>
    <row r="22" spans="1:34" x14ac:dyDescent="0.25">
      <c r="A22" s="194" t="s">
        <v>96</v>
      </c>
      <c r="B22" s="193" t="s">
        <v>102</v>
      </c>
      <c r="C22" s="197">
        <v>17.210699999999999</v>
      </c>
      <c r="D22" s="197"/>
      <c r="E22" s="198" t="s">
        <v>308</v>
      </c>
      <c r="G22" s="244"/>
      <c r="H22">
        <f t="shared" si="0"/>
        <v>63173</v>
      </c>
      <c r="I22" t="s">
        <v>808</v>
      </c>
      <c r="J22">
        <v>49.2</v>
      </c>
      <c r="K22" t="s">
        <v>1423</v>
      </c>
      <c r="M22" t="str">
        <f t="shared" si="1"/>
        <v>KVRT132T3</v>
      </c>
      <c r="N22" t="str">
        <f>VLOOKUP(H22,'TNB Load'!$A$2:$F$1448,6,FALSE)</f>
        <v>PERAK</v>
      </c>
      <c r="O22">
        <f t="shared" si="2"/>
        <v>33.939500000000002</v>
      </c>
      <c r="R22">
        <v>61104</v>
      </c>
      <c r="S22" t="s">
        <v>842</v>
      </c>
      <c r="T22" t="s">
        <v>804</v>
      </c>
      <c r="U22" t="str">
        <f t="shared" si="3"/>
        <v>ASTR132</v>
      </c>
      <c r="W22" t="str">
        <f t="shared" si="4"/>
        <v>ASTR132T1</v>
      </c>
      <c r="X22">
        <v>5.9759000000000002</v>
      </c>
      <c r="Z22" t="s">
        <v>842</v>
      </c>
      <c r="AA22" t="s">
        <v>804</v>
      </c>
      <c r="AB22" t="s">
        <v>1656</v>
      </c>
      <c r="AD22" t="s">
        <v>1657</v>
      </c>
      <c r="AE22">
        <v>5.9759000000000002</v>
      </c>
      <c r="AF22">
        <v>61104</v>
      </c>
      <c r="AH22" t="s">
        <v>1876</v>
      </c>
    </row>
    <row r="23" spans="1:34" x14ac:dyDescent="0.25">
      <c r="A23" s="22" t="s">
        <v>95</v>
      </c>
      <c r="B23" s="17" t="s">
        <v>99</v>
      </c>
      <c r="C23" s="72">
        <v>42.691000000000003</v>
      </c>
      <c r="D23" s="72"/>
      <c r="E23" s="241" t="s">
        <v>307</v>
      </c>
      <c r="G23" s="244"/>
      <c r="H23">
        <f t="shared" si="0"/>
        <v>63146</v>
      </c>
      <c r="I23" t="s">
        <v>809</v>
      </c>
      <c r="J23">
        <v>49.2</v>
      </c>
      <c r="K23" t="s">
        <v>1424</v>
      </c>
      <c r="M23" t="str">
        <f t="shared" si="1"/>
        <v>MLBU132T4</v>
      </c>
      <c r="N23" t="str">
        <f>VLOOKUP(H23,'TNB Load'!$A$2:$F$1448,6,FALSE)</f>
        <v>PERAK</v>
      </c>
      <c r="O23">
        <f t="shared" si="2"/>
        <v>34.633299999999998</v>
      </c>
      <c r="R23">
        <v>61104</v>
      </c>
      <c r="S23" t="s">
        <v>842</v>
      </c>
      <c r="T23" t="s">
        <v>807</v>
      </c>
      <c r="U23" t="str">
        <f t="shared" si="3"/>
        <v>ASTR132</v>
      </c>
      <c r="W23" t="str">
        <f t="shared" si="4"/>
        <v>ASTR132T2</v>
      </c>
      <c r="X23">
        <v>5.8444000000000003</v>
      </c>
      <c r="Z23" t="s">
        <v>842</v>
      </c>
      <c r="AA23" t="s">
        <v>807</v>
      </c>
      <c r="AB23" t="s">
        <v>1656</v>
      </c>
      <c r="AD23" t="s">
        <v>1658</v>
      </c>
      <c r="AE23">
        <v>5.8444000000000003</v>
      </c>
      <c r="AF23">
        <v>61104</v>
      </c>
      <c r="AH23" t="s">
        <v>1891</v>
      </c>
    </row>
    <row r="24" spans="1:34" x14ac:dyDescent="0.25">
      <c r="A24" s="6" t="s">
        <v>97</v>
      </c>
      <c r="B24" s="7" t="s">
        <v>103</v>
      </c>
      <c r="C24" s="73">
        <v>22.373200000000001</v>
      </c>
      <c r="D24" s="73"/>
      <c r="E24" s="237" t="s">
        <v>313</v>
      </c>
      <c r="G24" s="244"/>
      <c r="H24">
        <f t="shared" si="0"/>
        <v>63146</v>
      </c>
      <c r="I24" t="s">
        <v>808</v>
      </c>
      <c r="J24">
        <v>49.2</v>
      </c>
      <c r="K24" t="s">
        <v>1424</v>
      </c>
      <c r="M24" t="str">
        <f t="shared" si="1"/>
        <v>MLBU132T3</v>
      </c>
      <c r="N24" t="str">
        <f>VLOOKUP(H24,'TNB Load'!$A$2:$F$1448,6,FALSE)</f>
        <v>PERAK</v>
      </c>
      <c r="O24">
        <f t="shared" si="2"/>
        <v>34.484200000000001</v>
      </c>
      <c r="R24">
        <v>61104</v>
      </c>
      <c r="S24" t="s">
        <v>842</v>
      </c>
      <c r="T24" t="s">
        <v>808</v>
      </c>
      <c r="U24" t="str">
        <f t="shared" si="3"/>
        <v>ASTR132</v>
      </c>
      <c r="W24" t="str">
        <f t="shared" si="4"/>
        <v>ASTR132T3</v>
      </c>
      <c r="X24">
        <v>26.303699999999999</v>
      </c>
      <c r="Z24" t="s">
        <v>842</v>
      </c>
      <c r="AA24" t="s">
        <v>808</v>
      </c>
      <c r="AB24" t="s">
        <v>1656</v>
      </c>
      <c r="AD24" t="s">
        <v>1659</v>
      </c>
      <c r="AE24">
        <v>26.303699999999999</v>
      </c>
      <c r="AF24">
        <v>61104</v>
      </c>
      <c r="AH24" t="s">
        <v>1890</v>
      </c>
    </row>
    <row r="25" spans="1:34" x14ac:dyDescent="0.25">
      <c r="A25" s="6" t="s">
        <v>97</v>
      </c>
      <c r="B25" s="7" t="s">
        <v>104</v>
      </c>
      <c r="C25" s="73">
        <v>24.6724</v>
      </c>
      <c r="D25" s="73"/>
      <c r="E25" s="237" t="s">
        <v>314</v>
      </c>
      <c r="G25" s="244"/>
      <c r="H25">
        <f t="shared" si="0"/>
        <v>51013</v>
      </c>
      <c r="I25" t="s">
        <v>807</v>
      </c>
      <c r="J25">
        <v>49.2</v>
      </c>
      <c r="K25" t="s">
        <v>1425</v>
      </c>
      <c r="M25" t="str">
        <f t="shared" si="1"/>
        <v>STIA132T2</v>
      </c>
      <c r="N25" t="str">
        <f>VLOOKUP(H25,'TNB Load'!$A$2:$F$1448,6,FALSE)</f>
        <v>SELANGOR</v>
      </c>
      <c r="O25">
        <f t="shared" si="2"/>
        <v>36.979700000000001</v>
      </c>
      <c r="R25">
        <v>61104</v>
      </c>
      <c r="S25" t="s">
        <v>842</v>
      </c>
      <c r="T25" t="s">
        <v>809</v>
      </c>
      <c r="U25" t="str">
        <f t="shared" si="3"/>
        <v>ASTR132</v>
      </c>
      <c r="W25" t="str">
        <f t="shared" si="4"/>
        <v>ASTR132T4</v>
      </c>
      <c r="X25">
        <v>12.718999999999999</v>
      </c>
      <c r="Z25" t="s">
        <v>842</v>
      </c>
      <c r="AA25" t="s">
        <v>809</v>
      </c>
      <c r="AB25" t="s">
        <v>1656</v>
      </c>
      <c r="AD25" t="s">
        <v>1660</v>
      </c>
      <c r="AE25">
        <v>12.718999999999999</v>
      </c>
      <c r="AF25">
        <v>61104</v>
      </c>
      <c r="AH25" t="s">
        <v>2232</v>
      </c>
    </row>
    <row r="26" spans="1:34" x14ac:dyDescent="0.25">
      <c r="A26" s="6" t="s">
        <v>95</v>
      </c>
      <c r="B26" s="7" t="s">
        <v>99</v>
      </c>
      <c r="C26" s="73">
        <v>32.143300000000004</v>
      </c>
      <c r="D26" s="73"/>
      <c r="E26" s="237" t="s">
        <v>315</v>
      </c>
      <c r="G26" s="244"/>
      <c r="H26">
        <f t="shared" si="0"/>
        <v>51013</v>
      </c>
      <c r="I26" t="s">
        <v>804</v>
      </c>
      <c r="J26">
        <v>49.2</v>
      </c>
      <c r="K26" t="s">
        <v>1425</v>
      </c>
      <c r="M26" t="str">
        <f t="shared" si="1"/>
        <v>STIA132T1</v>
      </c>
      <c r="N26" t="str">
        <f>VLOOKUP(H26,'TNB Load'!$A$2:$F$1448,6,FALSE)</f>
        <v>SELANGOR</v>
      </c>
      <c r="O26">
        <f t="shared" si="2"/>
        <v>33.1173</v>
      </c>
      <c r="R26">
        <v>61115</v>
      </c>
      <c r="S26" t="s">
        <v>870</v>
      </c>
      <c r="T26" t="s">
        <v>804</v>
      </c>
      <c r="U26" t="str">
        <f t="shared" si="3"/>
        <v>BDNG132</v>
      </c>
      <c r="W26" t="str">
        <f t="shared" si="4"/>
        <v>BDNG132T1</v>
      </c>
      <c r="X26">
        <v>21.702999999999999</v>
      </c>
      <c r="Z26" t="s">
        <v>870</v>
      </c>
      <c r="AA26" t="s">
        <v>804</v>
      </c>
      <c r="AB26" t="s">
        <v>1537</v>
      </c>
      <c r="AD26" t="s">
        <v>1661</v>
      </c>
      <c r="AE26">
        <v>21.702999999999999</v>
      </c>
      <c r="AF26">
        <v>61115</v>
      </c>
      <c r="AH26" t="s">
        <v>2231</v>
      </c>
    </row>
    <row r="27" spans="1:34" x14ac:dyDescent="0.25">
      <c r="A27" s="6" t="s">
        <v>147</v>
      </c>
      <c r="B27" s="7" t="s">
        <v>99</v>
      </c>
      <c r="C27" s="73">
        <v>8.5343</v>
      </c>
      <c r="D27" s="73"/>
      <c r="E27" s="237" t="s">
        <v>331</v>
      </c>
      <c r="G27" s="244"/>
      <c r="H27">
        <f t="shared" si="0"/>
        <v>88104</v>
      </c>
      <c r="I27" t="s">
        <v>807</v>
      </c>
      <c r="J27">
        <v>49.2</v>
      </c>
      <c r="K27" t="s">
        <v>1426</v>
      </c>
      <c r="M27" t="str">
        <f t="shared" si="1"/>
        <v>DCTY132T2</v>
      </c>
      <c r="N27" t="str">
        <f>VLOOKUP(H27,'TNB Load'!$A$2:$F$1448,6,FALSE)</f>
        <v>WPKL</v>
      </c>
      <c r="O27">
        <f t="shared" si="2"/>
        <v>12.9489</v>
      </c>
      <c r="R27">
        <v>61115</v>
      </c>
      <c r="S27" t="s">
        <v>870</v>
      </c>
      <c r="T27" t="s">
        <v>807</v>
      </c>
      <c r="U27" t="str">
        <f t="shared" si="3"/>
        <v>BDNG132</v>
      </c>
      <c r="W27" t="str">
        <f t="shared" si="4"/>
        <v>BDNG132T2</v>
      </c>
      <c r="X27">
        <v>18.748699999999999</v>
      </c>
      <c r="Z27" t="s">
        <v>870</v>
      </c>
      <c r="AA27" t="s">
        <v>807</v>
      </c>
      <c r="AB27" t="s">
        <v>1537</v>
      </c>
      <c r="AD27" t="s">
        <v>1662</v>
      </c>
      <c r="AE27">
        <v>18.748699999999999</v>
      </c>
      <c r="AF27">
        <v>61115</v>
      </c>
      <c r="AH27" t="s">
        <v>2284</v>
      </c>
    </row>
    <row r="28" spans="1:34" x14ac:dyDescent="0.25">
      <c r="A28" s="6" t="s">
        <v>148</v>
      </c>
      <c r="B28" s="7" t="s">
        <v>154</v>
      </c>
      <c r="C28" s="73">
        <v>123.2475</v>
      </c>
      <c r="D28" s="73"/>
      <c r="E28" s="237" t="s">
        <v>327</v>
      </c>
      <c r="G28" s="244"/>
      <c r="H28">
        <f t="shared" si="0"/>
        <v>88104</v>
      </c>
      <c r="I28" t="s">
        <v>804</v>
      </c>
      <c r="J28">
        <v>49.2</v>
      </c>
      <c r="K28" t="s">
        <v>1426</v>
      </c>
      <c r="M28" t="str">
        <f t="shared" si="1"/>
        <v>DCTY132T1</v>
      </c>
      <c r="N28" t="str">
        <f>VLOOKUP(H28,'TNB Load'!$A$2:$F$1448,6,FALSE)</f>
        <v>WPKL</v>
      </c>
      <c r="O28">
        <f t="shared" si="2"/>
        <v>12.895099999999999</v>
      </c>
      <c r="R28">
        <v>61124</v>
      </c>
      <c r="S28" t="s">
        <v>877</v>
      </c>
      <c r="T28" t="s">
        <v>804</v>
      </c>
      <c r="U28" t="str">
        <f t="shared" si="3"/>
        <v>BKHM132</v>
      </c>
      <c r="W28" t="str">
        <f t="shared" si="4"/>
        <v>BKHM132T1</v>
      </c>
      <c r="X28">
        <v>6.0452000000000004</v>
      </c>
      <c r="Z28" t="s">
        <v>877</v>
      </c>
      <c r="AA28" t="s">
        <v>804</v>
      </c>
      <c r="AB28" t="s">
        <v>1663</v>
      </c>
      <c r="AD28" t="s">
        <v>1664</v>
      </c>
      <c r="AE28">
        <v>6.0452000000000004</v>
      </c>
      <c r="AF28">
        <v>61124</v>
      </c>
      <c r="AH28" t="s">
        <v>2283</v>
      </c>
    </row>
    <row r="29" spans="1:34" x14ac:dyDescent="0.25">
      <c r="A29" s="6" t="s">
        <v>96</v>
      </c>
      <c r="B29" s="7" t="s">
        <v>102</v>
      </c>
      <c r="C29" s="73">
        <v>24.516100000000002</v>
      </c>
      <c r="D29" s="73"/>
      <c r="E29" s="237" t="s">
        <v>318</v>
      </c>
      <c r="G29" s="244"/>
      <c r="H29">
        <f t="shared" si="0"/>
        <v>88128</v>
      </c>
      <c r="I29" t="s">
        <v>807</v>
      </c>
      <c r="J29">
        <v>49.2</v>
      </c>
      <c r="K29" t="s">
        <v>1427</v>
      </c>
      <c r="M29" t="str">
        <f t="shared" si="1"/>
        <v>MJLR132T2</v>
      </c>
      <c r="N29" t="str">
        <f>VLOOKUP(H29,'TNB Load'!$A$2:$F$1448,6,FALSE)</f>
        <v>WPKL</v>
      </c>
      <c r="O29">
        <f t="shared" si="2"/>
        <v>49.346699999999998</v>
      </c>
      <c r="R29">
        <v>61124</v>
      </c>
      <c r="S29" t="s">
        <v>877</v>
      </c>
      <c r="T29" t="s">
        <v>807</v>
      </c>
      <c r="U29" t="str">
        <f t="shared" si="3"/>
        <v>BKHM132</v>
      </c>
      <c r="W29" t="str">
        <f t="shared" si="4"/>
        <v>BKHM132T2</v>
      </c>
      <c r="X29">
        <v>6.0483000000000002</v>
      </c>
      <c r="Z29" t="s">
        <v>877</v>
      </c>
      <c r="AA29" t="s">
        <v>807</v>
      </c>
      <c r="AB29" t="s">
        <v>1663</v>
      </c>
      <c r="AD29" t="s">
        <v>1665</v>
      </c>
      <c r="AE29">
        <v>6.0483000000000002</v>
      </c>
      <c r="AF29">
        <v>61124</v>
      </c>
      <c r="AH29" t="s">
        <v>2351</v>
      </c>
    </row>
    <row r="30" spans="1:34" x14ac:dyDescent="0.25">
      <c r="A30" s="6" t="s">
        <v>149</v>
      </c>
      <c r="B30" s="7" t="s">
        <v>151</v>
      </c>
      <c r="C30" s="73" t="s">
        <v>692</v>
      </c>
      <c r="D30" s="73"/>
      <c r="E30" s="237" t="s">
        <v>339</v>
      </c>
      <c r="G30" s="244"/>
      <c r="H30">
        <f t="shared" si="0"/>
        <v>88128</v>
      </c>
      <c r="I30" t="s">
        <v>804</v>
      </c>
      <c r="J30">
        <v>49.2</v>
      </c>
      <c r="K30" t="s">
        <v>1427</v>
      </c>
      <c r="M30" t="str">
        <f t="shared" si="1"/>
        <v>MJLR132T1</v>
      </c>
      <c r="N30" t="str">
        <f>VLOOKUP(H30,'TNB Load'!$A$2:$F$1448,6,FALSE)</f>
        <v>WPKL</v>
      </c>
      <c r="O30">
        <f t="shared" si="2"/>
        <v>49.94</v>
      </c>
      <c r="R30">
        <v>61124</v>
      </c>
      <c r="S30" t="s">
        <v>877</v>
      </c>
      <c r="T30" t="s">
        <v>808</v>
      </c>
      <c r="U30" t="str">
        <f t="shared" si="3"/>
        <v>BKHM132</v>
      </c>
      <c r="W30" t="str">
        <f t="shared" si="4"/>
        <v>BKHM132T3</v>
      </c>
      <c r="X30">
        <v>18.254799999999999</v>
      </c>
      <c r="Z30" t="s">
        <v>877</v>
      </c>
      <c r="AA30" t="s">
        <v>808</v>
      </c>
      <c r="AB30" t="s">
        <v>1663</v>
      </c>
      <c r="AD30" t="s">
        <v>1666</v>
      </c>
      <c r="AE30">
        <v>18.254799999999999</v>
      </c>
      <c r="AF30">
        <v>61124</v>
      </c>
      <c r="AH30" t="s">
        <v>2350</v>
      </c>
    </row>
    <row r="31" spans="1:34" x14ac:dyDescent="0.25">
      <c r="A31" s="6" t="s">
        <v>94</v>
      </c>
      <c r="B31" s="7" t="s">
        <v>99</v>
      </c>
      <c r="C31" s="73">
        <v>29.3428</v>
      </c>
      <c r="D31" s="73"/>
      <c r="E31" s="237" t="s">
        <v>322</v>
      </c>
      <c r="G31" s="244"/>
      <c r="H31">
        <f t="shared" si="0"/>
        <v>88142</v>
      </c>
      <c r="I31" t="s">
        <v>807</v>
      </c>
      <c r="J31">
        <v>49.2</v>
      </c>
      <c r="K31" t="s">
        <v>1428</v>
      </c>
      <c r="M31" t="str">
        <f t="shared" si="1"/>
        <v>SHMS132T2</v>
      </c>
      <c r="N31" t="str">
        <f>VLOOKUP(H31,'TNB Load'!$A$2:$F$1448,6,FALSE)</f>
        <v>WPKL</v>
      </c>
      <c r="O31">
        <f t="shared" si="2"/>
        <v>28.113800000000001</v>
      </c>
      <c r="R31">
        <v>61124</v>
      </c>
      <c r="S31" t="s">
        <v>877</v>
      </c>
      <c r="T31" t="s">
        <v>809</v>
      </c>
      <c r="U31" t="str">
        <f t="shared" si="3"/>
        <v>BKHM132</v>
      </c>
      <c r="W31" t="str">
        <f t="shared" si="4"/>
        <v>BKHM132T4</v>
      </c>
      <c r="X31">
        <v>18.318999999999999</v>
      </c>
      <c r="Z31" t="s">
        <v>877</v>
      </c>
      <c r="AA31" t="s">
        <v>809</v>
      </c>
      <c r="AB31" t="s">
        <v>1663</v>
      </c>
      <c r="AD31" t="s">
        <v>1667</v>
      </c>
      <c r="AE31">
        <v>18.318999999999999</v>
      </c>
      <c r="AF31">
        <v>61124</v>
      </c>
      <c r="AH31" t="s">
        <v>2386</v>
      </c>
    </row>
    <row r="32" spans="1:34" x14ac:dyDescent="0.25">
      <c r="A32" s="6" t="s">
        <v>258</v>
      </c>
      <c r="B32" s="7" t="s">
        <v>152</v>
      </c>
      <c r="C32" s="73">
        <v>30</v>
      </c>
      <c r="D32" s="73"/>
      <c r="E32" s="237" t="s">
        <v>329</v>
      </c>
      <c r="G32" s="244"/>
      <c r="H32">
        <f t="shared" si="0"/>
        <v>88142</v>
      </c>
      <c r="I32" t="s">
        <v>804</v>
      </c>
      <c r="J32">
        <v>49.2</v>
      </c>
      <c r="K32" t="s">
        <v>1428</v>
      </c>
      <c r="M32" t="str">
        <f t="shared" si="1"/>
        <v>SHMS132T1</v>
      </c>
      <c r="N32" t="str">
        <f>VLOOKUP(H32,'TNB Load'!$A$2:$F$1448,6,FALSE)</f>
        <v>WPKL</v>
      </c>
      <c r="O32">
        <f t="shared" si="2"/>
        <v>28.223500000000001</v>
      </c>
      <c r="R32">
        <v>61120</v>
      </c>
      <c r="S32" t="s">
        <v>904</v>
      </c>
      <c r="T32" t="s">
        <v>804</v>
      </c>
      <c r="U32" t="str">
        <f t="shared" si="3"/>
        <v>BSBU132</v>
      </c>
      <c r="W32" t="str">
        <f t="shared" si="4"/>
        <v>BSBU132T1</v>
      </c>
      <c r="X32">
        <v>6.1395</v>
      </c>
      <c r="Z32" t="s">
        <v>904</v>
      </c>
      <c r="AA32" t="s">
        <v>804</v>
      </c>
      <c r="AB32" t="s">
        <v>1668</v>
      </c>
      <c r="AD32" t="s">
        <v>1669</v>
      </c>
      <c r="AE32">
        <v>6.1395</v>
      </c>
      <c r="AF32">
        <v>61120</v>
      </c>
      <c r="AH32" t="s">
        <v>2385</v>
      </c>
    </row>
    <row r="33" spans="1:34" x14ac:dyDescent="0.25">
      <c r="A33" s="6" t="s">
        <v>150</v>
      </c>
      <c r="B33" s="7" t="s">
        <v>39</v>
      </c>
      <c r="C33" s="73">
        <v>36</v>
      </c>
      <c r="D33" s="73"/>
      <c r="E33" s="237" t="s">
        <v>330</v>
      </c>
      <c r="G33" s="244"/>
      <c r="H33">
        <f t="shared" si="0"/>
        <v>88107</v>
      </c>
      <c r="I33" t="s">
        <v>807</v>
      </c>
      <c r="J33">
        <v>49.2</v>
      </c>
      <c r="K33" t="s">
        <v>1429</v>
      </c>
      <c r="M33" t="str">
        <f t="shared" si="1"/>
        <v>SCTY132T2</v>
      </c>
      <c r="N33" t="str">
        <f>VLOOKUP(H33,'TNB Load'!$A$2:$F$1448,6,FALSE)</f>
        <v>WPKL</v>
      </c>
      <c r="O33">
        <f t="shared" si="2"/>
        <v>17.077400000000001</v>
      </c>
      <c r="R33">
        <v>61120</v>
      </c>
      <c r="S33" t="s">
        <v>904</v>
      </c>
      <c r="T33" t="s">
        <v>807</v>
      </c>
      <c r="U33" t="str">
        <f t="shared" si="3"/>
        <v>BSBU132</v>
      </c>
      <c r="W33" t="str">
        <f t="shared" si="4"/>
        <v>BSBU132T2</v>
      </c>
      <c r="X33">
        <v>6.1124999999999998</v>
      </c>
      <c r="Z33" t="s">
        <v>904</v>
      </c>
      <c r="AA33" t="s">
        <v>807</v>
      </c>
      <c r="AB33" t="s">
        <v>1668</v>
      </c>
      <c r="AD33" t="s">
        <v>1670</v>
      </c>
      <c r="AE33">
        <v>6.1124999999999998</v>
      </c>
      <c r="AF33">
        <v>61120</v>
      </c>
      <c r="AH33" t="s">
        <v>2380</v>
      </c>
    </row>
    <row r="34" spans="1:34" x14ac:dyDescent="0.25">
      <c r="A34" s="6" t="s">
        <v>95</v>
      </c>
      <c r="B34" s="7" t="s">
        <v>99</v>
      </c>
      <c r="C34" s="73">
        <v>77.918000000000006</v>
      </c>
      <c r="D34" s="73"/>
      <c r="E34" s="237" t="s">
        <v>319</v>
      </c>
      <c r="G34" s="244"/>
      <c r="H34">
        <f t="shared" si="0"/>
        <v>88107</v>
      </c>
      <c r="I34" t="s">
        <v>804</v>
      </c>
      <c r="J34">
        <v>49.2</v>
      </c>
      <c r="K34" t="s">
        <v>1429</v>
      </c>
      <c r="M34" t="str">
        <f t="shared" si="1"/>
        <v>SCTY132T1</v>
      </c>
      <c r="N34" t="str">
        <f>VLOOKUP(H34,'TNB Load'!$A$2:$F$1448,6,FALSE)</f>
        <v>WPKL</v>
      </c>
      <c r="O34">
        <f t="shared" si="2"/>
        <v>17.130299999999998</v>
      </c>
      <c r="R34">
        <v>61120</v>
      </c>
      <c r="S34" t="s">
        <v>904</v>
      </c>
      <c r="T34" t="s">
        <v>808</v>
      </c>
      <c r="U34" t="str">
        <f t="shared" si="3"/>
        <v>BSBU132</v>
      </c>
      <c r="W34" t="str">
        <f t="shared" si="4"/>
        <v>BSBU132T3</v>
      </c>
      <c r="X34">
        <v>0</v>
      </c>
      <c r="Z34" t="s">
        <v>904</v>
      </c>
      <c r="AA34" t="s">
        <v>808</v>
      </c>
      <c r="AB34" t="s">
        <v>1668</v>
      </c>
      <c r="AD34" t="s">
        <v>1671</v>
      </c>
      <c r="AE34">
        <v>0</v>
      </c>
      <c r="AF34">
        <v>61120</v>
      </c>
      <c r="AH34" t="s">
        <v>2379</v>
      </c>
    </row>
    <row r="35" spans="1:34" x14ac:dyDescent="0.25">
      <c r="A35" s="6" t="s">
        <v>148</v>
      </c>
      <c r="B35" s="7" t="s">
        <v>155</v>
      </c>
      <c r="C35" s="73">
        <v>72.869799999999998</v>
      </c>
      <c r="D35" s="73"/>
      <c r="E35" s="237" t="s">
        <v>323</v>
      </c>
      <c r="G35" s="244"/>
      <c r="H35">
        <f t="shared" si="0"/>
        <v>51038</v>
      </c>
      <c r="I35" t="s">
        <v>808</v>
      </c>
      <c r="J35">
        <v>49.2</v>
      </c>
      <c r="K35" t="s">
        <v>1430</v>
      </c>
      <c r="M35" t="str">
        <f t="shared" si="1"/>
        <v>CJYA132T3</v>
      </c>
      <c r="N35" t="str">
        <f>VLOOKUP(H35,'TNB Load'!$A$2:$F$1448,6,FALSE)</f>
        <v>SELANGOR</v>
      </c>
      <c r="O35">
        <f t="shared" si="2"/>
        <v>66.927400000000006</v>
      </c>
      <c r="R35">
        <v>61120</v>
      </c>
      <c r="S35" t="s">
        <v>904</v>
      </c>
      <c r="T35" t="s">
        <v>809</v>
      </c>
      <c r="U35" t="str">
        <f t="shared" si="3"/>
        <v>BSBU132</v>
      </c>
      <c r="W35" t="str">
        <f t="shared" si="4"/>
        <v>BSBU132T4</v>
      </c>
      <c r="X35">
        <v>0</v>
      </c>
      <c r="Z35" t="s">
        <v>904</v>
      </c>
      <c r="AA35" t="s">
        <v>809</v>
      </c>
      <c r="AB35" t="s">
        <v>1668</v>
      </c>
      <c r="AD35" t="s">
        <v>1672</v>
      </c>
      <c r="AE35">
        <v>0</v>
      </c>
      <c r="AF35">
        <v>61120</v>
      </c>
      <c r="AH35" t="s">
        <v>2055</v>
      </c>
    </row>
    <row r="36" spans="1:34" x14ac:dyDescent="0.25">
      <c r="A36" s="6" t="s">
        <v>146</v>
      </c>
      <c r="B36" s="7" t="s">
        <v>99</v>
      </c>
      <c r="C36" s="73">
        <v>64</v>
      </c>
      <c r="D36" s="73"/>
      <c r="E36" s="237" t="s">
        <v>317</v>
      </c>
      <c r="G36" s="244"/>
      <c r="H36">
        <f t="shared" si="0"/>
        <v>51038</v>
      </c>
      <c r="I36" t="s">
        <v>807</v>
      </c>
      <c r="J36">
        <v>49.2</v>
      </c>
      <c r="K36" t="s">
        <v>1430</v>
      </c>
      <c r="M36" t="str">
        <f t="shared" si="1"/>
        <v>CJYA132T2</v>
      </c>
      <c r="N36" t="str">
        <f>VLOOKUP(H36,'TNB Load'!$A$2:$F$1448,6,FALSE)</f>
        <v>SELANGOR</v>
      </c>
      <c r="O36">
        <f t="shared" si="2"/>
        <v>33.505600000000001</v>
      </c>
      <c r="R36">
        <v>61108</v>
      </c>
      <c r="S36" t="s">
        <v>968</v>
      </c>
      <c r="T36" t="s">
        <v>804</v>
      </c>
      <c r="U36" t="str">
        <f t="shared" si="3"/>
        <v>GCPD132</v>
      </c>
      <c r="W36" t="str">
        <f t="shared" si="4"/>
        <v>GCPD132T1</v>
      </c>
      <c r="X36">
        <v>6.242</v>
      </c>
      <c r="Z36" t="s">
        <v>968</v>
      </c>
      <c r="AA36" t="s">
        <v>804</v>
      </c>
      <c r="AB36" t="s">
        <v>1673</v>
      </c>
      <c r="AD36" t="s">
        <v>1674</v>
      </c>
      <c r="AE36">
        <v>6.242</v>
      </c>
      <c r="AF36">
        <v>61108</v>
      </c>
      <c r="AH36" t="s">
        <v>2054</v>
      </c>
    </row>
    <row r="37" spans="1:34" x14ac:dyDescent="0.25">
      <c r="A37" s="186" t="s">
        <v>340</v>
      </c>
      <c r="B37" s="185" t="s">
        <v>187</v>
      </c>
      <c r="C37" s="188">
        <v>67.903099999999995</v>
      </c>
      <c r="D37" s="188"/>
      <c r="E37" s="189" t="s">
        <v>324</v>
      </c>
      <c r="G37" s="244"/>
      <c r="H37">
        <f t="shared" si="0"/>
        <v>51038</v>
      </c>
      <c r="I37" t="s">
        <v>804</v>
      </c>
      <c r="J37">
        <v>49.2</v>
      </c>
      <c r="K37" t="s">
        <v>1430</v>
      </c>
      <c r="M37" t="str">
        <f t="shared" si="1"/>
        <v>CJYA132T1</v>
      </c>
      <c r="N37" t="str">
        <f>VLOOKUP(H37,'TNB Load'!$A$2:$F$1448,6,FALSE)</f>
        <v>SELANGOR</v>
      </c>
      <c r="O37">
        <f t="shared" si="2"/>
        <v>31.834299999999999</v>
      </c>
      <c r="R37">
        <v>61108</v>
      </c>
      <c r="S37" t="s">
        <v>968</v>
      </c>
      <c r="T37" t="s">
        <v>807</v>
      </c>
      <c r="U37" t="str">
        <f t="shared" si="3"/>
        <v>GCPD132</v>
      </c>
      <c r="W37" t="str">
        <f t="shared" si="4"/>
        <v>GCPD132T2</v>
      </c>
      <c r="X37">
        <v>6.2492000000000001</v>
      </c>
      <c r="Z37" t="s">
        <v>968</v>
      </c>
      <c r="AA37" t="s">
        <v>807</v>
      </c>
      <c r="AB37" t="s">
        <v>1673</v>
      </c>
      <c r="AD37" t="s">
        <v>1675</v>
      </c>
      <c r="AE37">
        <v>6.2492000000000001</v>
      </c>
      <c r="AF37">
        <v>61108</v>
      </c>
      <c r="AH37" t="s">
        <v>2053</v>
      </c>
    </row>
    <row r="38" spans="1:34" x14ac:dyDescent="0.25">
      <c r="A38" s="6" t="s">
        <v>96</v>
      </c>
      <c r="B38" s="7" t="s">
        <v>102</v>
      </c>
      <c r="C38" s="73">
        <v>20.286300000000001</v>
      </c>
      <c r="D38" s="73"/>
      <c r="E38" s="237" t="s">
        <v>325</v>
      </c>
      <c r="G38" s="244"/>
      <c r="H38">
        <f t="shared" si="0"/>
        <v>88195</v>
      </c>
      <c r="I38" t="s">
        <v>809</v>
      </c>
      <c r="J38">
        <v>49.2</v>
      </c>
      <c r="K38" t="s">
        <v>1431</v>
      </c>
      <c r="M38" t="str">
        <f t="shared" si="1"/>
        <v>DDSA132T4</v>
      </c>
      <c r="N38" t="str">
        <f>VLOOKUP(H38,'TNB Load'!$A$2:$F$1448,6,FALSE)</f>
        <v>WPKL</v>
      </c>
      <c r="O38">
        <f t="shared" si="2"/>
        <v>30.694299999999998</v>
      </c>
      <c r="R38">
        <v>61116</v>
      </c>
      <c r="S38" t="s">
        <v>978</v>
      </c>
      <c r="T38" t="s">
        <v>804</v>
      </c>
      <c r="U38" t="str">
        <f t="shared" si="3"/>
        <v>GRNE132</v>
      </c>
      <c r="W38" t="str">
        <f t="shared" si="4"/>
        <v>GRNE132T1</v>
      </c>
      <c r="X38">
        <v>16.930399999999999</v>
      </c>
      <c r="Z38" t="s">
        <v>978</v>
      </c>
      <c r="AA38" t="s">
        <v>804</v>
      </c>
      <c r="AB38" t="s">
        <v>1676</v>
      </c>
      <c r="AD38" t="s">
        <v>1677</v>
      </c>
      <c r="AE38">
        <v>16.930399999999999</v>
      </c>
      <c r="AF38">
        <v>61116</v>
      </c>
      <c r="AH38" t="s">
        <v>2288</v>
      </c>
    </row>
    <row r="39" spans="1:34" x14ac:dyDescent="0.25">
      <c r="A39" s="175" t="s">
        <v>95</v>
      </c>
      <c r="B39" s="184" t="s">
        <v>99</v>
      </c>
      <c r="C39" s="177">
        <v>74.321299999999994</v>
      </c>
      <c r="D39" s="177"/>
      <c r="E39" s="178" t="s">
        <v>316</v>
      </c>
      <c r="G39" s="244"/>
      <c r="H39">
        <f t="shared" si="0"/>
        <v>88195</v>
      </c>
      <c r="I39" t="s">
        <v>808</v>
      </c>
      <c r="J39">
        <v>49.2</v>
      </c>
      <c r="K39" t="s">
        <v>1431</v>
      </c>
      <c r="M39" t="str">
        <f t="shared" si="1"/>
        <v>DDSA132T3</v>
      </c>
      <c r="N39" t="str">
        <f>VLOOKUP(H39,'TNB Load'!$A$2:$F$1448,6,FALSE)</f>
        <v>WPKL</v>
      </c>
      <c r="O39">
        <f t="shared" si="2"/>
        <v>30.677700000000002</v>
      </c>
      <c r="R39">
        <v>61116</v>
      </c>
      <c r="S39" t="s">
        <v>978</v>
      </c>
      <c r="T39" t="s">
        <v>807</v>
      </c>
      <c r="U39" t="str">
        <f t="shared" si="3"/>
        <v>GRNE132</v>
      </c>
      <c r="W39" t="str">
        <f t="shared" si="4"/>
        <v>GRNE132T2</v>
      </c>
      <c r="X39">
        <v>16.932500000000001</v>
      </c>
      <c r="Z39" t="s">
        <v>978</v>
      </c>
      <c r="AA39" t="s">
        <v>807</v>
      </c>
      <c r="AB39" t="s">
        <v>1676</v>
      </c>
      <c r="AD39" t="s">
        <v>1678</v>
      </c>
      <c r="AE39">
        <v>16.932500000000001</v>
      </c>
      <c r="AF39">
        <v>61116</v>
      </c>
      <c r="AH39" t="s">
        <v>2287</v>
      </c>
    </row>
    <row r="40" spans="1:34" x14ac:dyDescent="0.25">
      <c r="A40" s="58" t="s">
        <v>97</v>
      </c>
      <c r="B40" s="7" t="s">
        <v>153</v>
      </c>
      <c r="C40" s="73">
        <v>51.971400000000003</v>
      </c>
      <c r="D40" s="73"/>
      <c r="E40" s="237" t="s">
        <v>326</v>
      </c>
      <c r="G40" s="244"/>
      <c r="H40">
        <f t="shared" si="0"/>
        <v>61119</v>
      </c>
      <c r="I40" t="s">
        <v>807</v>
      </c>
      <c r="J40">
        <v>49.2</v>
      </c>
      <c r="K40" t="s">
        <v>1432</v>
      </c>
      <c r="M40" t="str">
        <f t="shared" si="1"/>
        <v>MGON132T2</v>
      </c>
      <c r="N40" t="str">
        <f>VLOOKUP(H40,'TNB Load'!$A$2:$F$1448,6,FALSE)</f>
        <v>KEDAH</v>
      </c>
      <c r="O40">
        <f t="shared" si="2"/>
        <v>8.2529000000000003</v>
      </c>
      <c r="R40">
        <v>61109</v>
      </c>
      <c r="S40" t="s">
        <v>980</v>
      </c>
      <c r="T40" t="s">
        <v>804</v>
      </c>
      <c r="U40" t="str">
        <f t="shared" si="3"/>
        <v>GRUN132</v>
      </c>
      <c r="W40" t="str">
        <f t="shared" si="4"/>
        <v>GRUN132T1</v>
      </c>
      <c r="X40">
        <v>4.7176999999999998</v>
      </c>
      <c r="Z40" t="s">
        <v>980</v>
      </c>
      <c r="AA40" t="s">
        <v>804</v>
      </c>
      <c r="AB40" t="s">
        <v>1494</v>
      </c>
      <c r="AD40" t="s">
        <v>1679</v>
      </c>
      <c r="AE40">
        <v>4.7176999999999998</v>
      </c>
      <c r="AF40">
        <v>61109</v>
      </c>
      <c r="AH40" t="s">
        <v>1710</v>
      </c>
    </row>
    <row r="41" spans="1:34" x14ac:dyDescent="0.25">
      <c r="A41" s="58" t="s">
        <v>96</v>
      </c>
      <c r="B41" s="7" t="s">
        <v>101</v>
      </c>
      <c r="C41" s="73">
        <v>31.654699999999998</v>
      </c>
      <c r="D41" s="73"/>
      <c r="E41" s="237" t="s">
        <v>332</v>
      </c>
      <c r="G41" s="244"/>
      <c r="H41">
        <f t="shared" si="0"/>
        <v>61119</v>
      </c>
      <c r="I41" t="s">
        <v>804</v>
      </c>
      <c r="J41">
        <v>49.2</v>
      </c>
      <c r="K41" t="s">
        <v>1432</v>
      </c>
      <c r="M41" t="str">
        <f t="shared" si="1"/>
        <v>MGON132T1</v>
      </c>
      <c r="N41" t="str">
        <f>VLOOKUP(H41,'TNB Load'!$A$2:$F$1448,6,FALSE)</f>
        <v>KEDAH</v>
      </c>
      <c r="O41">
        <f t="shared" si="2"/>
        <v>8.2591000000000001</v>
      </c>
      <c r="R41">
        <v>61109</v>
      </c>
      <c r="S41" t="s">
        <v>980</v>
      </c>
      <c r="T41" t="s">
        <v>807</v>
      </c>
      <c r="U41" t="str">
        <f t="shared" si="3"/>
        <v>GRUN132</v>
      </c>
      <c r="W41" t="str">
        <f t="shared" si="4"/>
        <v>GRUN132T2</v>
      </c>
      <c r="X41">
        <v>4.6990999999999996</v>
      </c>
      <c r="Z41" t="s">
        <v>980</v>
      </c>
      <c r="AA41" t="s">
        <v>807</v>
      </c>
      <c r="AB41" t="s">
        <v>1494</v>
      </c>
      <c r="AD41" t="s">
        <v>1680</v>
      </c>
      <c r="AE41">
        <v>4.6990999999999996</v>
      </c>
      <c r="AF41">
        <v>61109</v>
      </c>
      <c r="AH41" t="s">
        <v>1709</v>
      </c>
    </row>
    <row r="42" spans="1:34" x14ac:dyDescent="0.25">
      <c r="A42" s="6" t="s">
        <v>96</v>
      </c>
      <c r="B42" s="7" t="s">
        <v>102</v>
      </c>
      <c r="C42" s="73">
        <v>9.4039999999999999</v>
      </c>
      <c r="D42" s="73"/>
      <c r="E42" s="237" t="s">
        <v>328</v>
      </c>
      <c r="G42" s="244"/>
      <c r="H42">
        <f t="shared" si="0"/>
        <v>61132</v>
      </c>
      <c r="I42" t="s">
        <v>807</v>
      </c>
      <c r="J42">
        <v>49.2</v>
      </c>
      <c r="K42" t="s">
        <v>1433</v>
      </c>
      <c r="M42" t="str">
        <f t="shared" si="1"/>
        <v>PAUH132T2</v>
      </c>
      <c r="N42" t="str">
        <f>VLOOKUP(H42,'TNB Load'!$A$2:$F$1448,6,FALSE)</f>
        <v>KEDAH</v>
      </c>
      <c r="O42">
        <f t="shared" si="2"/>
        <v>18.986899999999999</v>
      </c>
      <c r="R42">
        <v>61131</v>
      </c>
      <c r="S42" t="s">
        <v>982</v>
      </c>
      <c r="T42" t="s">
        <v>804</v>
      </c>
      <c r="U42" t="str">
        <f t="shared" si="3"/>
        <v>GTHR132</v>
      </c>
      <c r="W42" t="str">
        <f t="shared" si="4"/>
        <v>GTHR132T1</v>
      </c>
      <c r="X42">
        <v>45.993699999999997</v>
      </c>
      <c r="Z42" t="s">
        <v>982</v>
      </c>
      <c r="AA42" t="s">
        <v>804</v>
      </c>
      <c r="AB42" t="s">
        <v>1681</v>
      </c>
      <c r="AD42" t="s">
        <v>1682</v>
      </c>
      <c r="AE42">
        <v>45.993699999999997</v>
      </c>
      <c r="AF42">
        <v>61131</v>
      </c>
      <c r="AH42" t="s">
        <v>1714</v>
      </c>
    </row>
    <row r="43" spans="1:34" x14ac:dyDescent="0.25">
      <c r="A43" s="100" t="s">
        <v>95</v>
      </c>
      <c r="B43" s="98" t="s">
        <v>99</v>
      </c>
      <c r="C43" s="98">
        <v>60</v>
      </c>
      <c r="D43" s="98"/>
      <c r="E43" s="102" t="s">
        <v>333</v>
      </c>
      <c r="G43" s="244"/>
      <c r="H43">
        <f t="shared" si="0"/>
        <v>61132</v>
      </c>
      <c r="I43" t="s">
        <v>804</v>
      </c>
      <c r="J43">
        <v>49.2</v>
      </c>
      <c r="K43" t="s">
        <v>1433</v>
      </c>
      <c r="M43" t="str">
        <f t="shared" si="1"/>
        <v>PAUH132T1</v>
      </c>
      <c r="N43" t="str">
        <f>VLOOKUP(H43,'TNB Load'!$A$2:$F$1448,6,FALSE)</f>
        <v>KEDAH</v>
      </c>
      <c r="O43">
        <f t="shared" si="2"/>
        <v>18.808800000000002</v>
      </c>
      <c r="R43">
        <v>61131</v>
      </c>
      <c r="S43" t="s">
        <v>982</v>
      </c>
      <c r="T43" t="s">
        <v>807</v>
      </c>
      <c r="U43" t="str">
        <f t="shared" si="3"/>
        <v>GTHR132</v>
      </c>
      <c r="W43" t="str">
        <f t="shared" si="4"/>
        <v>GTHR132T2</v>
      </c>
      <c r="X43">
        <v>45.768000000000001</v>
      </c>
      <c r="Z43" t="s">
        <v>982</v>
      </c>
      <c r="AA43" t="s">
        <v>807</v>
      </c>
      <c r="AB43" t="s">
        <v>1681</v>
      </c>
      <c r="AD43" t="s">
        <v>1683</v>
      </c>
      <c r="AE43">
        <v>45.768000000000001</v>
      </c>
      <c r="AF43">
        <v>61131</v>
      </c>
      <c r="AH43" t="s">
        <v>1713</v>
      </c>
    </row>
    <row r="44" spans="1:34" x14ac:dyDescent="0.25">
      <c r="A44" s="22" t="s">
        <v>183</v>
      </c>
      <c r="B44" s="17" t="s">
        <v>102</v>
      </c>
      <c r="C44" s="72">
        <v>26.876999999999999</v>
      </c>
      <c r="D44" s="72"/>
      <c r="E44" s="17" t="s">
        <v>337</v>
      </c>
      <c r="G44" s="244"/>
      <c r="H44">
        <f t="shared" si="0"/>
        <v>63127</v>
      </c>
      <c r="I44" s="246" t="s">
        <v>809</v>
      </c>
      <c r="J44" s="246">
        <v>49.1</v>
      </c>
      <c r="K44" s="246" t="s">
        <v>1434</v>
      </c>
      <c r="M44" t="str">
        <f t="shared" si="1"/>
        <v>TMOH132T4</v>
      </c>
      <c r="N44" t="str">
        <f>VLOOKUP(H44,'TNB Load'!$A$2:$F$1448,6,FALSE)</f>
        <v>PERAK</v>
      </c>
      <c r="O44">
        <f t="shared" si="2"/>
        <v>11.214399999999999</v>
      </c>
      <c r="R44">
        <v>61127</v>
      </c>
      <c r="S44" t="s">
        <v>1006</v>
      </c>
      <c r="T44" t="s">
        <v>804</v>
      </c>
      <c r="U44" t="str">
        <f t="shared" si="3"/>
        <v>INTN132</v>
      </c>
      <c r="W44" t="str">
        <f t="shared" si="4"/>
        <v>INTN132T1</v>
      </c>
      <c r="X44">
        <v>16.5214</v>
      </c>
      <c r="Z44" t="s">
        <v>1006</v>
      </c>
      <c r="AA44" t="s">
        <v>804</v>
      </c>
      <c r="AB44" t="s">
        <v>1449</v>
      </c>
      <c r="AD44" t="s">
        <v>1684</v>
      </c>
      <c r="AE44">
        <v>16.5214</v>
      </c>
      <c r="AF44">
        <v>61127</v>
      </c>
      <c r="AH44" t="s">
        <v>1950</v>
      </c>
    </row>
    <row r="45" spans="1:34" x14ac:dyDescent="0.25">
      <c r="A45" s="22" t="s">
        <v>184</v>
      </c>
      <c r="B45" s="17" t="s">
        <v>190</v>
      </c>
      <c r="C45" s="72">
        <v>32.391599999999997</v>
      </c>
      <c r="D45" s="72"/>
      <c r="E45" s="17" t="s">
        <v>338</v>
      </c>
      <c r="G45" s="244"/>
      <c r="H45">
        <f t="shared" si="0"/>
        <v>63127</v>
      </c>
      <c r="I45" s="246" t="s">
        <v>808</v>
      </c>
      <c r="J45" s="246">
        <v>49.1</v>
      </c>
      <c r="K45" s="246" t="s">
        <v>1434</v>
      </c>
      <c r="M45" t="str">
        <f t="shared" si="1"/>
        <v>TMOH132T3</v>
      </c>
      <c r="N45" t="str">
        <f>VLOOKUP(H45,'TNB Load'!$A$2:$F$1448,6,FALSE)</f>
        <v>PERAK</v>
      </c>
      <c r="O45">
        <f t="shared" si="2"/>
        <v>11.390499999999999</v>
      </c>
      <c r="R45">
        <v>61127</v>
      </c>
      <c r="S45" t="s">
        <v>1006</v>
      </c>
      <c r="T45" t="s">
        <v>807</v>
      </c>
      <c r="U45" t="str">
        <f t="shared" si="3"/>
        <v>INTN132</v>
      </c>
      <c r="W45" t="str">
        <f t="shared" si="4"/>
        <v>INTN132T2</v>
      </c>
      <c r="X45">
        <v>15.035399999999999</v>
      </c>
      <c r="Z45" t="s">
        <v>1006</v>
      </c>
      <c r="AA45" t="s">
        <v>807</v>
      </c>
      <c r="AB45" t="s">
        <v>1449</v>
      </c>
      <c r="AD45" t="s">
        <v>1685</v>
      </c>
      <c r="AE45">
        <v>15.035399999999999</v>
      </c>
      <c r="AF45">
        <v>61127</v>
      </c>
      <c r="AH45" t="s">
        <v>1949</v>
      </c>
    </row>
    <row r="46" spans="1:34" x14ac:dyDescent="0.25">
      <c r="A46" s="22" t="s">
        <v>96</v>
      </c>
      <c r="B46" s="17" t="s">
        <v>102</v>
      </c>
      <c r="C46" s="72">
        <v>18.985199999999999</v>
      </c>
      <c r="D46" s="72"/>
      <c r="E46" s="17" t="s">
        <v>621</v>
      </c>
      <c r="G46" s="244"/>
      <c r="H46">
        <f t="shared" si="0"/>
        <v>63155</v>
      </c>
      <c r="I46" s="246" t="s">
        <v>809</v>
      </c>
      <c r="J46" s="246">
        <v>49.1</v>
      </c>
      <c r="K46" s="246" t="s">
        <v>1435</v>
      </c>
      <c r="M46" t="str">
        <f t="shared" si="1"/>
        <v>KLBG132T4</v>
      </c>
      <c r="N46" t="str">
        <f>VLOOKUP(H46,'TNB Load'!$A$2:$F$1448,6,FALSE)</f>
        <v>PERAK</v>
      </c>
      <c r="O46">
        <f t="shared" si="2"/>
        <v>11.235200000000001</v>
      </c>
      <c r="R46">
        <v>61127</v>
      </c>
      <c r="S46" t="s">
        <v>1006</v>
      </c>
      <c r="T46" t="s">
        <v>808</v>
      </c>
      <c r="U46" t="str">
        <f t="shared" si="3"/>
        <v>INTN132</v>
      </c>
      <c r="W46" t="str">
        <f t="shared" si="4"/>
        <v>INTN132T3</v>
      </c>
      <c r="X46">
        <v>25.370799999999999</v>
      </c>
      <c r="Z46" t="s">
        <v>1006</v>
      </c>
      <c r="AA46" t="s">
        <v>808</v>
      </c>
      <c r="AB46" t="s">
        <v>1449</v>
      </c>
      <c r="AD46" t="s">
        <v>1686</v>
      </c>
      <c r="AE46">
        <v>25.370799999999999</v>
      </c>
      <c r="AF46">
        <v>61127</v>
      </c>
      <c r="AH46" t="s">
        <v>1863</v>
      </c>
    </row>
    <row r="47" spans="1:34" x14ac:dyDescent="0.25">
      <c r="A47" s="22" t="s">
        <v>192</v>
      </c>
      <c r="B47" s="17" t="s">
        <v>191</v>
      </c>
      <c r="C47" s="72">
        <v>130</v>
      </c>
      <c r="D47" s="72"/>
      <c r="E47" s="17" t="s">
        <v>622</v>
      </c>
      <c r="G47" s="244"/>
      <c r="H47">
        <f t="shared" si="0"/>
        <v>63155</v>
      </c>
      <c r="I47" s="246" t="s">
        <v>808</v>
      </c>
      <c r="J47" s="246">
        <v>49.1</v>
      </c>
      <c r="K47" s="246" t="s">
        <v>1435</v>
      </c>
      <c r="M47" t="str">
        <f t="shared" si="1"/>
        <v>KLBG132T3</v>
      </c>
      <c r="N47" t="str">
        <f>VLOOKUP(H47,'TNB Load'!$A$2:$F$1448,6,FALSE)</f>
        <v>PERAK</v>
      </c>
      <c r="O47">
        <f t="shared" si="2"/>
        <v>11.2807</v>
      </c>
      <c r="R47">
        <v>61127</v>
      </c>
      <c r="S47" t="s">
        <v>1006</v>
      </c>
      <c r="T47" t="s">
        <v>809</v>
      </c>
      <c r="U47" t="str">
        <f t="shared" si="3"/>
        <v>INTN132</v>
      </c>
      <c r="W47" t="str">
        <f t="shared" si="4"/>
        <v>INTN132T4</v>
      </c>
      <c r="X47">
        <v>24.5185</v>
      </c>
      <c r="Z47" t="s">
        <v>1006</v>
      </c>
      <c r="AA47" t="s">
        <v>809</v>
      </c>
      <c r="AB47" t="s">
        <v>1449</v>
      </c>
      <c r="AD47" t="s">
        <v>1687</v>
      </c>
      <c r="AE47">
        <v>24.5185</v>
      </c>
      <c r="AF47">
        <v>61127</v>
      </c>
      <c r="AH47" t="s">
        <v>1862</v>
      </c>
    </row>
    <row r="48" spans="1:34" x14ac:dyDescent="0.25">
      <c r="A48" s="22" t="s">
        <v>97</v>
      </c>
      <c r="B48" s="41" t="s">
        <v>103</v>
      </c>
      <c r="C48" s="72">
        <v>41.836399999999998</v>
      </c>
      <c r="D48" s="72"/>
      <c r="E48" s="241" t="s">
        <v>623</v>
      </c>
      <c r="G48" s="244"/>
      <c r="H48">
        <f t="shared" si="0"/>
        <v>63142</v>
      </c>
      <c r="I48" s="246" t="s">
        <v>807</v>
      </c>
      <c r="J48" s="246">
        <v>49.1</v>
      </c>
      <c r="K48" s="246" t="s">
        <v>1436</v>
      </c>
      <c r="M48" t="str">
        <f t="shared" si="1"/>
        <v>NKAN132T2</v>
      </c>
      <c r="N48" t="str">
        <f>VLOOKUP(H48,'TNB Load'!$A$2:$F$1448,6,FALSE)</f>
        <v>PERAK</v>
      </c>
      <c r="O48">
        <f t="shared" si="2"/>
        <v>14.807600000000001</v>
      </c>
      <c r="R48">
        <v>61107</v>
      </c>
      <c r="S48" t="s">
        <v>1014</v>
      </c>
      <c r="T48" t="s">
        <v>804</v>
      </c>
      <c r="U48" t="str">
        <f t="shared" si="3"/>
        <v>JENG132</v>
      </c>
      <c r="W48" t="str">
        <f t="shared" si="4"/>
        <v>JENG132T1</v>
      </c>
      <c r="X48">
        <v>14.4773</v>
      </c>
      <c r="Z48" t="s">
        <v>1014</v>
      </c>
      <c r="AA48" t="s">
        <v>804</v>
      </c>
      <c r="AB48" t="s">
        <v>1495</v>
      </c>
      <c r="AD48" t="s">
        <v>1688</v>
      </c>
      <c r="AE48">
        <v>14.4773</v>
      </c>
      <c r="AF48">
        <v>61107</v>
      </c>
      <c r="AH48" t="s">
        <v>1893</v>
      </c>
    </row>
    <row r="49" spans="1:34" x14ac:dyDescent="0.25">
      <c r="A49" s="22" t="s">
        <v>96</v>
      </c>
      <c r="B49" s="17" t="s">
        <v>102</v>
      </c>
      <c r="C49" s="72">
        <v>28.040600000000001</v>
      </c>
      <c r="D49" s="72"/>
      <c r="E49" s="17" t="s">
        <v>335</v>
      </c>
      <c r="G49" s="244"/>
      <c r="H49">
        <f t="shared" si="0"/>
        <v>63142</v>
      </c>
      <c r="I49" s="246" t="s">
        <v>804</v>
      </c>
      <c r="J49" s="246">
        <v>49.1</v>
      </c>
      <c r="K49" s="246" t="s">
        <v>1436</v>
      </c>
      <c r="M49" t="str">
        <f t="shared" si="1"/>
        <v>NKAN132T1</v>
      </c>
      <c r="N49" t="str">
        <f>VLOOKUP(H49,'TNB Load'!$A$2:$F$1448,6,FALSE)</f>
        <v>PERAK</v>
      </c>
      <c r="O49">
        <f t="shared" si="2"/>
        <v>14.7455</v>
      </c>
      <c r="R49">
        <v>61107</v>
      </c>
      <c r="S49" t="s">
        <v>1014</v>
      </c>
      <c r="T49" t="s">
        <v>807</v>
      </c>
      <c r="U49" t="str">
        <f t="shared" si="3"/>
        <v>JENG132</v>
      </c>
      <c r="W49" t="str">
        <f t="shared" si="4"/>
        <v>JENG132T2</v>
      </c>
      <c r="X49">
        <v>13.914</v>
      </c>
      <c r="Z49" t="s">
        <v>1014</v>
      </c>
      <c r="AA49" t="s">
        <v>807</v>
      </c>
      <c r="AB49" t="s">
        <v>1495</v>
      </c>
      <c r="AD49" t="s">
        <v>1689</v>
      </c>
      <c r="AE49">
        <v>13.914</v>
      </c>
      <c r="AF49">
        <v>61107</v>
      </c>
      <c r="AH49" t="s">
        <v>1892</v>
      </c>
    </row>
    <row r="50" spans="1:34" x14ac:dyDescent="0.25">
      <c r="A50" s="22" t="s">
        <v>97</v>
      </c>
      <c r="B50" s="17" t="s">
        <v>189</v>
      </c>
      <c r="C50" s="72">
        <v>98.081900000000005</v>
      </c>
      <c r="D50" s="72"/>
      <c r="E50" s="17" t="s">
        <v>336</v>
      </c>
      <c r="G50" s="244"/>
      <c r="H50">
        <f t="shared" si="0"/>
        <v>63134</v>
      </c>
      <c r="I50" s="246" t="s">
        <v>807</v>
      </c>
      <c r="J50" s="246">
        <v>49.1</v>
      </c>
      <c r="K50" s="246" t="s">
        <v>1437</v>
      </c>
      <c r="M50" t="str">
        <f t="shared" si="1"/>
        <v>TASK132T2</v>
      </c>
      <c r="N50" t="str">
        <f>VLOOKUP(H50,'TNB Load'!$A$2:$F$1448,6,FALSE)</f>
        <v>PERAK</v>
      </c>
      <c r="O50">
        <f t="shared" si="2"/>
        <v>4.7218999999999998</v>
      </c>
      <c r="R50">
        <v>61141</v>
      </c>
      <c r="S50" t="s">
        <v>1035</v>
      </c>
      <c r="T50" t="s">
        <v>804</v>
      </c>
      <c r="U50" t="str">
        <f t="shared" si="3"/>
        <v>KERC132</v>
      </c>
      <c r="W50" t="str">
        <f t="shared" si="4"/>
        <v>KERC132T1</v>
      </c>
      <c r="X50">
        <v>0</v>
      </c>
      <c r="Z50" t="s">
        <v>1035</v>
      </c>
      <c r="AA50" t="s">
        <v>804</v>
      </c>
      <c r="AB50" t="s">
        <v>1690</v>
      </c>
      <c r="AD50" t="s">
        <v>1691</v>
      </c>
      <c r="AE50">
        <v>0</v>
      </c>
      <c r="AF50">
        <v>61141</v>
      </c>
      <c r="AH50" t="s">
        <v>1932</v>
      </c>
    </row>
    <row r="51" spans="1:34" x14ac:dyDescent="0.25">
      <c r="A51" s="22" t="s">
        <v>96</v>
      </c>
      <c r="B51" s="17" t="s">
        <v>102</v>
      </c>
      <c r="C51" s="72">
        <v>23.207999999999998</v>
      </c>
      <c r="D51" s="72"/>
      <c r="E51" s="17" t="s">
        <v>626</v>
      </c>
      <c r="G51" s="244"/>
      <c r="H51">
        <f t="shared" si="0"/>
        <v>63134</v>
      </c>
      <c r="I51" s="246" t="s">
        <v>804</v>
      </c>
      <c r="J51" s="246">
        <v>49.1</v>
      </c>
      <c r="K51" s="246" t="s">
        <v>1437</v>
      </c>
      <c r="M51" t="str">
        <f t="shared" si="1"/>
        <v>TASK132T1</v>
      </c>
      <c r="N51" t="str">
        <f>VLOOKUP(H51,'TNB Load'!$A$2:$F$1448,6,FALSE)</f>
        <v>PERAK</v>
      </c>
      <c r="O51">
        <f t="shared" si="2"/>
        <v>4.8460999999999999</v>
      </c>
      <c r="R51">
        <v>61141</v>
      </c>
      <c r="S51" t="s">
        <v>1035</v>
      </c>
      <c r="T51" t="s">
        <v>807</v>
      </c>
      <c r="U51" t="str">
        <f t="shared" si="3"/>
        <v>KERC132</v>
      </c>
      <c r="W51" t="str">
        <f t="shared" si="4"/>
        <v>KERC132T2</v>
      </c>
      <c r="X51">
        <v>0</v>
      </c>
      <c r="Z51" t="s">
        <v>1035</v>
      </c>
      <c r="AA51" t="s">
        <v>807</v>
      </c>
      <c r="AB51" t="s">
        <v>1690</v>
      </c>
      <c r="AD51" t="s">
        <v>1692</v>
      </c>
      <c r="AE51">
        <v>0</v>
      </c>
      <c r="AF51">
        <v>61141</v>
      </c>
      <c r="AH51" t="s">
        <v>1931</v>
      </c>
    </row>
    <row r="52" spans="1:34" x14ac:dyDescent="0.25">
      <c r="A52" s="81" t="s">
        <v>743</v>
      </c>
      <c r="B52" s="67" t="s">
        <v>99</v>
      </c>
      <c r="C52" s="72"/>
      <c r="D52" s="72"/>
      <c r="E52" s="17" t="s">
        <v>747</v>
      </c>
      <c r="G52" s="244"/>
      <c r="H52">
        <f t="shared" si="0"/>
        <v>88162</v>
      </c>
      <c r="I52" s="246" t="s">
        <v>810</v>
      </c>
      <c r="J52" s="246">
        <v>49.1</v>
      </c>
      <c r="K52" s="246" t="s">
        <v>1438</v>
      </c>
      <c r="M52" t="str">
        <f t="shared" si="1"/>
        <v>SPKC132T5</v>
      </c>
      <c r="N52" t="str">
        <f>VLOOKUP(H52,'TNB Load'!$A$2:$F$1448,6,FALSE)</f>
        <v>WPKL</v>
      </c>
      <c r="O52">
        <f t="shared" si="2"/>
        <v>55.768799999999999</v>
      </c>
      <c r="R52">
        <v>61122</v>
      </c>
      <c r="S52" t="s">
        <v>1052</v>
      </c>
      <c r="T52" t="s">
        <v>804</v>
      </c>
      <c r="U52" t="str">
        <f t="shared" si="3"/>
        <v>KKTL132</v>
      </c>
      <c r="W52" t="str">
        <f t="shared" si="4"/>
        <v>KKTL132T1</v>
      </c>
      <c r="X52">
        <v>2.9998</v>
      </c>
      <c r="Z52" t="s">
        <v>1052</v>
      </c>
      <c r="AA52" t="s">
        <v>804</v>
      </c>
      <c r="AB52" t="s">
        <v>1693</v>
      </c>
      <c r="AD52" t="s">
        <v>1694</v>
      </c>
      <c r="AE52">
        <v>2.9998</v>
      </c>
      <c r="AF52">
        <v>61122</v>
      </c>
      <c r="AH52" t="s">
        <v>2392</v>
      </c>
    </row>
    <row r="53" spans="1:34" x14ac:dyDescent="0.25">
      <c r="A53" s="22" t="s">
        <v>745</v>
      </c>
      <c r="B53" s="67">
        <v>35</v>
      </c>
      <c r="C53" s="72"/>
      <c r="D53" s="72"/>
      <c r="E53" s="17" t="s">
        <v>746</v>
      </c>
      <c r="G53" s="244"/>
      <c r="H53">
        <f t="shared" si="0"/>
        <v>88162</v>
      </c>
      <c r="I53" s="246" t="s">
        <v>809</v>
      </c>
      <c r="J53" s="246">
        <v>49.1</v>
      </c>
      <c r="K53" s="246" t="s">
        <v>1438</v>
      </c>
      <c r="M53" t="str">
        <f t="shared" si="1"/>
        <v>SPKC132T4</v>
      </c>
      <c r="N53" t="str">
        <f>VLOOKUP(H53,'TNB Load'!$A$2:$F$1448,6,FALSE)</f>
        <v>WPKL</v>
      </c>
      <c r="O53">
        <f t="shared" si="2"/>
        <v>49.403599999999997</v>
      </c>
      <c r="R53">
        <v>61122</v>
      </c>
      <c r="S53" t="s">
        <v>1052</v>
      </c>
      <c r="T53" t="s">
        <v>807</v>
      </c>
      <c r="U53" t="str">
        <f t="shared" si="3"/>
        <v>KKTL132</v>
      </c>
      <c r="W53" t="str">
        <f t="shared" si="4"/>
        <v>KKTL132T2</v>
      </c>
      <c r="X53">
        <v>6.8404999999999996</v>
      </c>
      <c r="Z53" t="s">
        <v>1052</v>
      </c>
      <c r="AA53" t="s">
        <v>807</v>
      </c>
      <c r="AB53" t="s">
        <v>1693</v>
      </c>
      <c r="AD53" t="s">
        <v>1695</v>
      </c>
      <c r="AE53">
        <v>6.8404999999999996</v>
      </c>
      <c r="AF53">
        <v>61122</v>
      </c>
      <c r="AH53" t="s">
        <v>2391</v>
      </c>
    </row>
    <row r="54" spans="1:34" x14ac:dyDescent="0.25">
      <c r="A54" s="22" t="s">
        <v>97</v>
      </c>
      <c r="B54" s="17" t="s">
        <v>103</v>
      </c>
      <c r="C54" s="72">
        <v>61.612099999999998</v>
      </c>
      <c r="D54" s="72"/>
      <c r="E54" s="17" t="s">
        <v>627</v>
      </c>
      <c r="G54" s="244"/>
      <c r="H54">
        <f t="shared" si="0"/>
        <v>88162</v>
      </c>
      <c r="I54" s="246" t="s">
        <v>808</v>
      </c>
      <c r="J54" s="246">
        <v>49.1</v>
      </c>
      <c r="K54" s="246" t="s">
        <v>1438</v>
      </c>
      <c r="M54" t="str">
        <f t="shared" si="1"/>
        <v>SPKC132T3</v>
      </c>
      <c r="N54" t="str">
        <f>VLOOKUP(H54,'TNB Load'!$A$2:$F$1448,6,FALSE)</f>
        <v>WPKL</v>
      </c>
      <c r="O54">
        <f t="shared" si="2"/>
        <v>49.652200000000001</v>
      </c>
      <c r="R54">
        <v>61122</v>
      </c>
      <c r="S54" t="s">
        <v>1052</v>
      </c>
      <c r="T54" t="s">
        <v>808</v>
      </c>
      <c r="U54" t="str">
        <f t="shared" si="3"/>
        <v>KKTL132</v>
      </c>
      <c r="W54" t="str">
        <f t="shared" si="4"/>
        <v>KKTL132T3</v>
      </c>
      <c r="X54">
        <v>20.565999999999999</v>
      </c>
      <c r="Z54" t="s">
        <v>1052</v>
      </c>
      <c r="AA54" t="s">
        <v>808</v>
      </c>
      <c r="AB54" t="s">
        <v>1693</v>
      </c>
      <c r="AD54" t="s">
        <v>1696</v>
      </c>
      <c r="AE54">
        <v>20.565999999999999</v>
      </c>
      <c r="AF54">
        <v>61122</v>
      </c>
      <c r="AH54" t="s">
        <v>2390</v>
      </c>
    </row>
    <row r="55" spans="1:34" x14ac:dyDescent="0.25">
      <c r="A55" s="23" t="s">
        <v>95</v>
      </c>
      <c r="B55" s="17" t="s">
        <v>99</v>
      </c>
      <c r="C55" s="72">
        <v>85.188500000000005</v>
      </c>
      <c r="D55" s="72"/>
      <c r="E55" s="241" t="s">
        <v>334</v>
      </c>
      <c r="G55" s="244"/>
      <c r="H55">
        <f t="shared" si="0"/>
        <v>51023</v>
      </c>
      <c r="I55" s="246" t="s">
        <v>807</v>
      </c>
      <c r="J55" s="246">
        <v>49.1</v>
      </c>
      <c r="K55" s="246" t="s">
        <v>1439</v>
      </c>
      <c r="M55" t="str">
        <f t="shared" si="1"/>
        <v>NUNI132T2</v>
      </c>
      <c r="N55" t="str">
        <f>VLOOKUP(H55,'TNB Load'!$A$2:$F$1448,6,FALSE)</f>
        <v>SELANGOR</v>
      </c>
      <c r="O55">
        <f t="shared" si="2"/>
        <v>13.096</v>
      </c>
      <c r="R55">
        <v>61122</v>
      </c>
      <c r="S55" t="s">
        <v>1052</v>
      </c>
      <c r="T55" t="s">
        <v>809</v>
      </c>
      <c r="U55" t="str">
        <f t="shared" si="3"/>
        <v>KKTL132</v>
      </c>
      <c r="W55" t="str">
        <f t="shared" si="4"/>
        <v>KKTL132T4</v>
      </c>
      <c r="X55">
        <v>20.787600000000001</v>
      </c>
      <c r="Z55" t="s">
        <v>1052</v>
      </c>
      <c r="AA55" t="s">
        <v>809</v>
      </c>
      <c r="AB55" t="s">
        <v>1693</v>
      </c>
      <c r="AD55" t="s">
        <v>1697</v>
      </c>
      <c r="AE55">
        <v>20.787600000000001</v>
      </c>
      <c r="AF55">
        <v>61122</v>
      </c>
      <c r="AH55" t="s">
        <v>2143</v>
      </c>
    </row>
    <row r="56" spans="1:34" x14ac:dyDescent="0.25">
      <c r="A56" s="22" t="s">
        <v>97</v>
      </c>
      <c r="B56" s="17" t="s">
        <v>103</v>
      </c>
      <c r="C56" s="72">
        <v>75.867199999999997</v>
      </c>
      <c r="D56" s="72"/>
      <c r="E56" s="17" t="s">
        <v>624</v>
      </c>
      <c r="G56" s="244"/>
      <c r="H56">
        <f t="shared" si="0"/>
        <v>51023</v>
      </c>
      <c r="I56" s="246" t="s">
        <v>804</v>
      </c>
      <c r="J56" s="246">
        <v>49.1</v>
      </c>
      <c r="K56" s="246" t="s">
        <v>1439</v>
      </c>
      <c r="M56" t="str">
        <f t="shared" si="1"/>
        <v>NUNI132T1</v>
      </c>
      <c r="N56" t="str">
        <f>VLOOKUP(H56,'TNB Load'!$A$2:$F$1448,6,FALSE)</f>
        <v>SELANGOR</v>
      </c>
      <c r="O56">
        <f t="shared" si="2"/>
        <v>12.718999999999999</v>
      </c>
      <c r="R56">
        <v>61113</v>
      </c>
      <c r="S56" t="s">
        <v>1065</v>
      </c>
      <c r="T56" t="s">
        <v>804</v>
      </c>
      <c r="U56" t="str">
        <f t="shared" si="3"/>
        <v>KLIM132</v>
      </c>
      <c r="W56" t="str">
        <f t="shared" si="4"/>
        <v>KLIM132T1</v>
      </c>
      <c r="X56">
        <v>34.639499999999998</v>
      </c>
      <c r="Z56" t="s">
        <v>1065</v>
      </c>
      <c r="AA56" t="s">
        <v>804</v>
      </c>
      <c r="AB56" t="s">
        <v>1698</v>
      </c>
      <c r="AD56" t="s">
        <v>1699</v>
      </c>
      <c r="AE56">
        <v>34.639499999999998</v>
      </c>
      <c r="AF56">
        <v>61113</v>
      </c>
      <c r="AH56" t="s">
        <v>2142</v>
      </c>
    </row>
    <row r="57" spans="1:34" x14ac:dyDescent="0.25">
      <c r="A57" s="22" t="s">
        <v>95</v>
      </c>
      <c r="B57" s="17" t="s">
        <v>99</v>
      </c>
      <c r="C57" s="72">
        <v>65.073499999999996</v>
      </c>
      <c r="D57" s="72"/>
      <c r="E57" s="17" t="s">
        <v>625</v>
      </c>
      <c r="G57" s="244"/>
      <c r="H57">
        <f t="shared" si="0"/>
        <v>97186</v>
      </c>
      <c r="I57" s="246" t="s">
        <v>807</v>
      </c>
      <c r="J57" s="246">
        <v>49.1</v>
      </c>
      <c r="K57" s="246" t="s">
        <v>1440</v>
      </c>
      <c r="M57" t="str">
        <f t="shared" si="1"/>
        <v>TBRU132T2</v>
      </c>
      <c r="N57" t="str">
        <f>VLOOKUP(H57,'TNB Load'!$A$2:$F$1448,6,FALSE)</f>
        <v>JOHOR</v>
      </c>
      <c r="O57">
        <f t="shared" si="2"/>
        <v>0</v>
      </c>
      <c r="R57">
        <v>61113</v>
      </c>
      <c r="S57" t="s">
        <v>1065</v>
      </c>
      <c r="T57" t="s">
        <v>807</v>
      </c>
      <c r="U57" t="str">
        <f t="shared" si="3"/>
        <v>KLIM132</v>
      </c>
      <c r="W57" t="str">
        <f t="shared" si="4"/>
        <v>KLIM132T2</v>
      </c>
      <c r="X57">
        <v>34.868299999999998</v>
      </c>
      <c r="Z57" t="s">
        <v>1065</v>
      </c>
      <c r="AA57" t="s">
        <v>807</v>
      </c>
      <c r="AB57" t="s">
        <v>1698</v>
      </c>
      <c r="AD57" t="s">
        <v>1700</v>
      </c>
      <c r="AE57">
        <v>34.868299999999998</v>
      </c>
      <c r="AF57">
        <v>61113</v>
      </c>
      <c r="AH57" t="s">
        <v>2840</v>
      </c>
    </row>
    <row r="58" spans="1:34" x14ac:dyDescent="0.25">
      <c r="A58" s="22" t="s">
        <v>95</v>
      </c>
      <c r="B58" s="17" t="s">
        <v>99</v>
      </c>
      <c r="C58" s="72">
        <v>85.680400000000006</v>
      </c>
      <c r="D58" s="72"/>
      <c r="E58" s="17" t="s">
        <v>628</v>
      </c>
      <c r="G58" s="244"/>
      <c r="H58">
        <f t="shared" si="0"/>
        <v>97186</v>
      </c>
      <c r="I58" s="246" t="s">
        <v>804</v>
      </c>
      <c r="J58" s="246">
        <v>49.1</v>
      </c>
      <c r="K58" s="246" t="s">
        <v>1440</v>
      </c>
      <c r="M58" t="str">
        <f t="shared" si="1"/>
        <v>TBRU132T1</v>
      </c>
      <c r="N58" t="str">
        <f>VLOOKUP(H58,'TNB Load'!$A$2:$F$1448,6,FALSE)</f>
        <v>JOHOR</v>
      </c>
      <c r="O58">
        <f t="shared" si="2"/>
        <v>23.229299999999999</v>
      </c>
      <c r="R58">
        <v>61135</v>
      </c>
      <c r="S58" t="s">
        <v>1097</v>
      </c>
      <c r="T58" t="s">
        <v>804</v>
      </c>
      <c r="U58" t="str">
        <f t="shared" si="3"/>
        <v>KSSM132</v>
      </c>
      <c r="W58" t="str">
        <f t="shared" si="4"/>
        <v>KSSM132T1</v>
      </c>
      <c r="X58">
        <v>5.3318000000000003</v>
      </c>
      <c r="Z58" t="s">
        <v>1097</v>
      </c>
      <c r="AA58" t="s">
        <v>804</v>
      </c>
      <c r="AB58" t="s">
        <v>1701</v>
      </c>
      <c r="AD58" t="s">
        <v>1702</v>
      </c>
      <c r="AE58">
        <v>5.3318000000000003</v>
      </c>
      <c r="AF58">
        <v>61135</v>
      </c>
      <c r="AH58" t="s">
        <v>2839</v>
      </c>
    </row>
    <row r="59" spans="1:34" x14ac:dyDescent="0.25">
      <c r="A59" s="13" t="s">
        <v>97</v>
      </c>
      <c r="B59" s="14" t="s">
        <v>103</v>
      </c>
      <c r="C59" s="91">
        <v>52.130299999999998</v>
      </c>
      <c r="D59" s="91"/>
      <c r="E59" s="14" t="s">
        <v>629</v>
      </c>
      <c r="G59" s="244"/>
      <c r="H59">
        <f t="shared" si="0"/>
        <v>74145</v>
      </c>
      <c r="I59" s="246" t="s">
        <v>807</v>
      </c>
      <c r="J59" s="246">
        <v>49.1</v>
      </c>
      <c r="K59" s="246" t="s">
        <v>1441</v>
      </c>
      <c r="M59" t="str">
        <f t="shared" si="1"/>
        <v>KRYG132T2</v>
      </c>
      <c r="N59" t="str">
        <f>VLOOKUP(H59,'TNB Load'!$A$2:$F$1448,6,FALSE)</f>
        <v>PAHANG</v>
      </c>
      <c r="O59">
        <f t="shared" si="2"/>
        <v>0</v>
      </c>
      <c r="R59">
        <v>61135</v>
      </c>
      <c r="S59" t="s">
        <v>1097</v>
      </c>
      <c r="T59" t="s">
        <v>807</v>
      </c>
      <c r="U59" t="str">
        <f t="shared" si="3"/>
        <v>KSSM132</v>
      </c>
      <c r="W59" t="str">
        <f t="shared" si="4"/>
        <v>KSSM132T2</v>
      </c>
      <c r="X59">
        <v>5.3514999999999997</v>
      </c>
      <c r="Z59" t="s">
        <v>1097</v>
      </c>
      <c r="AA59" t="s">
        <v>807</v>
      </c>
      <c r="AB59" t="s">
        <v>1701</v>
      </c>
      <c r="AD59" t="s">
        <v>1703</v>
      </c>
      <c r="AE59">
        <v>5.3514999999999997</v>
      </c>
      <c r="AF59">
        <v>61135</v>
      </c>
      <c r="AH59" t="s">
        <v>2938</v>
      </c>
    </row>
    <row r="60" spans="1:34" x14ac:dyDescent="0.25">
      <c r="A60" s="6" t="s">
        <v>216</v>
      </c>
      <c r="B60" s="7" t="s">
        <v>217</v>
      </c>
      <c r="C60" s="73">
        <v>82.5745</v>
      </c>
      <c r="D60" s="73"/>
      <c r="E60" s="237" t="s">
        <v>271</v>
      </c>
      <c r="G60" s="244"/>
      <c r="H60">
        <f t="shared" si="0"/>
        <v>74145</v>
      </c>
      <c r="I60" s="246" t="s">
        <v>804</v>
      </c>
      <c r="J60" s="246">
        <v>49.1</v>
      </c>
      <c r="K60" s="246" t="s">
        <v>1441</v>
      </c>
      <c r="M60" t="str">
        <f t="shared" si="1"/>
        <v>KRYG132T1</v>
      </c>
      <c r="N60" t="str">
        <f>VLOOKUP(H60,'TNB Load'!$A$2:$F$1448,6,FALSE)</f>
        <v>PAHANG</v>
      </c>
      <c r="O60">
        <f t="shared" si="2"/>
        <v>31.6769</v>
      </c>
      <c r="R60">
        <v>61135</v>
      </c>
      <c r="S60" t="s">
        <v>1097</v>
      </c>
      <c r="T60" t="s">
        <v>808</v>
      </c>
      <c r="U60" t="str">
        <f t="shared" si="3"/>
        <v>KSSM132</v>
      </c>
      <c r="W60" t="str">
        <f t="shared" si="4"/>
        <v>KSSM132T3</v>
      </c>
      <c r="X60">
        <v>12.456</v>
      </c>
      <c r="Z60" t="s">
        <v>1097</v>
      </c>
      <c r="AA60" t="s">
        <v>808</v>
      </c>
      <c r="AB60" t="s">
        <v>1701</v>
      </c>
      <c r="AD60" t="s">
        <v>1704</v>
      </c>
      <c r="AE60">
        <v>12.456</v>
      </c>
      <c r="AF60">
        <v>61135</v>
      </c>
      <c r="AH60" t="s">
        <v>2937</v>
      </c>
    </row>
    <row r="61" spans="1:34" x14ac:dyDescent="0.25">
      <c r="A61" s="37" t="s">
        <v>95</v>
      </c>
      <c r="B61" s="35" t="s">
        <v>99</v>
      </c>
      <c r="C61" s="74">
        <v>65.720699999999994</v>
      </c>
      <c r="D61" s="74"/>
      <c r="E61" s="89" t="s">
        <v>272</v>
      </c>
      <c r="G61" s="244"/>
      <c r="H61">
        <f t="shared" si="0"/>
        <v>96141</v>
      </c>
      <c r="I61" s="246" t="s">
        <v>826</v>
      </c>
      <c r="J61" s="246">
        <v>49.1</v>
      </c>
      <c r="K61" s="246" t="s">
        <v>1442</v>
      </c>
      <c r="M61" t="str">
        <f t="shared" si="1"/>
        <v>SHEL132F2</v>
      </c>
      <c r="N61" t="str">
        <f>VLOOKUP(H61,'TNB Load'!$A$2:$F$1448,6,FALSE)</f>
        <v>NS</v>
      </c>
      <c r="O61">
        <f t="shared" si="2"/>
        <v>19.1541</v>
      </c>
      <c r="R61">
        <v>61135</v>
      </c>
      <c r="S61" t="s">
        <v>1097</v>
      </c>
      <c r="T61" t="s">
        <v>809</v>
      </c>
      <c r="U61" t="str">
        <f t="shared" si="3"/>
        <v>KSSM132</v>
      </c>
      <c r="W61" t="str">
        <f t="shared" si="4"/>
        <v>KSSM132T4</v>
      </c>
      <c r="X61">
        <v>12.565799999999999</v>
      </c>
      <c r="Z61" t="s">
        <v>1097</v>
      </c>
      <c r="AA61" t="s">
        <v>809</v>
      </c>
      <c r="AB61" t="s">
        <v>1701</v>
      </c>
      <c r="AD61" t="s">
        <v>1705</v>
      </c>
      <c r="AE61">
        <v>12.565799999999999</v>
      </c>
      <c r="AF61">
        <v>61135</v>
      </c>
      <c r="AH61" t="s">
        <v>3113</v>
      </c>
    </row>
    <row r="62" spans="1:34" x14ac:dyDescent="0.25">
      <c r="A62" s="37" t="s">
        <v>95</v>
      </c>
      <c r="B62" s="35" t="s">
        <v>99</v>
      </c>
      <c r="C62" s="74">
        <v>111.12690000000001</v>
      </c>
      <c r="D62" s="74"/>
      <c r="E62" s="89" t="s">
        <v>273</v>
      </c>
      <c r="G62" s="244"/>
      <c r="H62">
        <f t="shared" si="0"/>
        <v>96141</v>
      </c>
      <c r="I62" s="246" t="s">
        <v>823</v>
      </c>
      <c r="J62" s="246">
        <v>49.1</v>
      </c>
      <c r="K62" s="246" t="s">
        <v>1442</v>
      </c>
      <c r="M62" t="str">
        <f t="shared" si="1"/>
        <v>SHEL132F1</v>
      </c>
      <c r="N62" t="str">
        <f>VLOOKUP(H62,'TNB Load'!$A$2:$F$1448,6,FALSE)</f>
        <v>NS</v>
      </c>
      <c r="O62">
        <f t="shared" si="2"/>
        <v>18.1541</v>
      </c>
      <c r="R62">
        <v>561111</v>
      </c>
      <c r="S62" t="s">
        <v>1099</v>
      </c>
      <c r="T62" t="s">
        <v>860</v>
      </c>
      <c r="U62" t="str">
        <f t="shared" si="3"/>
        <v>KSTR132</v>
      </c>
      <c r="W62" t="str">
        <f t="shared" si="4"/>
        <v>KSTR132T8</v>
      </c>
      <c r="X62">
        <v>26.648599999999998</v>
      </c>
      <c r="Z62" t="s">
        <v>1099</v>
      </c>
      <c r="AA62" t="s">
        <v>860</v>
      </c>
      <c r="AB62" t="s">
        <v>1476</v>
      </c>
      <c r="AD62" t="s">
        <v>1706</v>
      </c>
      <c r="AE62">
        <v>26.648599999999998</v>
      </c>
      <c r="AF62">
        <v>561111</v>
      </c>
      <c r="AH62" t="s">
        <v>3112</v>
      </c>
    </row>
    <row r="63" spans="1:34" x14ac:dyDescent="0.25">
      <c r="A63" s="6" t="s">
        <v>94</v>
      </c>
      <c r="B63" s="7" t="s">
        <v>99</v>
      </c>
      <c r="C63" s="73">
        <v>37.270800000000001</v>
      </c>
      <c r="D63" s="73"/>
      <c r="E63" s="237" t="s">
        <v>274</v>
      </c>
      <c r="G63" s="244"/>
      <c r="H63">
        <f t="shared" si="0"/>
        <v>51072</v>
      </c>
      <c r="I63" s="246" t="s">
        <v>807</v>
      </c>
      <c r="J63" s="246">
        <v>49.1</v>
      </c>
      <c r="K63" s="246" t="s">
        <v>1443</v>
      </c>
      <c r="M63" t="str">
        <f t="shared" si="1"/>
        <v>HCOM132T2</v>
      </c>
      <c r="N63" t="str">
        <f>VLOOKUP(H63,'TNB Load'!$A$2:$F$1448,6,FALSE)</f>
        <v>SELANGOR</v>
      </c>
      <c r="O63">
        <f t="shared" si="2"/>
        <v>34.007800000000003</v>
      </c>
      <c r="R63">
        <v>161111</v>
      </c>
      <c r="S63" t="s">
        <v>1100</v>
      </c>
      <c r="T63" t="s">
        <v>848</v>
      </c>
      <c r="U63" t="str">
        <f t="shared" si="3"/>
        <v xml:space="preserve">KSTR_T </v>
      </c>
      <c r="W63" t="str">
        <f t="shared" si="4"/>
        <v>KSTR_T T7</v>
      </c>
      <c r="X63">
        <v>36.276600000000002</v>
      </c>
      <c r="Z63" t="s">
        <v>1100</v>
      </c>
      <c r="AA63" t="s">
        <v>848</v>
      </c>
      <c r="AB63" t="s">
        <v>1707</v>
      </c>
      <c r="AD63" t="s">
        <v>1708</v>
      </c>
      <c r="AE63">
        <v>36.276600000000002</v>
      </c>
      <c r="AF63">
        <v>161111</v>
      </c>
      <c r="AH63" t="s">
        <v>2064</v>
      </c>
    </row>
    <row r="64" spans="1:34" x14ac:dyDescent="0.25">
      <c r="A64" s="6" t="s">
        <v>214</v>
      </c>
      <c r="B64" s="7" t="s">
        <v>218</v>
      </c>
      <c r="C64" s="73">
        <v>15.0562</v>
      </c>
      <c r="D64" s="73"/>
      <c r="E64" s="237" t="s">
        <v>274</v>
      </c>
      <c r="G64" s="244"/>
      <c r="H64">
        <f t="shared" si="0"/>
        <v>51072</v>
      </c>
      <c r="I64" s="246" t="s">
        <v>804</v>
      </c>
      <c r="J64" s="246">
        <v>49.1</v>
      </c>
      <c r="K64" s="246" t="s">
        <v>1443</v>
      </c>
      <c r="M64" t="str">
        <f t="shared" si="1"/>
        <v>HCOM132T1</v>
      </c>
      <c r="N64" t="str">
        <f>VLOOKUP(H64,'TNB Load'!$A$2:$F$1448,6,FALSE)</f>
        <v>SELANGOR</v>
      </c>
      <c r="O64">
        <f t="shared" si="2"/>
        <v>38.788800000000002</v>
      </c>
      <c r="R64">
        <v>61119</v>
      </c>
      <c r="S64" t="s">
        <v>1142</v>
      </c>
      <c r="T64" t="s">
        <v>804</v>
      </c>
      <c r="U64" t="str">
        <f t="shared" si="3"/>
        <v>MGON132</v>
      </c>
      <c r="W64" t="str">
        <f t="shared" si="4"/>
        <v>MGON132T1</v>
      </c>
      <c r="X64">
        <v>8.2591000000000001</v>
      </c>
      <c r="Z64" t="s">
        <v>1142</v>
      </c>
      <c r="AA64" t="s">
        <v>804</v>
      </c>
      <c r="AB64" t="s">
        <v>1432</v>
      </c>
      <c r="AD64" t="s">
        <v>1709</v>
      </c>
      <c r="AE64">
        <v>8.2591000000000001</v>
      </c>
      <c r="AF64">
        <v>61119</v>
      </c>
      <c r="AH64" t="s">
        <v>2063</v>
      </c>
    </row>
    <row r="65" spans="1:34" x14ac:dyDescent="0.25">
      <c r="A65" s="6" t="s">
        <v>95</v>
      </c>
      <c r="B65" s="7" t="s">
        <v>99</v>
      </c>
      <c r="C65" s="73">
        <v>83.051400000000001</v>
      </c>
      <c r="D65" s="73"/>
      <c r="E65" s="237" t="s">
        <v>279</v>
      </c>
      <c r="G65" s="244"/>
      <c r="H65">
        <f t="shared" si="0"/>
        <v>51017</v>
      </c>
      <c r="I65" s="246" t="s">
        <v>810</v>
      </c>
      <c r="J65" s="246">
        <v>49.1</v>
      </c>
      <c r="K65" s="246" t="s">
        <v>1444</v>
      </c>
      <c r="M65" t="str">
        <f t="shared" si="1"/>
        <v>SHAE132T5</v>
      </c>
      <c r="N65" t="str">
        <f>VLOOKUP(H65,'TNB Load'!$A$2:$F$1448,6,FALSE)</f>
        <v>SELANGOR</v>
      </c>
      <c r="O65">
        <f t="shared" si="2"/>
        <v>32.854300000000002</v>
      </c>
      <c r="R65">
        <v>61119</v>
      </c>
      <c r="S65" t="s">
        <v>1142</v>
      </c>
      <c r="T65" t="s">
        <v>807</v>
      </c>
      <c r="U65" t="str">
        <f t="shared" si="3"/>
        <v>MGON132</v>
      </c>
      <c r="W65" t="str">
        <f t="shared" si="4"/>
        <v>MGON132T2</v>
      </c>
      <c r="X65">
        <v>8.2529000000000003</v>
      </c>
      <c r="Z65" t="s">
        <v>1142</v>
      </c>
      <c r="AA65" t="s">
        <v>807</v>
      </c>
      <c r="AB65" t="s">
        <v>1432</v>
      </c>
      <c r="AD65" t="s">
        <v>1710</v>
      </c>
      <c r="AE65">
        <v>8.2529000000000003</v>
      </c>
      <c r="AF65">
        <v>61119</v>
      </c>
      <c r="AH65" t="s">
        <v>2209</v>
      </c>
    </row>
    <row r="66" spans="1:34" x14ac:dyDescent="0.25">
      <c r="A66" s="6" t="s">
        <v>95</v>
      </c>
      <c r="B66" s="7" t="s">
        <v>99</v>
      </c>
      <c r="C66" s="73">
        <v>62.5762</v>
      </c>
      <c r="D66" s="73"/>
      <c r="E66" s="237" t="s">
        <v>276</v>
      </c>
      <c r="G66" s="244"/>
      <c r="H66">
        <f t="shared" si="0"/>
        <v>51017</v>
      </c>
      <c r="I66" s="246" t="s">
        <v>809</v>
      </c>
      <c r="J66" s="246">
        <v>49.1</v>
      </c>
      <c r="K66" s="246" t="s">
        <v>1444</v>
      </c>
      <c r="M66" t="str">
        <f t="shared" si="1"/>
        <v>SHAE132T4</v>
      </c>
      <c r="N66" t="str">
        <f>VLOOKUP(H66,'TNB Load'!$A$2:$F$1448,6,FALSE)</f>
        <v>SELANGOR</v>
      </c>
      <c r="O66">
        <f t="shared" si="2"/>
        <v>24.068100000000001</v>
      </c>
      <c r="R66">
        <v>61119</v>
      </c>
      <c r="S66" t="s">
        <v>1142</v>
      </c>
      <c r="T66" t="s">
        <v>808</v>
      </c>
      <c r="U66" t="str">
        <f t="shared" si="3"/>
        <v>MGON132</v>
      </c>
      <c r="W66" t="str">
        <f t="shared" si="4"/>
        <v>MGON132T3</v>
      </c>
      <c r="X66">
        <v>49.234900000000003</v>
      </c>
      <c r="Z66" t="s">
        <v>1142</v>
      </c>
      <c r="AA66" t="s">
        <v>808</v>
      </c>
      <c r="AB66" t="s">
        <v>1432</v>
      </c>
      <c r="AD66" t="s">
        <v>1711</v>
      </c>
      <c r="AE66">
        <v>49.234900000000003</v>
      </c>
      <c r="AF66">
        <v>61119</v>
      </c>
      <c r="AH66" t="s">
        <v>2208</v>
      </c>
    </row>
    <row r="67" spans="1:34" x14ac:dyDescent="0.25">
      <c r="A67" s="37" t="s">
        <v>95</v>
      </c>
      <c r="B67" s="35" t="s">
        <v>99</v>
      </c>
      <c r="C67" s="74">
        <v>67.990499999999997</v>
      </c>
      <c r="D67" s="74"/>
      <c r="E67" s="89" t="s">
        <v>278</v>
      </c>
      <c r="G67" s="244"/>
      <c r="H67">
        <f t="shared" ref="H67:H130" si="5">VLOOKUP(AH67,$AD$3:$AF$1300,3,FALSE)</f>
        <v>51017</v>
      </c>
      <c r="I67" s="246" t="s">
        <v>808</v>
      </c>
      <c r="J67" s="246">
        <v>49.1</v>
      </c>
      <c r="K67" s="246" t="s">
        <v>1444</v>
      </c>
      <c r="M67" t="str">
        <f t="shared" si="1"/>
        <v>SHAE132T3</v>
      </c>
      <c r="N67" t="str">
        <f>VLOOKUP(H67,'TNB Load'!$A$2:$F$1448,6,FALSE)</f>
        <v>SELANGOR</v>
      </c>
      <c r="O67">
        <f t="shared" si="2"/>
        <v>23.785399999999999</v>
      </c>
      <c r="R67">
        <v>61119</v>
      </c>
      <c r="S67" t="s">
        <v>1142</v>
      </c>
      <c r="T67" t="s">
        <v>809</v>
      </c>
      <c r="U67" t="str">
        <f t="shared" si="3"/>
        <v>MGON132</v>
      </c>
      <c r="W67" t="str">
        <f t="shared" si="4"/>
        <v>MGON132T4</v>
      </c>
      <c r="X67">
        <v>45.968899999999998</v>
      </c>
      <c r="Z67" t="s">
        <v>1142</v>
      </c>
      <c r="AA67" t="s">
        <v>809</v>
      </c>
      <c r="AB67" t="s">
        <v>1432</v>
      </c>
      <c r="AD67" t="s">
        <v>1712</v>
      </c>
      <c r="AE67">
        <v>45.968899999999998</v>
      </c>
      <c r="AF67">
        <v>61119</v>
      </c>
      <c r="AH67" t="s">
        <v>2207</v>
      </c>
    </row>
    <row r="68" spans="1:34" x14ac:dyDescent="0.25">
      <c r="A68" s="6" t="s">
        <v>95</v>
      </c>
      <c r="B68" s="7" t="s">
        <v>99</v>
      </c>
      <c r="C68" s="73">
        <v>68.1678</v>
      </c>
      <c r="D68" s="73"/>
      <c r="E68" s="237" t="s">
        <v>275</v>
      </c>
      <c r="G68" s="244"/>
      <c r="H68">
        <f t="shared" si="5"/>
        <v>51007</v>
      </c>
      <c r="I68" s="246" t="s">
        <v>807</v>
      </c>
      <c r="J68" s="246">
        <v>49.1</v>
      </c>
      <c r="K68" s="246" t="s">
        <v>1445</v>
      </c>
      <c r="M68" t="str">
        <f t="shared" ref="M68:M133" si="6">K68&amp;I68</f>
        <v>SHAS132T2</v>
      </c>
      <c r="N68" t="str">
        <f>VLOOKUP(H68,'TNB Load'!$A$2:$F$1448,6,FALSE)</f>
        <v>SELANGOR</v>
      </c>
      <c r="O68">
        <f t="shared" ref="O68:O133" si="7">VLOOKUP(M68,$W$3:$X$1300,2,FALSE)</f>
        <v>39.047600000000003</v>
      </c>
      <c r="R68">
        <v>61132</v>
      </c>
      <c r="S68" t="s">
        <v>1188</v>
      </c>
      <c r="T68" t="s">
        <v>804</v>
      </c>
      <c r="U68" t="str">
        <f t="shared" ref="U68:U131" si="8">LEFT(S68,7)</f>
        <v>PAUH132</v>
      </c>
      <c r="W68" t="str">
        <f t="shared" ref="W68:W131" si="9">U68&amp;T68</f>
        <v>PAUH132T1</v>
      </c>
      <c r="X68">
        <v>18.808800000000002</v>
      </c>
      <c r="Z68" t="s">
        <v>1188</v>
      </c>
      <c r="AA68" t="s">
        <v>804</v>
      </c>
      <c r="AB68" t="s">
        <v>1433</v>
      </c>
      <c r="AD68" t="s">
        <v>1713</v>
      </c>
      <c r="AE68">
        <v>18.808800000000002</v>
      </c>
      <c r="AF68">
        <v>61132</v>
      </c>
      <c r="AH68" t="s">
        <v>2214</v>
      </c>
    </row>
    <row r="69" spans="1:34" x14ac:dyDescent="0.25">
      <c r="A69" s="58" t="s">
        <v>95</v>
      </c>
      <c r="B69" s="7" t="s">
        <v>188</v>
      </c>
      <c r="C69" s="73">
        <v>51.941000000000003</v>
      </c>
      <c r="D69" s="73"/>
      <c r="E69" s="237" t="s">
        <v>270</v>
      </c>
      <c r="G69" s="244"/>
      <c r="H69">
        <f t="shared" si="5"/>
        <v>51007</v>
      </c>
      <c r="I69" s="246" t="s">
        <v>804</v>
      </c>
      <c r="J69" s="246">
        <v>49.1</v>
      </c>
      <c r="K69" s="246" t="s">
        <v>1445</v>
      </c>
      <c r="M69" t="str">
        <f t="shared" si="6"/>
        <v>SHAS132T1</v>
      </c>
      <c r="N69" t="str">
        <f>VLOOKUP(H69,'TNB Load'!$A$2:$F$1448,6,FALSE)</f>
        <v>SELANGOR</v>
      </c>
      <c r="O69">
        <f t="shared" si="7"/>
        <v>38.927500000000002</v>
      </c>
      <c r="R69">
        <v>61132</v>
      </c>
      <c r="S69" t="s">
        <v>1188</v>
      </c>
      <c r="T69" t="s">
        <v>807</v>
      </c>
      <c r="U69" t="str">
        <f t="shared" si="8"/>
        <v>PAUH132</v>
      </c>
      <c r="W69" t="str">
        <f t="shared" si="9"/>
        <v>PAUH132T2</v>
      </c>
      <c r="X69">
        <v>18.986899999999999</v>
      </c>
      <c r="Z69" t="s">
        <v>1188</v>
      </c>
      <c r="AA69" t="s">
        <v>807</v>
      </c>
      <c r="AB69" t="s">
        <v>1433</v>
      </c>
      <c r="AD69" t="s">
        <v>1714</v>
      </c>
      <c r="AE69">
        <v>18.986899999999999</v>
      </c>
      <c r="AF69">
        <v>61132</v>
      </c>
      <c r="AH69" t="s">
        <v>2213</v>
      </c>
    </row>
    <row r="70" spans="1:34" x14ac:dyDescent="0.25">
      <c r="A70" s="90" t="s">
        <v>95</v>
      </c>
      <c r="B70" s="35" t="s">
        <v>99</v>
      </c>
      <c r="C70" s="74">
        <v>64.8369</v>
      </c>
      <c r="D70" s="74"/>
      <c r="E70" s="89" t="s">
        <v>277</v>
      </c>
      <c r="G70" s="244"/>
      <c r="H70">
        <f t="shared" si="5"/>
        <v>75129</v>
      </c>
      <c r="I70" s="246" t="s">
        <v>809</v>
      </c>
      <c r="J70" s="246">
        <v>49.1</v>
      </c>
      <c r="K70" s="246" t="s">
        <v>1446</v>
      </c>
      <c r="M70" t="str">
        <f t="shared" si="6"/>
        <v>PCOR132T4</v>
      </c>
      <c r="N70" t="str">
        <f>VLOOKUP(H70,'TNB Load'!$A$2:$F$1448,6,FALSE)</f>
        <v>KELANTAN</v>
      </c>
      <c r="O70">
        <f t="shared" si="7"/>
        <v>29.625599999999999</v>
      </c>
      <c r="R70">
        <v>61132</v>
      </c>
      <c r="S70" t="s">
        <v>1188</v>
      </c>
      <c r="T70" t="s">
        <v>808</v>
      </c>
      <c r="U70" t="str">
        <f t="shared" si="8"/>
        <v>PAUH132</v>
      </c>
      <c r="W70" t="str">
        <f t="shared" si="9"/>
        <v>PAUH132T3</v>
      </c>
      <c r="X70">
        <v>10.7723</v>
      </c>
      <c r="Z70" t="s">
        <v>1188</v>
      </c>
      <c r="AA70" t="s">
        <v>808</v>
      </c>
      <c r="AB70" t="s">
        <v>1433</v>
      </c>
      <c r="AD70" t="s">
        <v>1715</v>
      </c>
      <c r="AE70">
        <v>10.7723</v>
      </c>
      <c r="AF70">
        <v>61132</v>
      </c>
      <c r="AH70" t="s">
        <v>3088</v>
      </c>
    </row>
    <row r="71" spans="1:34" x14ac:dyDescent="0.25">
      <c r="A71" s="6" t="s">
        <v>96</v>
      </c>
      <c r="B71" s="10" t="s">
        <v>102</v>
      </c>
      <c r="C71" s="73">
        <v>17.659600000000001</v>
      </c>
      <c r="D71" s="73"/>
      <c r="E71" s="237" t="s">
        <v>280</v>
      </c>
      <c r="G71" s="244"/>
      <c r="H71">
        <f t="shared" si="5"/>
        <v>75129</v>
      </c>
      <c r="I71" s="246" t="s">
        <v>808</v>
      </c>
      <c r="J71" s="246">
        <v>49.1</v>
      </c>
      <c r="K71" s="246" t="s">
        <v>1446</v>
      </c>
      <c r="M71" t="str">
        <f t="shared" si="6"/>
        <v>PCOR132T3</v>
      </c>
      <c r="N71" t="str">
        <f>VLOOKUP(H71,'TNB Load'!$A$2:$F$1448,6,FALSE)</f>
        <v>KELANTAN</v>
      </c>
      <c r="O71">
        <f t="shared" si="7"/>
        <v>32.940199999999997</v>
      </c>
      <c r="R71">
        <v>61132</v>
      </c>
      <c r="S71" t="s">
        <v>1188</v>
      </c>
      <c r="T71" t="s">
        <v>809</v>
      </c>
      <c r="U71" t="str">
        <f t="shared" si="8"/>
        <v>PAUH132</v>
      </c>
      <c r="W71" t="str">
        <f t="shared" si="9"/>
        <v>PAUH132T4</v>
      </c>
      <c r="X71">
        <v>10.8261</v>
      </c>
      <c r="Z71" t="s">
        <v>1188</v>
      </c>
      <c r="AA71" t="s">
        <v>809</v>
      </c>
      <c r="AB71" t="s">
        <v>1433</v>
      </c>
      <c r="AD71" t="s">
        <v>1716</v>
      </c>
      <c r="AE71">
        <v>10.8261</v>
      </c>
      <c r="AF71">
        <v>61132</v>
      </c>
      <c r="AH71" t="s">
        <v>3087</v>
      </c>
    </row>
    <row r="72" spans="1:34" x14ac:dyDescent="0.25">
      <c r="A72" s="6" t="s">
        <v>215</v>
      </c>
      <c r="B72" s="10" t="s">
        <v>219</v>
      </c>
      <c r="C72" s="73">
        <v>25.8429</v>
      </c>
      <c r="D72" s="73"/>
      <c r="E72" s="237" t="s">
        <v>281</v>
      </c>
      <c r="G72" s="244"/>
      <c r="H72">
        <f t="shared" si="5"/>
        <v>75129</v>
      </c>
      <c r="I72" s="246" t="s">
        <v>807</v>
      </c>
      <c r="J72" s="246">
        <v>49.1</v>
      </c>
      <c r="K72" s="246" t="s">
        <v>1446</v>
      </c>
      <c r="M72" t="str">
        <f t="shared" si="6"/>
        <v>PCOR132T2</v>
      </c>
      <c r="N72" t="str">
        <f>VLOOKUP(H72,'TNB Load'!$A$2:$F$1448,6,FALSE)</f>
        <v>KELANTAN</v>
      </c>
      <c r="O72">
        <f t="shared" si="7"/>
        <v>38.965800000000002</v>
      </c>
      <c r="R72">
        <v>61132</v>
      </c>
      <c r="S72" t="s">
        <v>1188</v>
      </c>
      <c r="T72" t="s">
        <v>810</v>
      </c>
      <c r="U72" t="str">
        <f t="shared" si="8"/>
        <v>PAUH132</v>
      </c>
      <c r="W72" t="str">
        <f t="shared" si="9"/>
        <v>PAUH132T5</v>
      </c>
      <c r="X72">
        <v>11.9787</v>
      </c>
      <c r="Z72" t="s">
        <v>1188</v>
      </c>
      <c r="AA72" t="s">
        <v>810</v>
      </c>
      <c r="AB72" t="s">
        <v>1433</v>
      </c>
      <c r="AD72" t="s">
        <v>1717</v>
      </c>
      <c r="AE72">
        <v>11.9787</v>
      </c>
      <c r="AF72">
        <v>61132</v>
      </c>
      <c r="AH72" t="s">
        <v>3086</v>
      </c>
    </row>
    <row r="73" spans="1:34" x14ac:dyDescent="0.25">
      <c r="A73" s="22" t="s">
        <v>96</v>
      </c>
      <c r="B73" s="17" t="s">
        <v>102</v>
      </c>
      <c r="C73" s="72">
        <v>25.7531</v>
      </c>
      <c r="D73" s="72"/>
      <c r="E73" s="241" t="s">
        <v>266</v>
      </c>
      <c r="G73" s="244"/>
      <c r="H73">
        <f t="shared" si="5"/>
        <v>97110</v>
      </c>
      <c r="I73" s="246" t="s">
        <v>807</v>
      </c>
      <c r="J73" s="246">
        <v>49.1</v>
      </c>
      <c r="K73" s="246" t="s">
        <v>1447</v>
      </c>
      <c r="M73" t="str">
        <f t="shared" si="6"/>
        <v>JTGH132T2</v>
      </c>
      <c r="N73" t="str">
        <f>VLOOKUP(H73,'TNB Load'!$A$2:$F$1448,6,FALSE)</f>
        <v>JOHOR</v>
      </c>
      <c r="O73">
        <f t="shared" si="7"/>
        <v>12.245799999999999</v>
      </c>
      <c r="R73">
        <v>61106</v>
      </c>
      <c r="S73" t="s">
        <v>1315</v>
      </c>
      <c r="T73" t="s">
        <v>804</v>
      </c>
      <c r="U73" t="str">
        <f t="shared" si="8"/>
        <v>SPID132</v>
      </c>
      <c r="W73" t="str">
        <f t="shared" si="9"/>
        <v>SPID132T1</v>
      </c>
      <c r="X73">
        <v>9.7470999999999997</v>
      </c>
      <c r="Z73" t="s">
        <v>1315</v>
      </c>
      <c r="AA73" t="s">
        <v>804</v>
      </c>
      <c r="AB73" t="s">
        <v>1718</v>
      </c>
      <c r="AD73" t="s">
        <v>1719</v>
      </c>
      <c r="AE73">
        <v>9.7470999999999997</v>
      </c>
      <c r="AF73">
        <v>61106</v>
      </c>
      <c r="AH73" t="s">
        <v>2647</v>
      </c>
    </row>
    <row r="74" spans="1:34" x14ac:dyDescent="0.25">
      <c r="A74" s="22" t="s">
        <v>95</v>
      </c>
      <c r="B74" s="17" t="s">
        <v>99</v>
      </c>
      <c r="C74" s="72">
        <v>71.794799999999995</v>
      </c>
      <c r="D74" s="72"/>
      <c r="E74" s="241" t="s">
        <v>267</v>
      </c>
      <c r="G74" s="244"/>
      <c r="H74">
        <f t="shared" si="5"/>
        <v>97110</v>
      </c>
      <c r="I74" s="246" t="s">
        <v>804</v>
      </c>
      <c r="J74" s="246">
        <v>49.1</v>
      </c>
      <c r="K74" s="246" t="s">
        <v>1447</v>
      </c>
      <c r="M74" t="str">
        <f t="shared" si="6"/>
        <v>JTGH132T1</v>
      </c>
      <c r="N74" t="str">
        <f>VLOOKUP(H74,'TNB Load'!$A$2:$F$1448,6,FALSE)</f>
        <v>JOHOR</v>
      </c>
      <c r="O74">
        <f t="shared" si="7"/>
        <v>12.193</v>
      </c>
      <c r="R74">
        <v>61106</v>
      </c>
      <c r="S74" t="s">
        <v>1315</v>
      </c>
      <c r="T74" t="s">
        <v>807</v>
      </c>
      <c r="U74" t="str">
        <f t="shared" si="8"/>
        <v>SPID132</v>
      </c>
      <c r="W74" t="str">
        <f t="shared" si="9"/>
        <v>SPID132T2</v>
      </c>
      <c r="X74">
        <v>10.0816</v>
      </c>
      <c r="Z74" t="s">
        <v>1315</v>
      </c>
      <c r="AA74" t="s">
        <v>807</v>
      </c>
      <c r="AB74" t="s">
        <v>1718</v>
      </c>
      <c r="AD74" t="s">
        <v>1720</v>
      </c>
      <c r="AE74">
        <v>10.0816</v>
      </c>
      <c r="AF74">
        <v>61106</v>
      </c>
      <c r="AH74" t="s">
        <v>2646</v>
      </c>
    </row>
    <row r="75" spans="1:34" x14ac:dyDescent="0.25">
      <c r="A75" s="22" t="s">
        <v>95</v>
      </c>
      <c r="B75" s="17" t="s">
        <v>99</v>
      </c>
      <c r="C75" s="72">
        <v>74.944999999999993</v>
      </c>
      <c r="D75" s="72"/>
      <c r="E75" s="241" t="s">
        <v>268</v>
      </c>
      <c r="G75" s="244"/>
      <c r="H75">
        <f t="shared" si="5"/>
        <v>62112</v>
      </c>
      <c r="I75" s="246" t="s">
        <v>807</v>
      </c>
      <c r="J75" s="246">
        <v>49.1</v>
      </c>
      <c r="K75" s="246" t="s">
        <v>1448</v>
      </c>
      <c r="M75" t="str">
        <f t="shared" si="6"/>
        <v>SJAY132T2</v>
      </c>
      <c r="N75" t="str">
        <f>VLOOKUP(H75,'TNB Load'!$A$2:$F$1448,6,FALSE)</f>
        <v>P PINANG</v>
      </c>
      <c r="O75">
        <f t="shared" si="7"/>
        <v>42.991799999999998</v>
      </c>
      <c r="R75">
        <v>61106</v>
      </c>
      <c r="S75" t="s">
        <v>1315</v>
      </c>
      <c r="T75" t="s">
        <v>808</v>
      </c>
      <c r="U75" t="str">
        <f t="shared" si="8"/>
        <v>SPID132</v>
      </c>
      <c r="W75" t="str">
        <f t="shared" si="9"/>
        <v>SPID132T3</v>
      </c>
      <c r="X75">
        <v>43.656599999999997</v>
      </c>
      <c r="Z75" t="s">
        <v>1315</v>
      </c>
      <c r="AA75" t="s">
        <v>808</v>
      </c>
      <c r="AB75" t="s">
        <v>1718</v>
      </c>
      <c r="AD75" t="s">
        <v>1721</v>
      </c>
      <c r="AE75">
        <v>43.656599999999997</v>
      </c>
      <c r="AF75">
        <v>61106</v>
      </c>
      <c r="AH75" t="s">
        <v>1795</v>
      </c>
    </row>
    <row r="76" spans="1:34" x14ac:dyDescent="0.25">
      <c r="A76" s="22" t="s">
        <v>97</v>
      </c>
      <c r="B76" s="17" t="s">
        <v>103</v>
      </c>
      <c r="C76" s="72">
        <v>69.463099999999997</v>
      </c>
      <c r="D76" s="72"/>
      <c r="E76" s="241" t="s">
        <v>269</v>
      </c>
      <c r="G76" s="244"/>
      <c r="H76">
        <f t="shared" si="5"/>
        <v>62112</v>
      </c>
      <c r="I76" s="246" t="s">
        <v>804</v>
      </c>
      <c r="J76" s="246">
        <v>49.1</v>
      </c>
      <c r="K76" s="246" t="s">
        <v>1448</v>
      </c>
      <c r="M76" t="str">
        <f t="shared" si="6"/>
        <v>SJAY132T1</v>
      </c>
      <c r="N76" t="str">
        <f>VLOOKUP(H76,'TNB Load'!$A$2:$F$1448,6,FALSE)</f>
        <v>P PINANG</v>
      </c>
      <c r="O76">
        <f t="shared" si="7"/>
        <v>42.577599999999997</v>
      </c>
      <c r="R76">
        <v>61106</v>
      </c>
      <c r="S76" t="s">
        <v>1315</v>
      </c>
      <c r="T76" t="s">
        <v>809</v>
      </c>
      <c r="U76" t="str">
        <f t="shared" si="8"/>
        <v>SPID132</v>
      </c>
      <c r="W76" t="str">
        <f t="shared" si="9"/>
        <v>SPID132T4</v>
      </c>
      <c r="X76">
        <v>43.950699999999998</v>
      </c>
      <c r="Z76" t="s">
        <v>1315</v>
      </c>
      <c r="AA76" t="s">
        <v>809</v>
      </c>
      <c r="AB76" t="s">
        <v>1718</v>
      </c>
      <c r="AD76" t="s">
        <v>1722</v>
      </c>
      <c r="AE76">
        <v>43.950699999999998</v>
      </c>
      <c r="AF76">
        <v>61106</v>
      </c>
      <c r="AH76" t="s">
        <v>1794</v>
      </c>
    </row>
    <row r="77" spans="1:34" x14ac:dyDescent="0.25">
      <c r="A77" s="22" t="s">
        <v>95</v>
      </c>
      <c r="B77" s="17" t="s">
        <v>99</v>
      </c>
      <c r="C77" s="72">
        <v>60.1524</v>
      </c>
      <c r="D77" s="72"/>
      <c r="E77" s="241" t="s">
        <v>265</v>
      </c>
      <c r="G77" s="244"/>
      <c r="H77">
        <f t="shared" si="5"/>
        <v>61127</v>
      </c>
      <c r="I77" s="246" t="s">
        <v>809</v>
      </c>
      <c r="J77" s="246">
        <v>49.1</v>
      </c>
      <c r="K77" s="246" t="s">
        <v>1449</v>
      </c>
      <c r="M77" t="str">
        <f t="shared" si="6"/>
        <v>INTN132T4</v>
      </c>
      <c r="N77" t="str">
        <f>VLOOKUP(H77,'TNB Load'!$A$2:$F$1448,6,FALSE)</f>
        <v>KEDAH</v>
      </c>
      <c r="O77">
        <f t="shared" si="7"/>
        <v>24.5185</v>
      </c>
      <c r="R77">
        <v>61112</v>
      </c>
      <c r="S77" t="s">
        <v>1367</v>
      </c>
      <c r="T77" t="s">
        <v>804</v>
      </c>
      <c r="U77" t="str">
        <f t="shared" si="8"/>
        <v>TKBU132</v>
      </c>
      <c r="W77" t="str">
        <f t="shared" si="9"/>
        <v>TKBU132T1</v>
      </c>
      <c r="X77">
        <v>31.637599999999999</v>
      </c>
      <c r="Z77" t="s">
        <v>1367</v>
      </c>
      <c r="AA77" t="s">
        <v>804</v>
      </c>
      <c r="AB77" t="s">
        <v>1576</v>
      </c>
      <c r="AD77" t="s">
        <v>1723</v>
      </c>
      <c r="AE77">
        <v>31.637599999999999</v>
      </c>
      <c r="AF77">
        <v>61112</v>
      </c>
      <c r="AH77" t="s">
        <v>1687</v>
      </c>
    </row>
    <row r="78" spans="1:34" x14ac:dyDescent="0.25">
      <c r="A78" s="22" t="s">
        <v>247</v>
      </c>
      <c r="B78" s="41" t="s">
        <v>44</v>
      </c>
      <c r="C78" s="270">
        <v>49</v>
      </c>
      <c r="D78" s="235"/>
      <c r="E78" s="270" t="s">
        <v>259</v>
      </c>
      <c r="G78" s="244"/>
      <c r="H78">
        <f t="shared" si="5"/>
        <v>61127</v>
      </c>
      <c r="I78" s="246" t="s">
        <v>808</v>
      </c>
      <c r="J78" s="246">
        <v>49.1</v>
      </c>
      <c r="K78" s="246" t="s">
        <v>1449</v>
      </c>
      <c r="M78" t="str">
        <f t="shared" si="6"/>
        <v>INTN132T3</v>
      </c>
      <c r="N78" t="str">
        <f>VLOOKUP(H78,'TNB Load'!$A$2:$F$1448,6,FALSE)</f>
        <v>KEDAH</v>
      </c>
      <c r="O78">
        <f t="shared" si="7"/>
        <v>25.370799999999999</v>
      </c>
      <c r="R78">
        <v>61112</v>
      </c>
      <c r="S78" t="s">
        <v>1367</v>
      </c>
      <c r="T78" t="s">
        <v>807</v>
      </c>
      <c r="U78" t="str">
        <f t="shared" si="8"/>
        <v>TKBU132</v>
      </c>
      <c r="W78" t="str">
        <f t="shared" si="9"/>
        <v>TKBU132T2</v>
      </c>
      <c r="X78">
        <v>31.707000000000001</v>
      </c>
      <c r="Z78" t="s">
        <v>1367</v>
      </c>
      <c r="AA78" t="s">
        <v>807</v>
      </c>
      <c r="AB78" t="s">
        <v>1576</v>
      </c>
      <c r="AD78" t="s">
        <v>1724</v>
      </c>
      <c r="AE78">
        <v>31.707000000000001</v>
      </c>
      <c r="AF78">
        <v>61112</v>
      </c>
      <c r="AH78" t="s">
        <v>1686</v>
      </c>
    </row>
    <row r="79" spans="1:34" x14ac:dyDescent="0.25">
      <c r="A79" s="22" t="s">
        <v>248</v>
      </c>
      <c r="B79" s="41" t="s">
        <v>44</v>
      </c>
      <c r="C79" s="270"/>
      <c r="D79" s="235"/>
      <c r="E79" s="270"/>
      <c r="G79" s="244"/>
      <c r="H79">
        <f t="shared" si="5"/>
        <v>61127</v>
      </c>
      <c r="I79" s="246" t="s">
        <v>807</v>
      </c>
      <c r="J79" s="246">
        <v>49.1</v>
      </c>
      <c r="K79" s="246" t="s">
        <v>1449</v>
      </c>
      <c r="M79" t="str">
        <f t="shared" si="6"/>
        <v>INTN132T2</v>
      </c>
      <c r="N79" t="str">
        <f>VLOOKUP(H79,'TNB Load'!$A$2:$F$1448,6,FALSE)</f>
        <v>KEDAH</v>
      </c>
      <c r="O79">
        <f t="shared" si="7"/>
        <v>15.035399999999999</v>
      </c>
      <c r="R79">
        <v>62105</v>
      </c>
      <c r="S79" t="s">
        <v>844</v>
      </c>
      <c r="T79" t="s">
        <v>804</v>
      </c>
      <c r="U79" t="str">
        <f t="shared" si="8"/>
        <v>ATJN132</v>
      </c>
      <c r="W79" t="str">
        <f t="shared" si="9"/>
        <v>ATJN132T1</v>
      </c>
      <c r="X79">
        <v>5.3577000000000004</v>
      </c>
      <c r="Z79" t="s">
        <v>844</v>
      </c>
      <c r="AA79" t="s">
        <v>804</v>
      </c>
      <c r="AB79" t="s">
        <v>1493</v>
      </c>
      <c r="AD79" t="s">
        <v>1725</v>
      </c>
      <c r="AE79">
        <v>5.3577000000000004</v>
      </c>
      <c r="AF79">
        <v>62105</v>
      </c>
      <c r="AH79" t="s">
        <v>1685</v>
      </c>
    </row>
    <row r="80" spans="1:34" x14ac:dyDescent="0.25">
      <c r="A80" s="22" t="s">
        <v>249</v>
      </c>
      <c r="B80" s="17" t="s">
        <v>44</v>
      </c>
      <c r="C80" s="270">
        <v>140</v>
      </c>
      <c r="D80" s="235"/>
      <c r="E80" s="270" t="s">
        <v>260</v>
      </c>
      <c r="G80" s="244"/>
      <c r="H80">
        <f t="shared" si="5"/>
        <v>61127</v>
      </c>
      <c r="I80" s="246" t="s">
        <v>804</v>
      </c>
      <c r="J80" s="246">
        <v>49.1</v>
      </c>
      <c r="K80" s="246" t="s">
        <v>1449</v>
      </c>
      <c r="M80" t="str">
        <f t="shared" si="6"/>
        <v>INTN132T1</v>
      </c>
      <c r="N80" t="str">
        <f>VLOOKUP(H80,'TNB Load'!$A$2:$F$1448,6,FALSE)</f>
        <v>KEDAH</v>
      </c>
      <c r="O80">
        <f t="shared" si="7"/>
        <v>16.5214</v>
      </c>
      <c r="R80">
        <v>62105</v>
      </c>
      <c r="S80" t="s">
        <v>844</v>
      </c>
      <c r="T80" t="s">
        <v>807</v>
      </c>
      <c r="U80" t="str">
        <f t="shared" si="8"/>
        <v>ATJN132</v>
      </c>
      <c r="W80" t="str">
        <f t="shared" si="9"/>
        <v>ATJN132T2</v>
      </c>
      <c r="X80">
        <v>9.6000999999999994</v>
      </c>
      <c r="Z80" t="s">
        <v>844</v>
      </c>
      <c r="AA80" t="s">
        <v>807</v>
      </c>
      <c r="AB80" t="s">
        <v>1493</v>
      </c>
      <c r="AD80" t="s">
        <v>1726</v>
      </c>
      <c r="AE80">
        <v>9.6000999999999994</v>
      </c>
      <c r="AF80">
        <v>62105</v>
      </c>
      <c r="AH80" t="s">
        <v>1684</v>
      </c>
    </row>
    <row r="81" spans="1:34" x14ac:dyDescent="0.25">
      <c r="A81" s="22" t="s">
        <v>250</v>
      </c>
      <c r="B81" s="17" t="s">
        <v>39</v>
      </c>
      <c r="C81" s="270"/>
      <c r="D81" s="235"/>
      <c r="E81" s="270"/>
      <c r="G81" s="63"/>
      <c r="H81">
        <f t="shared" si="5"/>
        <v>96177</v>
      </c>
      <c r="I81" s="246" t="s">
        <v>807</v>
      </c>
      <c r="J81" s="246">
        <v>49.1</v>
      </c>
      <c r="K81" s="246" t="s">
        <v>1450</v>
      </c>
      <c r="M81" t="str">
        <f t="shared" si="6"/>
        <v>MPSS132T2</v>
      </c>
      <c r="N81" t="str">
        <f>VLOOKUP(H81,'TNB Load'!$A$2:$F$1448,6,FALSE)</f>
        <v>MELAKA</v>
      </c>
      <c r="O81">
        <f t="shared" si="7"/>
        <v>6.0121000000000002</v>
      </c>
      <c r="R81">
        <v>62105</v>
      </c>
      <c r="S81" t="s">
        <v>844</v>
      </c>
      <c r="T81" t="s">
        <v>808</v>
      </c>
      <c r="U81" t="str">
        <f t="shared" si="8"/>
        <v>ATJN132</v>
      </c>
      <c r="W81" t="str">
        <f t="shared" si="9"/>
        <v>ATJN132T3</v>
      </c>
      <c r="X81">
        <v>22.457899999999999</v>
      </c>
      <c r="Z81" t="s">
        <v>844</v>
      </c>
      <c r="AA81" t="s">
        <v>808</v>
      </c>
      <c r="AB81" t="s">
        <v>1493</v>
      </c>
      <c r="AD81" t="s">
        <v>1727</v>
      </c>
      <c r="AE81">
        <v>22.457899999999999</v>
      </c>
      <c r="AF81">
        <v>62105</v>
      </c>
      <c r="AH81" t="s">
        <v>2561</v>
      </c>
    </row>
    <row r="82" spans="1:34" x14ac:dyDescent="0.25">
      <c r="A82" s="22" t="s">
        <v>252</v>
      </c>
      <c r="B82" s="17" t="s">
        <v>251</v>
      </c>
      <c r="C82" s="270">
        <v>133</v>
      </c>
      <c r="D82" s="235"/>
      <c r="E82" s="270" t="s">
        <v>261</v>
      </c>
      <c r="G82" s="244"/>
      <c r="H82">
        <f t="shared" si="5"/>
        <v>96177</v>
      </c>
      <c r="I82" s="246" t="s">
        <v>804</v>
      </c>
      <c r="J82" s="246">
        <v>49.1</v>
      </c>
      <c r="K82" s="246" t="s">
        <v>1450</v>
      </c>
      <c r="M82" t="str">
        <f t="shared" si="6"/>
        <v>MPSS132T1</v>
      </c>
      <c r="N82" t="str">
        <f>VLOOKUP(H82,'TNB Load'!$A$2:$F$1448,6,FALSE)</f>
        <v>MELAKA</v>
      </c>
      <c r="O82">
        <f t="shared" si="7"/>
        <v>2.9428999999999998</v>
      </c>
      <c r="R82">
        <v>62105</v>
      </c>
      <c r="S82" t="s">
        <v>844</v>
      </c>
      <c r="T82" t="s">
        <v>809</v>
      </c>
      <c r="U82" t="str">
        <f t="shared" si="8"/>
        <v>ATJN132</v>
      </c>
      <c r="W82" t="str">
        <f t="shared" si="9"/>
        <v>ATJN132T4</v>
      </c>
      <c r="X82">
        <v>23.086400000000001</v>
      </c>
      <c r="Z82" t="s">
        <v>844</v>
      </c>
      <c r="AA82" t="s">
        <v>809</v>
      </c>
      <c r="AB82" t="s">
        <v>1493</v>
      </c>
      <c r="AD82" t="s">
        <v>1728</v>
      </c>
      <c r="AE82">
        <v>23.086400000000001</v>
      </c>
      <c r="AF82">
        <v>62105</v>
      </c>
      <c r="AH82" t="s">
        <v>2560</v>
      </c>
    </row>
    <row r="83" spans="1:34" x14ac:dyDescent="0.25">
      <c r="A83" s="45" t="s">
        <v>253</v>
      </c>
      <c r="B83" s="46" t="s">
        <v>254</v>
      </c>
      <c r="C83" s="270"/>
      <c r="D83" s="235"/>
      <c r="E83" s="270"/>
      <c r="G83" s="244"/>
      <c r="H83">
        <f t="shared" si="5"/>
        <v>75127</v>
      </c>
      <c r="I83" t="s">
        <v>807</v>
      </c>
      <c r="J83">
        <v>49</v>
      </c>
      <c r="K83" t="s">
        <v>1451</v>
      </c>
      <c r="M83" t="str">
        <f t="shared" si="6"/>
        <v>TJUG132T2</v>
      </c>
      <c r="N83" t="str">
        <f>VLOOKUP(H83,'TNB Load'!$A$2:$F$1448,6,FALSE)</f>
        <v>KELANTAN</v>
      </c>
      <c r="O83">
        <f t="shared" si="7"/>
        <v>30.404299999999999</v>
      </c>
      <c r="R83">
        <v>62131</v>
      </c>
      <c r="S83" t="s">
        <v>857</v>
      </c>
      <c r="T83" t="s">
        <v>804</v>
      </c>
      <c r="U83" t="str">
        <f t="shared" si="8"/>
        <v>BBRU132</v>
      </c>
      <c r="W83" t="str">
        <f t="shared" si="9"/>
        <v>BBRU132T1</v>
      </c>
      <c r="X83">
        <v>48.453000000000003</v>
      </c>
      <c r="Z83" t="s">
        <v>857</v>
      </c>
      <c r="AA83" t="s">
        <v>804</v>
      </c>
      <c r="AB83" t="s">
        <v>1615</v>
      </c>
      <c r="AD83" t="s">
        <v>1729</v>
      </c>
      <c r="AE83">
        <v>48.453000000000003</v>
      </c>
      <c r="AF83">
        <v>62131</v>
      </c>
      <c r="AH83" t="s">
        <v>3101</v>
      </c>
    </row>
    <row r="84" spans="1:34" x14ac:dyDescent="0.25">
      <c r="A84" s="22" t="s">
        <v>97</v>
      </c>
      <c r="B84" s="41" t="s">
        <v>103</v>
      </c>
      <c r="C84" s="72">
        <v>56.750300000000003</v>
      </c>
      <c r="D84" s="72"/>
      <c r="E84" s="241" t="s">
        <v>262</v>
      </c>
      <c r="G84" s="244"/>
      <c r="H84">
        <f t="shared" si="5"/>
        <v>75127</v>
      </c>
      <c r="I84" t="s">
        <v>804</v>
      </c>
      <c r="J84">
        <v>49</v>
      </c>
      <c r="K84" t="s">
        <v>1451</v>
      </c>
      <c r="M84" t="str">
        <f t="shared" si="6"/>
        <v>TJUG132T1</v>
      </c>
      <c r="N84" t="str">
        <f>VLOOKUP(H84,'TNB Load'!$A$2:$F$1448,6,FALSE)</f>
        <v>KELANTAN</v>
      </c>
      <c r="O84">
        <f t="shared" si="7"/>
        <v>26.621600000000001</v>
      </c>
      <c r="R84">
        <v>62131</v>
      </c>
      <c r="S84" t="s">
        <v>857</v>
      </c>
      <c r="T84" t="s">
        <v>807</v>
      </c>
      <c r="U84" t="str">
        <f t="shared" si="8"/>
        <v>BBRU132</v>
      </c>
      <c r="W84" t="str">
        <f t="shared" si="9"/>
        <v>BBRU132T2</v>
      </c>
      <c r="X84">
        <v>48.166200000000003</v>
      </c>
      <c r="Z84" t="s">
        <v>857</v>
      </c>
      <c r="AA84" t="s">
        <v>807</v>
      </c>
      <c r="AB84" t="s">
        <v>1615</v>
      </c>
      <c r="AD84" t="s">
        <v>1730</v>
      </c>
      <c r="AE84">
        <v>48.166200000000003</v>
      </c>
      <c r="AF84">
        <v>62131</v>
      </c>
      <c r="AH84" t="s">
        <v>3100</v>
      </c>
    </row>
    <row r="85" spans="1:34" x14ac:dyDescent="0.25">
      <c r="A85" s="22" t="s">
        <v>96</v>
      </c>
      <c r="B85" s="17" t="s">
        <v>102</v>
      </c>
      <c r="C85" s="72">
        <v>9.3911999999999995</v>
      </c>
      <c r="D85" s="72"/>
      <c r="E85" s="241" t="s">
        <v>263</v>
      </c>
      <c r="G85" s="244"/>
      <c r="H85">
        <f t="shared" si="5"/>
        <v>97147</v>
      </c>
      <c r="I85" t="s">
        <v>808</v>
      </c>
      <c r="J85">
        <v>49</v>
      </c>
      <c r="K85" t="s">
        <v>1452</v>
      </c>
      <c r="M85" t="str">
        <f t="shared" si="6"/>
        <v>MUAR132T3</v>
      </c>
      <c r="N85" t="str">
        <f>VLOOKUP(H85,'TNB Load'!$A$2:$F$1448,6,FALSE)</f>
        <v>JOHOR</v>
      </c>
      <c r="O85">
        <f t="shared" si="7"/>
        <v>12.604100000000001</v>
      </c>
      <c r="R85">
        <v>62131</v>
      </c>
      <c r="S85" t="s">
        <v>857</v>
      </c>
      <c r="T85" t="s">
        <v>808</v>
      </c>
      <c r="U85" t="str">
        <f t="shared" si="8"/>
        <v>BBRU132</v>
      </c>
      <c r="W85" t="str">
        <f t="shared" si="9"/>
        <v>BBRU132T3</v>
      </c>
      <c r="X85">
        <v>5.367</v>
      </c>
      <c r="Z85" t="s">
        <v>857</v>
      </c>
      <c r="AA85" t="s">
        <v>808</v>
      </c>
      <c r="AB85" t="s">
        <v>1615</v>
      </c>
      <c r="AD85" t="s">
        <v>1731</v>
      </c>
      <c r="AE85">
        <v>5.367</v>
      </c>
      <c r="AF85">
        <v>62131</v>
      </c>
      <c r="AH85" t="s">
        <v>2697</v>
      </c>
    </row>
    <row r="86" spans="1:34" x14ac:dyDescent="0.25">
      <c r="A86" s="22" t="s">
        <v>95</v>
      </c>
      <c r="B86" s="17" t="s">
        <v>99</v>
      </c>
      <c r="C86" s="72">
        <v>22.799900000000001</v>
      </c>
      <c r="D86" s="72"/>
      <c r="E86" s="241" t="s">
        <v>264</v>
      </c>
      <c r="G86" s="244"/>
      <c r="H86">
        <f t="shared" si="5"/>
        <v>97147</v>
      </c>
      <c r="I86" t="s">
        <v>807</v>
      </c>
      <c r="J86">
        <v>49</v>
      </c>
      <c r="K86" t="s">
        <v>1452</v>
      </c>
      <c r="M86" t="str">
        <f t="shared" si="6"/>
        <v>MUAR132T2</v>
      </c>
      <c r="N86" t="str">
        <f>VLOOKUP(H86,'TNB Load'!$A$2:$F$1448,6,FALSE)</f>
        <v>JOHOR</v>
      </c>
      <c r="O86">
        <f t="shared" si="7"/>
        <v>9.4168000000000003</v>
      </c>
      <c r="R86">
        <v>62131</v>
      </c>
      <c r="S86" t="s">
        <v>857</v>
      </c>
      <c r="T86" t="s">
        <v>809</v>
      </c>
      <c r="U86" t="str">
        <f t="shared" si="8"/>
        <v>BBRU132</v>
      </c>
      <c r="W86" t="str">
        <f t="shared" si="9"/>
        <v>BBRU132T4</v>
      </c>
      <c r="X86">
        <v>11.420500000000001</v>
      </c>
      <c r="Z86" t="s">
        <v>857</v>
      </c>
      <c r="AA86" t="s">
        <v>809</v>
      </c>
      <c r="AB86" t="s">
        <v>1615</v>
      </c>
      <c r="AD86" t="s">
        <v>1732</v>
      </c>
      <c r="AE86">
        <v>11.420500000000001</v>
      </c>
      <c r="AF86">
        <v>62131</v>
      </c>
      <c r="AH86" t="s">
        <v>2696</v>
      </c>
    </row>
    <row r="87" spans="1:34" x14ac:dyDescent="0.25">
      <c r="A87" s="6" t="s">
        <v>95</v>
      </c>
      <c r="B87" s="7" t="s">
        <v>99</v>
      </c>
      <c r="C87" s="73">
        <v>58.122599999999998</v>
      </c>
      <c r="D87" s="73"/>
      <c r="E87" s="237" t="s">
        <v>372</v>
      </c>
      <c r="G87" s="244"/>
      <c r="H87">
        <f t="shared" si="5"/>
        <v>51004</v>
      </c>
      <c r="I87" t="s">
        <v>807</v>
      </c>
      <c r="J87">
        <v>49</v>
      </c>
      <c r="K87" t="s">
        <v>1453</v>
      </c>
      <c r="M87" t="str">
        <f t="shared" si="6"/>
        <v>BRGS132T2</v>
      </c>
      <c r="N87" t="str">
        <f>VLOOKUP(H87,'TNB Load'!$A$2:$F$1448,6,FALSE)</f>
        <v>SELANGOR</v>
      </c>
      <c r="O87">
        <f t="shared" si="7"/>
        <v>10.8178</v>
      </c>
      <c r="R87">
        <v>562131</v>
      </c>
      <c r="S87" t="s">
        <v>859</v>
      </c>
      <c r="T87" t="s">
        <v>807</v>
      </c>
      <c r="U87" t="str">
        <f t="shared" si="8"/>
        <v>BBRU132</v>
      </c>
      <c r="W87" t="str">
        <f t="shared" si="9"/>
        <v>BBRU132T2</v>
      </c>
      <c r="X87">
        <v>41.773299999999999</v>
      </c>
      <c r="Z87" t="s">
        <v>859</v>
      </c>
      <c r="AA87" t="s">
        <v>807</v>
      </c>
      <c r="AB87" t="s">
        <v>1615</v>
      </c>
      <c r="AD87" t="s">
        <v>1730</v>
      </c>
      <c r="AE87">
        <v>41.773299999999999</v>
      </c>
      <c r="AF87">
        <v>562131</v>
      </c>
      <c r="AH87" t="s">
        <v>2020</v>
      </c>
    </row>
    <row r="88" spans="1:34" x14ac:dyDescent="0.25">
      <c r="A88" s="6" t="s">
        <v>97</v>
      </c>
      <c r="B88" s="7" t="s">
        <v>103</v>
      </c>
      <c r="C88" s="73">
        <v>72.3964</v>
      </c>
      <c r="D88" s="73"/>
      <c r="E88" s="7" t="s">
        <v>381</v>
      </c>
      <c r="G88" s="244"/>
      <c r="H88">
        <f t="shared" si="5"/>
        <v>51004</v>
      </c>
      <c r="I88" t="s">
        <v>804</v>
      </c>
      <c r="J88">
        <v>49</v>
      </c>
      <c r="K88" t="s">
        <v>1453</v>
      </c>
      <c r="M88" t="str">
        <f t="shared" si="6"/>
        <v>BRGS132T1</v>
      </c>
      <c r="N88" t="str">
        <f>VLOOKUP(H88,'TNB Load'!$A$2:$F$1448,6,FALSE)</f>
        <v>SELANGOR</v>
      </c>
      <c r="O88">
        <f t="shared" si="7"/>
        <v>8.0602999999999998</v>
      </c>
      <c r="R88">
        <v>562131</v>
      </c>
      <c r="S88" t="s">
        <v>859</v>
      </c>
      <c r="T88" t="s">
        <v>809</v>
      </c>
      <c r="U88" t="str">
        <f t="shared" si="8"/>
        <v>BBRU132</v>
      </c>
      <c r="W88" t="str">
        <f t="shared" si="9"/>
        <v>BBRU132T4</v>
      </c>
      <c r="X88">
        <v>12.6684</v>
      </c>
      <c r="Z88" t="s">
        <v>859</v>
      </c>
      <c r="AA88" t="s">
        <v>809</v>
      </c>
      <c r="AB88" t="s">
        <v>1615</v>
      </c>
      <c r="AD88" t="s">
        <v>1732</v>
      </c>
      <c r="AE88">
        <v>12.6684</v>
      </c>
      <c r="AF88">
        <v>562131</v>
      </c>
      <c r="AH88" t="s">
        <v>2019</v>
      </c>
    </row>
    <row r="89" spans="1:34" x14ac:dyDescent="0.25">
      <c r="A89" s="58" t="s">
        <v>95</v>
      </c>
      <c r="B89" s="7" t="s">
        <v>99</v>
      </c>
      <c r="C89" s="73">
        <v>38.901899999999998</v>
      </c>
      <c r="D89" s="73"/>
      <c r="E89" s="237" t="s">
        <v>383</v>
      </c>
      <c r="G89" s="244"/>
      <c r="H89">
        <f t="shared" si="5"/>
        <v>51047</v>
      </c>
      <c r="I89" t="s">
        <v>807</v>
      </c>
      <c r="J89">
        <v>49</v>
      </c>
      <c r="K89" t="s">
        <v>1454</v>
      </c>
      <c r="M89" t="str">
        <f t="shared" si="6"/>
        <v>IGBK132T2</v>
      </c>
      <c r="N89" t="str">
        <f>VLOOKUP(H89,'TNB Load'!$A$2:$F$1448,6,FALSE)</f>
        <v>SELANGOR</v>
      </c>
      <c r="O89">
        <f t="shared" si="7"/>
        <v>11.6069</v>
      </c>
      <c r="R89">
        <v>562131</v>
      </c>
      <c r="S89" t="s">
        <v>859</v>
      </c>
      <c r="T89" t="s">
        <v>860</v>
      </c>
      <c r="U89" t="str">
        <f t="shared" si="8"/>
        <v>BBRU132</v>
      </c>
      <c r="W89" t="str">
        <f t="shared" si="9"/>
        <v>BBRU132T8</v>
      </c>
      <c r="X89">
        <v>14.197900000000001</v>
      </c>
      <c r="Z89" t="s">
        <v>859</v>
      </c>
      <c r="AA89" t="s">
        <v>860</v>
      </c>
      <c r="AB89" t="s">
        <v>1615</v>
      </c>
      <c r="AD89" t="s">
        <v>1733</v>
      </c>
      <c r="AE89">
        <v>14.197900000000001</v>
      </c>
      <c r="AF89">
        <v>562131</v>
      </c>
      <c r="AH89" t="s">
        <v>2068</v>
      </c>
    </row>
    <row r="90" spans="1:34" x14ac:dyDescent="0.25">
      <c r="A90" s="6" t="s">
        <v>97</v>
      </c>
      <c r="B90" s="7" t="s">
        <v>103</v>
      </c>
      <c r="C90" s="73">
        <v>84.959900000000005</v>
      </c>
      <c r="D90" s="73"/>
      <c r="E90" s="237" t="s">
        <v>374</v>
      </c>
      <c r="G90" s="244"/>
      <c r="H90">
        <f t="shared" si="5"/>
        <v>51047</v>
      </c>
      <c r="I90" t="s">
        <v>804</v>
      </c>
      <c r="J90">
        <v>49</v>
      </c>
      <c r="K90" t="s">
        <v>1454</v>
      </c>
      <c r="M90" t="str">
        <f t="shared" si="6"/>
        <v>IGBK132T1</v>
      </c>
      <c r="N90" t="str">
        <f>VLOOKUP(H90,'TNB Load'!$A$2:$F$1448,6,FALSE)</f>
        <v>SELANGOR</v>
      </c>
      <c r="O90">
        <f t="shared" si="7"/>
        <v>10.773300000000001</v>
      </c>
      <c r="R90">
        <v>62120</v>
      </c>
      <c r="S90" t="s">
        <v>883</v>
      </c>
      <c r="T90" t="s">
        <v>804</v>
      </c>
      <c r="U90" t="str">
        <f t="shared" si="8"/>
        <v>BKWS132</v>
      </c>
      <c r="W90" t="str">
        <f t="shared" si="9"/>
        <v>BKWS132T1</v>
      </c>
      <c r="X90">
        <v>55.877600000000001</v>
      </c>
      <c r="Z90" t="s">
        <v>883</v>
      </c>
      <c r="AA90" t="s">
        <v>804</v>
      </c>
      <c r="AB90" t="s">
        <v>1530</v>
      </c>
      <c r="AD90" t="s">
        <v>1734</v>
      </c>
      <c r="AE90">
        <v>55.877600000000001</v>
      </c>
      <c r="AF90">
        <v>62120</v>
      </c>
      <c r="AH90" t="s">
        <v>2067</v>
      </c>
    </row>
    <row r="91" spans="1:34" x14ac:dyDescent="0.25">
      <c r="A91" s="6" t="s">
        <v>96</v>
      </c>
      <c r="B91" s="7" t="s">
        <v>102</v>
      </c>
      <c r="C91" s="73">
        <v>17.323799999999999</v>
      </c>
      <c r="D91" s="73"/>
      <c r="E91" s="7" t="s">
        <v>384</v>
      </c>
      <c r="G91" s="244"/>
      <c r="H91">
        <f t="shared" si="5"/>
        <v>51087</v>
      </c>
      <c r="I91" t="s">
        <v>809</v>
      </c>
      <c r="J91">
        <v>49</v>
      </c>
      <c r="K91" t="s">
        <v>1455</v>
      </c>
      <c r="M91" t="str">
        <f t="shared" si="6"/>
        <v>BBTG132T4</v>
      </c>
      <c r="N91" t="str">
        <f>VLOOKUP(H91,'TNB Load'!$A$2:$F$1448,6,FALSE)</f>
        <v>SELANGOR</v>
      </c>
      <c r="O91">
        <f t="shared" si="7"/>
        <v>19.868099999999998</v>
      </c>
      <c r="R91">
        <v>62120</v>
      </c>
      <c r="S91" t="s">
        <v>883</v>
      </c>
      <c r="T91" t="s">
        <v>807</v>
      </c>
      <c r="U91" t="str">
        <f t="shared" si="8"/>
        <v>BKWS132</v>
      </c>
      <c r="W91" t="str">
        <f t="shared" si="9"/>
        <v>BKWS132T2</v>
      </c>
      <c r="X91">
        <v>54.365699999999997</v>
      </c>
      <c r="Z91" t="s">
        <v>883</v>
      </c>
      <c r="AA91" t="s">
        <v>807</v>
      </c>
      <c r="AB91" t="s">
        <v>1530</v>
      </c>
      <c r="AD91" t="s">
        <v>1735</v>
      </c>
      <c r="AE91">
        <v>54.365699999999997</v>
      </c>
      <c r="AF91">
        <v>62120</v>
      </c>
      <c r="AH91" t="s">
        <v>1990</v>
      </c>
    </row>
    <row r="92" spans="1:34" x14ac:dyDescent="0.25">
      <c r="A92" s="6" t="s">
        <v>369</v>
      </c>
      <c r="B92" s="7" t="s">
        <v>44</v>
      </c>
      <c r="C92" s="261">
        <v>298</v>
      </c>
      <c r="D92" s="238"/>
      <c r="E92" s="256" t="s">
        <v>371</v>
      </c>
      <c r="G92" s="244"/>
      <c r="H92">
        <f t="shared" si="5"/>
        <v>51087</v>
      </c>
      <c r="I92" t="s">
        <v>808</v>
      </c>
      <c r="J92">
        <v>49</v>
      </c>
      <c r="K92" t="s">
        <v>1455</v>
      </c>
      <c r="M92" t="str">
        <f t="shared" si="6"/>
        <v>BBTG132T3</v>
      </c>
      <c r="N92" t="str">
        <f>VLOOKUP(H92,'TNB Load'!$A$2:$F$1448,6,FALSE)</f>
        <v>SELANGOR</v>
      </c>
      <c r="O92">
        <f t="shared" si="7"/>
        <v>20.0307</v>
      </c>
      <c r="R92">
        <v>62120</v>
      </c>
      <c r="S92" t="s">
        <v>883</v>
      </c>
      <c r="T92" t="s">
        <v>810</v>
      </c>
      <c r="U92" t="str">
        <f t="shared" si="8"/>
        <v>BKWS132</v>
      </c>
      <c r="W92" t="str">
        <f t="shared" si="9"/>
        <v>BKWS132T5</v>
      </c>
      <c r="X92">
        <v>1.0262</v>
      </c>
      <c r="Z92" t="s">
        <v>883</v>
      </c>
      <c r="AA92" t="s">
        <v>810</v>
      </c>
      <c r="AB92" t="s">
        <v>1530</v>
      </c>
      <c r="AD92" t="s">
        <v>1736</v>
      </c>
      <c r="AE92">
        <v>1.0262</v>
      </c>
      <c r="AF92">
        <v>62120</v>
      </c>
      <c r="AH92" t="s">
        <v>1989</v>
      </c>
    </row>
    <row r="93" spans="1:34" x14ac:dyDescent="0.25">
      <c r="A93" s="6" t="s">
        <v>370</v>
      </c>
      <c r="B93" s="7" t="s">
        <v>191</v>
      </c>
      <c r="C93" s="261"/>
      <c r="D93" s="238"/>
      <c r="E93" s="256"/>
      <c r="G93" s="244"/>
      <c r="H93">
        <f t="shared" si="5"/>
        <v>74128</v>
      </c>
      <c r="I93" t="s">
        <v>809</v>
      </c>
      <c r="J93">
        <v>49</v>
      </c>
      <c r="K93" t="s">
        <v>1456</v>
      </c>
      <c r="M93" t="str">
        <f t="shared" si="6"/>
        <v>BIMK132T4</v>
      </c>
      <c r="N93" t="str">
        <f>VLOOKUP(H93,'TNB Load'!$A$2:$F$1448,6,FALSE)</f>
        <v>PAHANG</v>
      </c>
      <c r="O93">
        <f t="shared" si="7"/>
        <v>37.642400000000002</v>
      </c>
      <c r="R93">
        <v>61117</v>
      </c>
      <c r="S93" t="s">
        <v>884</v>
      </c>
      <c r="T93" t="s">
        <v>804</v>
      </c>
      <c r="U93" t="str">
        <f t="shared" si="8"/>
        <v>BLIN132</v>
      </c>
      <c r="W93" t="str">
        <f t="shared" si="9"/>
        <v>BLIN132T1</v>
      </c>
      <c r="X93">
        <v>15.6174</v>
      </c>
      <c r="Z93" t="s">
        <v>884</v>
      </c>
      <c r="AA93" t="s">
        <v>804</v>
      </c>
      <c r="AB93" t="s">
        <v>1737</v>
      </c>
      <c r="AD93" t="s">
        <v>1738</v>
      </c>
      <c r="AE93">
        <v>15.6174</v>
      </c>
      <c r="AF93">
        <v>61117</v>
      </c>
      <c r="AH93" t="s">
        <v>2891</v>
      </c>
    </row>
    <row r="94" spans="1:34" x14ac:dyDescent="0.25">
      <c r="A94" s="37" t="s">
        <v>353</v>
      </c>
      <c r="B94" s="35" t="s">
        <v>39</v>
      </c>
      <c r="C94" s="261"/>
      <c r="D94" s="238"/>
      <c r="E94" s="256"/>
      <c r="G94" s="244"/>
      <c r="H94">
        <f t="shared" si="5"/>
        <v>74128</v>
      </c>
      <c r="I94" t="s">
        <v>808</v>
      </c>
      <c r="J94">
        <v>49</v>
      </c>
      <c r="K94" t="s">
        <v>1456</v>
      </c>
      <c r="M94" t="str">
        <f t="shared" si="6"/>
        <v>BIMK132T3</v>
      </c>
      <c r="N94" t="str">
        <f>VLOOKUP(H94,'TNB Load'!$A$2:$F$1448,6,FALSE)</f>
        <v>PAHANG</v>
      </c>
      <c r="O94">
        <f t="shared" si="7"/>
        <v>37.4146</v>
      </c>
      <c r="R94">
        <v>61117</v>
      </c>
      <c r="S94" t="s">
        <v>884</v>
      </c>
      <c r="T94" t="s">
        <v>807</v>
      </c>
      <c r="U94" t="str">
        <f t="shared" si="8"/>
        <v>BLIN132</v>
      </c>
      <c r="W94" t="str">
        <f t="shared" si="9"/>
        <v>BLIN132T2</v>
      </c>
      <c r="X94">
        <v>14.2102</v>
      </c>
      <c r="Z94" t="s">
        <v>884</v>
      </c>
      <c r="AA94" t="s">
        <v>807</v>
      </c>
      <c r="AB94" t="s">
        <v>1737</v>
      </c>
      <c r="AD94" t="s">
        <v>1739</v>
      </c>
      <c r="AE94">
        <v>14.2102</v>
      </c>
      <c r="AF94">
        <v>61117</v>
      </c>
      <c r="AH94" t="s">
        <v>2890</v>
      </c>
    </row>
    <row r="95" spans="1:34" x14ac:dyDescent="0.25">
      <c r="A95" s="37" t="s">
        <v>96</v>
      </c>
      <c r="B95" s="35" t="s">
        <v>102</v>
      </c>
      <c r="C95" s="74">
        <v>18</v>
      </c>
      <c r="D95" s="74"/>
      <c r="E95" s="35" t="s">
        <v>375</v>
      </c>
      <c r="G95" s="244"/>
      <c r="H95">
        <f t="shared" si="5"/>
        <v>74128</v>
      </c>
      <c r="I95" t="s">
        <v>807</v>
      </c>
      <c r="J95">
        <v>49</v>
      </c>
      <c r="K95" t="s">
        <v>1456</v>
      </c>
      <c r="M95" t="str">
        <f t="shared" si="6"/>
        <v>BIMK132T2</v>
      </c>
      <c r="N95" t="str">
        <f>VLOOKUP(H95,'TNB Load'!$A$2:$F$1448,6,FALSE)</f>
        <v>PAHANG</v>
      </c>
      <c r="O95">
        <f t="shared" si="7"/>
        <v>11.2828</v>
      </c>
      <c r="R95">
        <v>62102</v>
      </c>
      <c r="S95" t="s">
        <v>886</v>
      </c>
      <c r="T95" t="s">
        <v>808</v>
      </c>
      <c r="U95" t="str">
        <f t="shared" si="8"/>
        <v>BLPS132</v>
      </c>
      <c r="W95" t="str">
        <f t="shared" si="9"/>
        <v>BLPS132T3</v>
      </c>
      <c r="X95">
        <v>43.268300000000004</v>
      </c>
      <c r="Z95" t="s">
        <v>886</v>
      </c>
      <c r="AA95" t="s">
        <v>808</v>
      </c>
      <c r="AB95" t="s">
        <v>1740</v>
      </c>
      <c r="AD95" t="s">
        <v>1741</v>
      </c>
      <c r="AE95">
        <v>43.268300000000004</v>
      </c>
      <c r="AF95">
        <v>62102</v>
      </c>
      <c r="AH95" t="s">
        <v>2889</v>
      </c>
    </row>
    <row r="96" spans="1:34" x14ac:dyDescent="0.25">
      <c r="A96" s="37" t="s">
        <v>97</v>
      </c>
      <c r="B96" s="35" t="s">
        <v>103</v>
      </c>
      <c r="C96" s="74">
        <v>60</v>
      </c>
      <c r="D96" s="74"/>
      <c r="E96" s="35" t="s">
        <v>376</v>
      </c>
      <c r="G96" s="244"/>
      <c r="H96">
        <f t="shared" si="5"/>
        <v>74128</v>
      </c>
      <c r="I96" t="s">
        <v>804</v>
      </c>
      <c r="J96">
        <v>49</v>
      </c>
      <c r="K96" t="s">
        <v>1456</v>
      </c>
      <c r="M96" t="str">
        <f t="shared" si="6"/>
        <v>BIMK132T1</v>
      </c>
      <c r="N96" t="str">
        <f>VLOOKUP(H96,'TNB Load'!$A$2:$F$1448,6,FALSE)</f>
        <v>PAHANG</v>
      </c>
      <c r="O96">
        <f t="shared" si="7"/>
        <v>10.0526</v>
      </c>
      <c r="R96">
        <v>62102</v>
      </c>
      <c r="S96" t="s">
        <v>886</v>
      </c>
      <c r="T96" t="s">
        <v>809</v>
      </c>
      <c r="U96" t="str">
        <f t="shared" si="8"/>
        <v>BLPS132</v>
      </c>
      <c r="W96" t="str">
        <f t="shared" si="9"/>
        <v>BLPS132T4</v>
      </c>
      <c r="X96">
        <v>46.579799999999999</v>
      </c>
      <c r="Z96" t="s">
        <v>886</v>
      </c>
      <c r="AA96" t="s">
        <v>809</v>
      </c>
      <c r="AB96" t="s">
        <v>1740</v>
      </c>
      <c r="AD96" t="s">
        <v>1742</v>
      </c>
      <c r="AE96">
        <v>46.579799999999999</v>
      </c>
      <c r="AF96">
        <v>62102</v>
      </c>
      <c r="AH96" t="s">
        <v>2888</v>
      </c>
    </row>
    <row r="97" spans="1:34" x14ac:dyDescent="0.25">
      <c r="A97" s="37" t="s">
        <v>96</v>
      </c>
      <c r="B97" s="35" t="s">
        <v>102</v>
      </c>
      <c r="C97" s="74">
        <v>30</v>
      </c>
      <c r="D97" s="74"/>
      <c r="E97" s="35" t="s">
        <v>377</v>
      </c>
      <c r="G97" s="244"/>
      <c r="H97">
        <f t="shared" si="5"/>
        <v>74118</v>
      </c>
      <c r="I97" t="s">
        <v>807</v>
      </c>
      <c r="J97">
        <v>49</v>
      </c>
      <c r="K97" t="s">
        <v>1457</v>
      </c>
      <c r="M97" t="str">
        <f t="shared" si="6"/>
        <v>BNTG132T2</v>
      </c>
      <c r="N97" t="str">
        <f>VLOOKUP(H97,'TNB Load'!$A$2:$F$1448,6,FALSE)</f>
        <v>PAHANG</v>
      </c>
      <c r="O97">
        <f t="shared" si="7"/>
        <v>11.338699999999999</v>
      </c>
      <c r="R97">
        <v>62104</v>
      </c>
      <c r="S97" t="s">
        <v>887</v>
      </c>
      <c r="T97" t="s">
        <v>804</v>
      </c>
      <c r="U97" t="str">
        <f t="shared" si="8"/>
        <v>BLPS132</v>
      </c>
      <c r="W97" t="str">
        <f t="shared" si="9"/>
        <v>BLPS132T1</v>
      </c>
      <c r="X97">
        <v>36.057099999999998</v>
      </c>
      <c r="Z97" t="s">
        <v>887</v>
      </c>
      <c r="AA97" t="s">
        <v>804</v>
      </c>
      <c r="AB97" t="s">
        <v>1740</v>
      </c>
      <c r="AD97" t="s">
        <v>1743</v>
      </c>
      <c r="AE97">
        <v>36.057099999999998</v>
      </c>
      <c r="AF97">
        <v>62104</v>
      </c>
      <c r="AH97" t="s">
        <v>2898</v>
      </c>
    </row>
    <row r="98" spans="1:34" ht="14.45" customHeight="1" x14ac:dyDescent="0.25">
      <c r="A98" s="37" t="s">
        <v>97</v>
      </c>
      <c r="B98" s="35" t="s">
        <v>103</v>
      </c>
      <c r="C98" s="74">
        <v>61</v>
      </c>
      <c r="D98" s="74"/>
      <c r="E98" s="35" t="s">
        <v>378</v>
      </c>
      <c r="G98" s="244"/>
      <c r="H98">
        <f t="shared" si="5"/>
        <v>74118</v>
      </c>
      <c r="I98" t="s">
        <v>804</v>
      </c>
      <c r="J98">
        <v>49</v>
      </c>
      <c r="K98" t="s">
        <v>1457</v>
      </c>
      <c r="M98" t="str">
        <f t="shared" si="6"/>
        <v>BNTG132T1</v>
      </c>
      <c r="N98" t="str">
        <f>VLOOKUP(H98,'TNB Load'!$A$2:$F$1448,6,FALSE)</f>
        <v>PAHANG</v>
      </c>
      <c r="O98">
        <f t="shared" si="7"/>
        <v>8.0809999999999995</v>
      </c>
      <c r="R98">
        <v>62104</v>
      </c>
      <c r="S98" t="s">
        <v>887</v>
      </c>
      <c r="T98" t="s">
        <v>807</v>
      </c>
      <c r="U98" t="str">
        <f t="shared" si="8"/>
        <v>BLPS132</v>
      </c>
      <c r="W98" t="str">
        <f t="shared" si="9"/>
        <v>BLPS132T2</v>
      </c>
      <c r="X98">
        <v>35.311500000000002</v>
      </c>
      <c r="Z98" t="s">
        <v>887</v>
      </c>
      <c r="AA98" t="s">
        <v>807</v>
      </c>
      <c r="AB98" t="s">
        <v>1740</v>
      </c>
      <c r="AD98" t="s">
        <v>1744</v>
      </c>
      <c r="AE98">
        <v>35.311500000000002</v>
      </c>
      <c r="AF98">
        <v>62104</v>
      </c>
      <c r="AH98" t="s">
        <v>2897</v>
      </c>
    </row>
    <row r="99" spans="1:34" x14ac:dyDescent="0.25">
      <c r="A99" s="37" t="s">
        <v>96</v>
      </c>
      <c r="B99" s="35" t="s">
        <v>102</v>
      </c>
      <c r="C99" s="74">
        <v>22.8675</v>
      </c>
      <c r="D99" s="74"/>
      <c r="E99" s="35" t="s">
        <v>379</v>
      </c>
      <c r="G99" s="244"/>
      <c r="H99">
        <f t="shared" si="5"/>
        <v>62133</v>
      </c>
      <c r="I99" t="s">
        <v>807</v>
      </c>
      <c r="J99">
        <v>49</v>
      </c>
      <c r="K99" t="s">
        <v>1458</v>
      </c>
      <c r="M99" t="str">
        <f t="shared" si="6"/>
        <v>BWTN132T2</v>
      </c>
      <c r="N99" t="str">
        <f>VLOOKUP(H99,'TNB Load'!$A$2:$F$1448,6,FALSE)</f>
        <v>P PINANG</v>
      </c>
      <c r="O99">
        <f t="shared" si="7"/>
        <v>39.998199999999997</v>
      </c>
      <c r="R99">
        <v>62106</v>
      </c>
      <c r="S99" t="s">
        <v>888</v>
      </c>
      <c r="T99" t="s">
        <v>804</v>
      </c>
      <c r="U99" t="str">
        <f t="shared" si="8"/>
        <v>BMJM132</v>
      </c>
      <c r="W99" t="str">
        <f t="shared" si="9"/>
        <v>BMJM132T1</v>
      </c>
      <c r="X99">
        <v>9.5617999999999999</v>
      </c>
      <c r="Z99" t="s">
        <v>888</v>
      </c>
      <c r="AA99" t="s">
        <v>804</v>
      </c>
      <c r="AB99" t="s">
        <v>1745</v>
      </c>
      <c r="AD99" t="s">
        <v>1746</v>
      </c>
      <c r="AE99">
        <v>9.5617999999999999</v>
      </c>
      <c r="AF99">
        <v>62106</v>
      </c>
      <c r="AH99" t="s">
        <v>1763</v>
      </c>
    </row>
    <row r="100" spans="1:34" x14ac:dyDescent="0.25">
      <c r="A100" s="6" t="s">
        <v>385</v>
      </c>
      <c r="B100" s="7" t="s">
        <v>110</v>
      </c>
      <c r="C100" s="73">
        <v>71.397199999999998</v>
      </c>
      <c r="D100" s="73"/>
      <c r="E100" s="7" t="s">
        <v>380</v>
      </c>
      <c r="G100" s="244"/>
      <c r="H100">
        <f t="shared" si="5"/>
        <v>62133</v>
      </c>
      <c r="I100" t="s">
        <v>804</v>
      </c>
      <c r="J100">
        <v>49</v>
      </c>
      <c r="K100" t="s">
        <v>1458</v>
      </c>
      <c r="M100" t="str">
        <f t="shared" si="6"/>
        <v>BWTN132T1</v>
      </c>
      <c r="N100" t="str">
        <f>VLOOKUP(H100,'TNB Load'!$A$2:$F$1448,6,FALSE)</f>
        <v>P PINANG</v>
      </c>
      <c r="O100">
        <f t="shared" si="7"/>
        <v>38.700699999999998</v>
      </c>
      <c r="R100">
        <v>62106</v>
      </c>
      <c r="S100" t="s">
        <v>888</v>
      </c>
      <c r="T100" t="s">
        <v>807</v>
      </c>
      <c r="U100" t="str">
        <f t="shared" si="8"/>
        <v>BMJM132</v>
      </c>
      <c r="W100" t="str">
        <f t="shared" si="9"/>
        <v>BMJM132T2</v>
      </c>
      <c r="X100">
        <v>12.9313</v>
      </c>
      <c r="Z100" t="s">
        <v>888</v>
      </c>
      <c r="AA100" t="s">
        <v>807</v>
      </c>
      <c r="AB100" t="s">
        <v>1745</v>
      </c>
      <c r="AD100" t="s">
        <v>1747</v>
      </c>
      <c r="AE100">
        <v>12.9313</v>
      </c>
      <c r="AF100">
        <v>62106</v>
      </c>
      <c r="AH100" t="s">
        <v>1762</v>
      </c>
    </row>
    <row r="101" spans="1:34" x14ac:dyDescent="0.25">
      <c r="A101" s="6" t="s">
        <v>95</v>
      </c>
      <c r="B101" s="7" t="s">
        <v>368</v>
      </c>
      <c r="C101" s="73">
        <v>66.698800000000006</v>
      </c>
      <c r="D101" s="73"/>
      <c r="E101" s="237" t="s">
        <v>373</v>
      </c>
      <c r="G101" s="244"/>
      <c r="H101">
        <f t="shared" si="5"/>
        <v>62133</v>
      </c>
      <c r="I101" t="s">
        <v>810</v>
      </c>
      <c r="J101">
        <v>49</v>
      </c>
      <c r="K101" t="s">
        <v>1458</v>
      </c>
      <c r="M101" t="str">
        <f t="shared" si="6"/>
        <v>BWTN132T5</v>
      </c>
      <c r="N101" t="str">
        <f>VLOOKUP(H101,'TNB Load'!$A$2:$F$1448,6,FALSE)</f>
        <v>P PINANG</v>
      </c>
      <c r="O101">
        <f t="shared" si="7"/>
        <v>0</v>
      </c>
      <c r="R101">
        <v>62106</v>
      </c>
      <c r="S101" t="s">
        <v>888</v>
      </c>
      <c r="T101" t="s">
        <v>808</v>
      </c>
      <c r="U101" t="str">
        <f t="shared" si="8"/>
        <v>BMJM132</v>
      </c>
      <c r="W101" t="str">
        <f t="shared" si="9"/>
        <v>BMJM132T3</v>
      </c>
      <c r="X101">
        <v>21.292999999999999</v>
      </c>
      <c r="Z101" t="s">
        <v>888</v>
      </c>
      <c r="AA101" t="s">
        <v>808</v>
      </c>
      <c r="AB101" t="s">
        <v>1745</v>
      </c>
      <c r="AD101" t="s">
        <v>1748</v>
      </c>
      <c r="AE101">
        <v>21.292999999999999</v>
      </c>
      <c r="AF101">
        <v>62106</v>
      </c>
      <c r="AH101" t="s">
        <v>1764</v>
      </c>
    </row>
    <row r="102" spans="1:34" x14ac:dyDescent="0.25">
      <c r="A102" s="6" t="s">
        <v>96</v>
      </c>
      <c r="B102" s="7" t="s">
        <v>102</v>
      </c>
      <c r="C102" s="73">
        <v>31.760899999999999</v>
      </c>
      <c r="D102" s="73"/>
      <c r="E102" s="7" t="s">
        <v>382</v>
      </c>
      <c r="G102" s="244"/>
      <c r="H102">
        <f t="shared" si="5"/>
        <v>562137</v>
      </c>
      <c r="I102" t="s">
        <v>809</v>
      </c>
      <c r="J102">
        <v>49</v>
      </c>
      <c r="K102" t="s">
        <v>1459</v>
      </c>
      <c r="M102" t="str">
        <f t="shared" si="6"/>
        <v>PRGS132T4</v>
      </c>
      <c r="N102" t="str">
        <f>VLOOKUP(H102,'TNB Load'!$A$2:$F$1448,6,FALSE)</f>
        <v>P PINANG</v>
      </c>
      <c r="O102">
        <f t="shared" si="7"/>
        <v>21.0061</v>
      </c>
      <c r="R102">
        <v>62106</v>
      </c>
      <c r="S102" t="s">
        <v>888</v>
      </c>
      <c r="T102" t="s">
        <v>809</v>
      </c>
      <c r="U102" t="str">
        <f t="shared" si="8"/>
        <v>BMJM132</v>
      </c>
      <c r="W102" t="str">
        <f t="shared" si="9"/>
        <v>BMJM132T4</v>
      </c>
      <c r="X102">
        <v>21.2712</v>
      </c>
      <c r="Z102" t="s">
        <v>888</v>
      </c>
      <c r="AA102" t="s">
        <v>809</v>
      </c>
      <c r="AB102" t="s">
        <v>1745</v>
      </c>
      <c r="AD102" t="s">
        <v>1749</v>
      </c>
      <c r="AE102">
        <v>21.2712</v>
      </c>
      <c r="AF102">
        <v>62106</v>
      </c>
      <c r="AH102" t="s">
        <v>1787</v>
      </c>
    </row>
    <row r="103" spans="1:34" x14ac:dyDescent="0.25">
      <c r="A103" s="29" t="s">
        <v>96</v>
      </c>
      <c r="B103" s="57" t="s">
        <v>102</v>
      </c>
      <c r="C103" s="83">
        <v>21.392700000000001</v>
      </c>
      <c r="D103" s="228"/>
      <c r="E103" s="92" t="s">
        <v>426</v>
      </c>
      <c r="G103" s="244"/>
      <c r="H103">
        <f t="shared" si="5"/>
        <v>562137</v>
      </c>
      <c r="I103" t="s">
        <v>808</v>
      </c>
      <c r="J103">
        <v>49</v>
      </c>
      <c r="K103" t="s">
        <v>1459</v>
      </c>
      <c r="M103" t="str">
        <f t="shared" si="6"/>
        <v>PRGS132T3</v>
      </c>
      <c r="N103" t="str">
        <f>VLOOKUP(H103,'TNB Load'!$A$2:$F$1448,6,FALSE)</f>
        <v>P PINANG</v>
      </c>
      <c r="O103">
        <f t="shared" si="7"/>
        <v>21.045500000000001</v>
      </c>
      <c r="R103">
        <v>62110</v>
      </c>
      <c r="S103" t="s">
        <v>893</v>
      </c>
      <c r="T103" t="s">
        <v>804</v>
      </c>
      <c r="U103" t="str">
        <f t="shared" si="8"/>
        <v>BMTR132</v>
      </c>
      <c r="W103" t="str">
        <f t="shared" si="9"/>
        <v>BMTR132T1</v>
      </c>
      <c r="X103">
        <v>62.741900000000001</v>
      </c>
      <c r="Z103" t="s">
        <v>893</v>
      </c>
      <c r="AA103" t="s">
        <v>804</v>
      </c>
      <c r="AB103" t="s">
        <v>1529</v>
      </c>
      <c r="AD103" t="s">
        <v>1750</v>
      </c>
      <c r="AE103">
        <v>62.741900000000001</v>
      </c>
      <c r="AF103">
        <v>62110</v>
      </c>
      <c r="AH103" t="s">
        <v>1786</v>
      </c>
    </row>
    <row r="104" spans="1:34" x14ac:dyDescent="0.25">
      <c r="A104" s="22" t="s">
        <v>94</v>
      </c>
      <c r="B104" s="17" t="s">
        <v>99</v>
      </c>
      <c r="C104" s="72">
        <v>35.081299999999999</v>
      </c>
      <c r="D104" s="229"/>
      <c r="E104" s="40" t="s">
        <v>427</v>
      </c>
      <c r="G104" s="244"/>
      <c r="H104">
        <f t="shared" si="5"/>
        <v>51130</v>
      </c>
      <c r="I104" t="s">
        <v>807</v>
      </c>
      <c r="J104">
        <v>49</v>
      </c>
      <c r="K104" t="s">
        <v>1460</v>
      </c>
      <c r="M104" t="str">
        <f t="shared" si="6"/>
        <v>SRDR132T2</v>
      </c>
      <c r="N104" t="str">
        <f>VLOOKUP(H104,'TNB Load'!$A$2:$F$1448,6,FALSE)</f>
        <v>WPKL</v>
      </c>
      <c r="O104">
        <f t="shared" si="7"/>
        <v>27.978100000000001</v>
      </c>
      <c r="R104">
        <v>62110</v>
      </c>
      <c r="S104" t="s">
        <v>893</v>
      </c>
      <c r="T104" t="s">
        <v>807</v>
      </c>
      <c r="U104" t="str">
        <f t="shared" si="8"/>
        <v>BMTR132</v>
      </c>
      <c r="W104" t="str">
        <f t="shared" si="9"/>
        <v>BMTR132T2</v>
      </c>
      <c r="X104">
        <v>57.494</v>
      </c>
      <c r="Z104" t="s">
        <v>893</v>
      </c>
      <c r="AA104" t="s">
        <v>807</v>
      </c>
      <c r="AB104" t="s">
        <v>1529</v>
      </c>
      <c r="AD104" t="s">
        <v>1751</v>
      </c>
      <c r="AE104">
        <v>57.494</v>
      </c>
      <c r="AF104">
        <v>62110</v>
      </c>
      <c r="AH104" t="s">
        <v>2396</v>
      </c>
    </row>
    <row r="105" spans="1:34" x14ac:dyDescent="0.25">
      <c r="A105" s="49" t="s">
        <v>411</v>
      </c>
      <c r="B105" s="50" t="s">
        <v>425</v>
      </c>
      <c r="C105" s="75">
        <v>1.4469000000000001</v>
      </c>
      <c r="D105" s="230"/>
      <c r="E105" s="48" t="s">
        <v>439</v>
      </c>
      <c r="G105" s="244"/>
      <c r="H105">
        <f t="shared" si="5"/>
        <v>51130</v>
      </c>
      <c r="I105" t="s">
        <v>804</v>
      </c>
      <c r="J105">
        <v>49</v>
      </c>
      <c r="K105" t="s">
        <v>1460</v>
      </c>
      <c r="M105" t="str">
        <f t="shared" si="6"/>
        <v>SRDR132T1</v>
      </c>
      <c r="N105" t="str">
        <f>VLOOKUP(H105,'TNB Load'!$A$2:$F$1448,6,FALSE)</f>
        <v>WPKL</v>
      </c>
      <c r="O105">
        <f t="shared" si="7"/>
        <v>27.853899999999999</v>
      </c>
      <c r="R105">
        <v>62108</v>
      </c>
      <c r="S105" t="s">
        <v>894</v>
      </c>
      <c r="T105" t="s">
        <v>804</v>
      </c>
      <c r="U105" t="str">
        <f t="shared" si="8"/>
        <v>BMYK132</v>
      </c>
      <c r="W105" t="str">
        <f t="shared" si="9"/>
        <v>BMYK132T1</v>
      </c>
      <c r="X105">
        <v>11.951700000000001</v>
      </c>
      <c r="Z105" t="s">
        <v>894</v>
      </c>
      <c r="AA105" t="s">
        <v>804</v>
      </c>
      <c r="AB105" t="s">
        <v>1545</v>
      </c>
      <c r="AD105" t="s">
        <v>1752</v>
      </c>
      <c r="AE105">
        <v>11.951700000000001</v>
      </c>
      <c r="AF105">
        <v>62108</v>
      </c>
      <c r="AH105" t="s">
        <v>2395</v>
      </c>
    </row>
    <row r="106" spans="1:34" x14ac:dyDescent="0.25">
      <c r="A106" s="22" t="s">
        <v>94</v>
      </c>
      <c r="B106" s="17" t="s">
        <v>99</v>
      </c>
      <c r="C106" s="72">
        <v>33.332500000000003</v>
      </c>
      <c r="D106" s="229"/>
      <c r="E106" s="40" t="s">
        <v>432</v>
      </c>
      <c r="G106" s="244"/>
      <c r="H106">
        <f t="shared" si="5"/>
        <v>88120</v>
      </c>
      <c r="I106" t="s">
        <v>809</v>
      </c>
      <c r="J106">
        <v>49</v>
      </c>
      <c r="K106" t="s">
        <v>1461</v>
      </c>
      <c r="M106" t="str">
        <f t="shared" si="6"/>
        <v>AMPG132T4</v>
      </c>
      <c r="N106" t="str">
        <f>VLOOKUP(H106,'TNB Load'!$A$2:$F$1448,6,FALSE)</f>
        <v>WPKL</v>
      </c>
      <c r="O106">
        <f t="shared" si="7"/>
        <v>42.476100000000002</v>
      </c>
      <c r="R106">
        <v>62108</v>
      </c>
      <c r="S106" t="s">
        <v>894</v>
      </c>
      <c r="T106" t="s">
        <v>807</v>
      </c>
      <c r="U106" t="str">
        <f t="shared" si="8"/>
        <v>BMYK132</v>
      </c>
      <c r="W106" t="str">
        <f t="shared" si="9"/>
        <v>BMYK132T2</v>
      </c>
      <c r="X106">
        <v>14.630599999999999</v>
      </c>
      <c r="Z106" t="s">
        <v>894</v>
      </c>
      <c r="AA106" t="s">
        <v>807</v>
      </c>
      <c r="AB106" t="s">
        <v>1545</v>
      </c>
      <c r="AD106" t="s">
        <v>1753</v>
      </c>
      <c r="AE106">
        <v>14.630599999999999</v>
      </c>
      <c r="AF106">
        <v>62108</v>
      </c>
      <c r="AH106" t="s">
        <v>2259</v>
      </c>
    </row>
    <row r="107" spans="1:34" x14ac:dyDescent="0.25">
      <c r="A107" s="22" t="s">
        <v>429</v>
      </c>
      <c r="B107" s="17">
        <v>605</v>
      </c>
      <c r="C107" s="279">
        <v>90</v>
      </c>
      <c r="D107" s="231"/>
      <c r="E107" s="281" t="s">
        <v>431</v>
      </c>
      <c r="G107" s="244"/>
      <c r="H107">
        <f t="shared" si="5"/>
        <v>88120</v>
      </c>
      <c r="I107" t="s">
        <v>808</v>
      </c>
      <c r="J107">
        <v>49</v>
      </c>
      <c r="K107" t="s">
        <v>1461</v>
      </c>
      <c r="M107" t="str">
        <f t="shared" si="6"/>
        <v>AMPG132T3</v>
      </c>
      <c r="N107" t="str">
        <f>VLOOKUP(H107,'TNB Load'!$A$2:$F$1448,6,FALSE)</f>
        <v>WPKL</v>
      </c>
      <c r="O107">
        <f t="shared" si="7"/>
        <v>42.570399999999999</v>
      </c>
      <c r="R107">
        <v>62108</v>
      </c>
      <c r="S107" t="s">
        <v>894</v>
      </c>
      <c r="T107" t="s">
        <v>808</v>
      </c>
      <c r="U107" t="str">
        <f t="shared" si="8"/>
        <v>BMYK132</v>
      </c>
      <c r="W107" t="str">
        <f t="shared" si="9"/>
        <v>BMYK132T3</v>
      </c>
      <c r="X107">
        <v>49.206899999999997</v>
      </c>
      <c r="Z107" t="s">
        <v>894</v>
      </c>
      <c r="AA107" t="s">
        <v>808</v>
      </c>
      <c r="AB107" t="s">
        <v>1545</v>
      </c>
      <c r="AD107" t="s">
        <v>1754</v>
      </c>
      <c r="AE107">
        <v>49.206899999999997</v>
      </c>
      <c r="AF107">
        <v>62108</v>
      </c>
      <c r="AH107" t="s">
        <v>2258</v>
      </c>
    </row>
    <row r="108" spans="1:34" x14ac:dyDescent="0.25">
      <c r="A108" s="22" t="s">
        <v>430</v>
      </c>
      <c r="B108" s="17">
        <v>205</v>
      </c>
      <c r="C108" s="280"/>
      <c r="D108" s="232"/>
      <c r="E108" s="281"/>
      <c r="G108" s="244"/>
      <c r="H108">
        <f t="shared" si="5"/>
        <v>51028</v>
      </c>
      <c r="I108" t="s">
        <v>807</v>
      </c>
      <c r="J108">
        <v>49</v>
      </c>
      <c r="K108" t="s">
        <v>1462</v>
      </c>
      <c r="M108" t="str">
        <f t="shared" si="6"/>
        <v>AHTM132T2</v>
      </c>
      <c r="N108" t="str">
        <f>VLOOKUP(H108,'TNB Load'!$A$2:$F$1448,6,FALSE)</f>
        <v>SELANGOR</v>
      </c>
      <c r="O108">
        <f t="shared" si="7"/>
        <v>44.326599999999999</v>
      </c>
      <c r="R108">
        <v>62108</v>
      </c>
      <c r="S108" t="s">
        <v>894</v>
      </c>
      <c r="T108" t="s">
        <v>809</v>
      </c>
      <c r="U108" t="str">
        <f t="shared" si="8"/>
        <v>BMYK132</v>
      </c>
      <c r="W108" t="str">
        <f t="shared" si="9"/>
        <v>BMYK132T4</v>
      </c>
      <c r="X108">
        <v>48.297699999999999</v>
      </c>
      <c r="Z108" t="s">
        <v>894</v>
      </c>
      <c r="AA108" t="s">
        <v>809</v>
      </c>
      <c r="AB108" t="s">
        <v>1545</v>
      </c>
      <c r="AD108" t="s">
        <v>1755</v>
      </c>
      <c r="AE108">
        <v>48.297699999999999</v>
      </c>
      <c r="AF108">
        <v>62108</v>
      </c>
      <c r="AH108" t="s">
        <v>1971</v>
      </c>
    </row>
    <row r="109" spans="1:34" x14ac:dyDescent="0.25">
      <c r="A109" s="22" t="s">
        <v>445</v>
      </c>
      <c r="B109" s="17" t="s">
        <v>110</v>
      </c>
      <c r="C109" s="72">
        <v>61.133400000000002</v>
      </c>
      <c r="D109" s="229"/>
      <c r="E109" s="40" t="s">
        <v>630</v>
      </c>
      <c r="G109" s="244"/>
      <c r="H109">
        <f t="shared" si="5"/>
        <v>51028</v>
      </c>
      <c r="I109" t="s">
        <v>804</v>
      </c>
      <c r="J109">
        <v>49</v>
      </c>
      <c r="K109" t="s">
        <v>1462</v>
      </c>
      <c r="M109" t="str">
        <f t="shared" si="6"/>
        <v>AHTM132T1</v>
      </c>
      <c r="N109" t="str">
        <f>VLOOKUP(H109,'TNB Load'!$A$2:$F$1448,6,FALSE)</f>
        <v>SELANGOR</v>
      </c>
      <c r="O109">
        <f t="shared" si="7"/>
        <v>43.490900000000003</v>
      </c>
      <c r="R109">
        <v>62101</v>
      </c>
      <c r="S109" t="s">
        <v>910</v>
      </c>
      <c r="T109" t="s">
        <v>804</v>
      </c>
      <c r="U109" t="str">
        <f t="shared" si="8"/>
        <v>BTBN132</v>
      </c>
      <c r="W109" t="str">
        <f t="shared" si="9"/>
        <v>BTBN132T1</v>
      </c>
      <c r="X109">
        <v>40.329599999999999</v>
      </c>
      <c r="Z109" t="s">
        <v>910</v>
      </c>
      <c r="AA109" t="s">
        <v>804</v>
      </c>
      <c r="AB109" t="s">
        <v>1756</v>
      </c>
      <c r="AD109" t="s">
        <v>1757</v>
      </c>
      <c r="AE109">
        <v>40.329599999999999</v>
      </c>
      <c r="AF109">
        <v>62101</v>
      </c>
      <c r="AH109" t="s">
        <v>1970</v>
      </c>
    </row>
    <row r="110" spans="1:34" x14ac:dyDescent="0.25">
      <c r="A110" s="16" t="s">
        <v>95</v>
      </c>
      <c r="B110" s="17" t="s">
        <v>99</v>
      </c>
      <c r="C110" s="72">
        <v>105.8642</v>
      </c>
      <c r="D110" s="229"/>
      <c r="E110" s="21" t="s">
        <v>436</v>
      </c>
      <c r="G110" s="244"/>
      <c r="H110">
        <f t="shared" si="5"/>
        <v>88177</v>
      </c>
      <c r="I110" t="s">
        <v>807</v>
      </c>
      <c r="J110">
        <v>49</v>
      </c>
      <c r="K110" t="s">
        <v>1463</v>
      </c>
      <c r="M110" t="str">
        <f t="shared" si="6"/>
        <v>BJLL132T2</v>
      </c>
      <c r="N110" t="str">
        <f>VLOOKUP(H110,'TNB Load'!$A$2:$F$1448,6,FALSE)</f>
        <v>SELANGOR</v>
      </c>
      <c r="O110">
        <f t="shared" si="7"/>
        <v>39.480400000000003</v>
      </c>
      <c r="R110">
        <v>62101</v>
      </c>
      <c r="S110" t="s">
        <v>910</v>
      </c>
      <c r="T110" t="s">
        <v>807</v>
      </c>
      <c r="U110" t="str">
        <f t="shared" si="8"/>
        <v>BTBN132</v>
      </c>
      <c r="W110" t="str">
        <f t="shared" si="9"/>
        <v>BTBN132T2</v>
      </c>
      <c r="X110">
        <v>40.7624</v>
      </c>
      <c r="Z110" t="s">
        <v>910</v>
      </c>
      <c r="AA110" t="s">
        <v>807</v>
      </c>
      <c r="AB110" t="s">
        <v>1756</v>
      </c>
      <c r="AD110" t="s">
        <v>1758</v>
      </c>
      <c r="AE110">
        <v>40.7624</v>
      </c>
      <c r="AF110">
        <v>62101</v>
      </c>
      <c r="AH110" t="s">
        <v>2003</v>
      </c>
    </row>
    <row r="111" spans="1:34" x14ac:dyDescent="0.25">
      <c r="A111" s="16" t="s">
        <v>95</v>
      </c>
      <c r="B111" s="17" t="s">
        <v>99</v>
      </c>
      <c r="C111" s="72">
        <v>52.4377</v>
      </c>
      <c r="D111" s="229"/>
      <c r="E111" s="21" t="s">
        <v>437</v>
      </c>
      <c r="G111" s="244"/>
      <c r="H111">
        <f t="shared" si="5"/>
        <v>88177</v>
      </c>
      <c r="I111" t="s">
        <v>804</v>
      </c>
      <c r="J111">
        <v>49</v>
      </c>
      <c r="K111" t="s">
        <v>1463</v>
      </c>
      <c r="M111" t="str">
        <f t="shared" si="6"/>
        <v>BJLL132T1</v>
      </c>
      <c r="N111" t="str">
        <f>VLOOKUP(H111,'TNB Load'!$A$2:$F$1448,6,FALSE)</f>
        <v>SELANGOR</v>
      </c>
      <c r="O111">
        <f t="shared" si="7"/>
        <v>39.424500000000002</v>
      </c>
      <c r="R111">
        <v>462114</v>
      </c>
      <c r="S111" t="s">
        <v>912</v>
      </c>
      <c r="T111" t="s">
        <v>804</v>
      </c>
      <c r="U111" t="str">
        <f t="shared" si="8"/>
        <v>BTGH132</v>
      </c>
      <c r="W111" t="str">
        <f t="shared" si="9"/>
        <v>BTGH132T1</v>
      </c>
      <c r="X111">
        <v>49.983499999999999</v>
      </c>
      <c r="Z111" t="s">
        <v>912</v>
      </c>
      <c r="AA111" t="s">
        <v>804</v>
      </c>
      <c r="AB111" t="s">
        <v>1759</v>
      </c>
      <c r="AD111" t="s">
        <v>1760</v>
      </c>
      <c r="AE111">
        <v>49.983499999999999</v>
      </c>
      <c r="AF111">
        <v>462114</v>
      </c>
      <c r="AH111" t="s">
        <v>2002</v>
      </c>
    </row>
    <row r="112" spans="1:34" x14ac:dyDescent="0.25">
      <c r="A112" s="22" t="s">
        <v>97</v>
      </c>
      <c r="B112" s="17" t="s">
        <v>103</v>
      </c>
      <c r="C112" s="72">
        <v>14.2995</v>
      </c>
      <c r="D112" s="229"/>
      <c r="E112" s="40" t="s">
        <v>438</v>
      </c>
      <c r="G112" s="244"/>
      <c r="H112">
        <f t="shared" si="5"/>
        <v>51062</v>
      </c>
      <c r="I112" t="s">
        <v>809</v>
      </c>
      <c r="J112">
        <v>49</v>
      </c>
      <c r="K112" t="s">
        <v>1464</v>
      </c>
      <c r="M112" t="str">
        <f t="shared" si="6"/>
        <v>BLKG132T4</v>
      </c>
      <c r="N112" t="str">
        <f>VLOOKUP(H112,'TNB Load'!$A$2:$F$1448,6,FALSE)</f>
        <v>SELANGOR</v>
      </c>
      <c r="O112">
        <f t="shared" si="7"/>
        <v>41.913899999999998</v>
      </c>
      <c r="R112">
        <v>462114</v>
      </c>
      <c r="S112" t="s">
        <v>912</v>
      </c>
      <c r="T112" t="s">
        <v>807</v>
      </c>
      <c r="U112" t="str">
        <f t="shared" si="8"/>
        <v>BTGH132</v>
      </c>
      <c r="W112" t="str">
        <f t="shared" si="9"/>
        <v>BTGH132T2</v>
      </c>
      <c r="X112">
        <v>47.003300000000003</v>
      </c>
      <c r="Z112" t="s">
        <v>912</v>
      </c>
      <c r="AA112" t="s">
        <v>807</v>
      </c>
      <c r="AB112" t="s">
        <v>1759</v>
      </c>
      <c r="AD112" t="s">
        <v>1761</v>
      </c>
      <c r="AE112">
        <v>47.003300000000003</v>
      </c>
      <c r="AF112">
        <v>462114</v>
      </c>
      <c r="AH112" t="s">
        <v>2018</v>
      </c>
    </row>
    <row r="113" spans="1:34" x14ac:dyDescent="0.25">
      <c r="A113" s="16" t="s">
        <v>97</v>
      </c>
      <c r="B113" s="17" t="s">
        <v>103</v>
      </c>
      <c r="C113" s="72">
        <v>69.050399999999996</v>
      </c>
      <c r="D113" s="229"/>
      <c r="E113" s="21" t="s">
        <v>434</v>
      </c>
      <c r="G113" s="244"/>
      <c r="H113">
        <f t="shared" si="5"/>
        <v>51062</v>
      </c>
      <c r="I113" t="s">
        <v>808</v>
      </c>
      <c r="J113">
        <v>49</v>
      </c>
      <c r="K113" t="s">
        <v>1464</v>
      </c>
      <c r="M113" t="str">
        <f t="shared" si="6"/>
        <v>BLKG132T3</v>
      </c>
      <c r="N113" t="str">
        <f>VLOOKUP(H113,'TNB Load'!$A$2:$F$1448,6,FALSE)</f>
        <v>SELANGOR</v>
      </c>
      <c r="O113">
        <f t="shared" si="7"/>
        <v>42.693600000000004</v>
      </c>
      <c r="R113">
        <v>62133</v>
      </c>
      <c r="S113" t="s">
        <v>921</v>
      </c>
      <c r="T113" t="s">
        <v>804</v>
      </c>
      <c r="U113" t="str">
        <f t="shared" si="8"/>
        <v>BWTN132</v>
      </c>
      <c r="W113" t="str">
        <f t="shared" si="9"/>
        <v>BWTN132T1</v>
      </c>
      <c r="X113">
        <v>38.700699999999998</v>
      </c>
      <c r="Z113" t="s">
        <v>921</v>
      </c>
      <c r="AA113" t="s">
        <v>804</v>
      </c>
      <c r="AB113" t="s">
        <v>1458</v>
      </c>
      <c r="AD113" t="s">
        <v>1762</v>
      </c>
      <c r="AE113">
        <v>38.700699999999998</v>
      </c>
      <c r="AF113">
        <v>62133</v>
      </c>
      <c r="AH113" t="s">
        <v>2017</v>
      </c>
    </row>
    <row r="114" spans="1:34" x14ac:dyDescent="0.25">
      <c r="A114" s="16" t="s">
        <v>96</v>
      </c>
      <c r="B114" s="17" t="s">
        <v>102</v>
      </c>
      <c r="C114" s="72">
        <v>15.0282</v>
      </c>
      <c r="D114" s="229"/>
      <c r="E114" s="21" t="s">
        <v>435</v>
      </c>
      <c r="G114" s="244"/>
      <c r="H114">
        <f t="shared" si="5"/>
        <v>75112</v>
      </c>
      <c r="I114" s="246" t="s">
        <v>810</v>
      </c>
      <c r="J114" s="246">
        <v>48.9</v>
      </c>
      <c r="K114" s="246" t="s">
        <v>1465</v>
      </c>
      <c r="M114" t="str">
        <f t="shared" si="6"/>
        <v>KBRU132T5</v>
      </c>
      <c r="N114" t="str">
        <f>VLOOKUP(H114,'TNB Load'!$A$2:$F$1448,6,FALSE)</f>
        <v>KELANTAN</v>
      </c>
      <c r="O114">
        <f t="shared" si="7"/>
        <v>24.981400000000001</v>
      </c>
      <c r="R114">
        <v>62133</v>
      </c>
      <c r="S114" t="s">
        <v>921</v>
      </c>
      <c r="T114" t="s">
        <v>807</v>
      </c>
      <c r="U114" t="str">
        <f t="shared" si="8"/>
        <v>BWTN132</v>
      </c>
      <c r="W114" t="str">
        <f t="shared" si="9"/>
        <v>BWTN132T2</v>
      </c>
      <c r="X114">
        <v>39.998199999999997</v>
      </c>
      <c r="Z114" t="s">
        <v>921</v>
      </c>
      <c r="AA114" t="s">
        <v>807</v>
      </c>
      <c r="AB114" t="s">
        <v>1458</v>
      </c>
      <c r="AD114" t="s">
        <v>1763</v>
      </c>
      <c r="AE114">
        <v>39.998199999999997</v>
      </c>
      <c r="AF114">
        <v>62133</v>
      </c>
      <c r="AH114" t="s">
        <v>3074</v>
      </c>
    </row>
    <row r="115" spans="1:34" x14ac:dyDescent="0.25">
      <c r="A115" s="22" t="s">
        <v>97</v>
      </c>
      <c r="B115" s="41" t="s">
        <v>103</v>
      </c>
      <c r="C115" s="78">
        <v>98.751000000000005</v>
      </c>
      <c r="D115" s="233"/>
      <c r="E115" s="40" t="s">
        <v>433</v>
      </c>
      <c r="G115" s="244"/>
      <c r="H115">
        <f t="shared" si="5"/>
        <v>75112</v>
      </c>
      <c r="I115" s="246" t="s">
        <v>808</v>
      </c>
      <c r="J115" s="246">
        <v>48.9</v>
      </c>
      <c r="K115" s="246" t="s">
        <v>1465</v>
      </c>
      <c r="M115" t="str">
        <f t="shared" si="6"/>
        <v>KBRU132T3</v>
      </c>
      <c r="N115" t="str">
        <f>VLOOKUP(H115,'TNB Load'!$A$2:$F$1448,6,FALSE)</f>
        <v>KELANTAN</v>
      </c>
      <c r="O115">
        <f t="shared" si="7"/>
        <v>24.926500000000001</v>
      </c>
      <c r="R115">
        <v>62133</v>
      </c>
      <c r="S115" t="s">
        <v>921</v>
      </c>
      <c r="T115" t="s">
        <v>810</v>
      </c>
      <c r="U115" t="str">
        <f t="shared" si="8"/>
        <v>BWTN132</v>
      </c>
      <c r="W115" t="str">
        <f t="shared" si="9"/>
        <v>BWTN132T5</v>
      </c>
      <c r="X115">
        <v>0</v>
      </c>
      <c r="Z115" t="s">
        <v>921</v>
      </c>
      <c r="AA115" t="s">
        <v>810</v>
      </c>
      <c r="AB115" t="s">
        <v>1458</v>
      </c>
      <c r="AD115" t="s">
        <v>1764</v>
      </c>
      <c r="AE115">
        <v>0</v>
      </c>
      <c r="AF115">
        <v>62133</v>
      </c>
      <c r="AH115" t="s">
        <v>3072</v>
      </c>
    </row>
    <row r="116" spans="1:34" x14ac:dyDescent="0.25">
      <c r="A116" s="29" t="s">
        <v>392</v>
      </c>
      <c r="B116" s="30" t="s">
        <v>424</v>
      </c>
      <c r="C116" s="72">
        <v>4.0548999999999999</v>
      </c>
      <c r="D116" s="229"/>
      <c r="E116" s="40" t="s">
        <v>428</v>
      </c>
      <c r="G116" s="244"/>
      <c r="H116">
        <f t="shared" si="5"/>
        <v>75112</v>
      </c>
      <c r="I116" s="246" t="s">
        <v>804</v>
      </c>
      <c r="J116" s="246">
        <v>48.9</v>
      </c>
      <c r="K116" s="246" t="s">
        <v>1465</v>
      </c>
      <c r="M116" t="str">
        <f t="shared" si="6"/>
        <v>KBRU132T1</v>
      </c>
      <c r="N116" t="str">
        <f>VLOOKUP(H116,'TNB Load'!$A$2:$F$1448,6,FALSE)</f>
        <v>KELANTAN</v>
      </c>
      <c r="O116">
        <f t="shared" si="7"/>
        <v>25.575800000000001</v>
      </c>
      <c r="R116">
        <v>62109</v>
      </c>
      <c r="S116" t="s">
        <v>944</v>
      </c>
      <c r="T116" t="s">
        <v>804</v>
      </c>
      <c r="U116" t="str">
        <f t="shared" si="8"/>
        <v>DKMT132</v>
      </c>
      <c r="W116" t="str">
        <f t="shared" si="9"/>
        <v>DKMT132T1</v>
      </c>
      <c r="X116">
        <v>8.9374000000000002</v>
      </c>
      <c r="Z116" t="s">
        <v>944</v>
      </c>
      <c r="AA116" t="s">
        <v>804</v>
      </c>
      <c r="AB116" t="s">
        <v>1765</v>
      </c>
      <c r="AD116" t="s">
        <v>1766</v>
      </c>
      <c r="AE116">
        <v>8.9374000000000002</v>
      </c>
      <c r="AF116">
        <v>62109</v>
      </c>
      <c r="AH116" t="s">
        <v>3070</v>
      </c>
    </row>
    <row r="117" spans="1:34" x14ac:dyDescent="0.25">
      <c r="A117" s="53" t="s">
        <v>95</v>
      </c>
      <c r="B117" s="46" t="s">
        <v>99</v>
      </c>
      <c r="C117" s="75">
        <v>77.169499999999999</v>
      </c>
      <c r="D117" s="230"/>
      <c r="E117" s="54" t="s">
        <v>440</v>
      </c>
      <c r="G117" s="244"/>
      <c r="H117">
        <f t="shared" si="5"/>
        <v>51082</v>
      </c>
      <c r="I117" s="246" t="s">
        <v>807</v>
      </c>
      <c r="J117" s="246">
        <v>48.9</v>
      </c>
      <c r="K117" s="246" t="s">
        <v>1466</v>
      </c>
      <c r="M117" t="str">
        <f t="shared" si="6"/>
        <v>PJST132T2</v>
      </c>
      <c r="N117" t="str">
        <f>VLOOKUP(H117,'TNB Load'!$A$2:$F$1448,6,FALSE)</f>
        <v>SELANGOR</v>
      </c>
      <c r="O117">
        <f t="shared" si="7"/>
        <v>26.548100000000002</v>
      </c>
      <c r="R117">
        <v>62109</v>
      </c>
      <c r="S117" t="s">
        <v>944</v>
      </c>
      <c r="T117" t="s">
        <v>807</v>
      </c>
      <c r="U117" t="str">
        <f t="shared" si="8"/>
        <v>DKMT132</v>
      </c>
      <c r="W117" t="str">
        <f t="shared" si="9"/>
        <v>DKMT132T2</v>
      </c>
      <c r="X117">
        <v>8.9963999999999995</v>
      </c>
      <c r="Z117" t="s">
        <v>944</v>
      </c>
      <c r="AA117" t="s">
        <v>807</v>
      </c>
      <c r="AB117" t="s">
        <v>1765</v>
      </c>
      <c r="AD117" t="s">
        <v>1767</v>
      </c>
      <c r="AE117">
        <v>8.9963999999999995</v>
      </c>
      <c r="AF117">
        <v>62109</v>
      </c>
      <c r="AH117" t="s">
        <v>2166</v>
      </c>
    </row>
    <row r="118" spans="1:34" x14ac:dyDescent="0.25">
      <c r="A118" s="45" t="s">
        <v>95</v>
      </c>
      <c r="B118" s="46" t="s">
        <v>99</v>
      </c>
      <c r="C118" s="75">
        <v>81.886700000000005</v>
      </c>
      <c r="D118" s="230"/>
      <c r="E118" s="48" t="s">
        <v>442</v>
      </c>
      <c r="G118" s="244"/>
      <c r="H118">
        <f t="shared" si="5"/>
        <v>51082</v>
      </c>
      <c r="I118" s="246" t="s">
        <v>804</v>
      </c>
      <c r="J118" s="246">
        <v>48.9</v>
      </c>
      <c r="K118" s="246" t="s">
        <v>1466</v>
      </c>
      <c r="M118" t="str">
        <f t="shared" si="6"/>
        <v>PJST132T1</v>
      </c>
      <c r="N118" t="str">
        <f>VLOOKUP(H118,'TNB Load'!$A$2:$F$1448,6,FALSE)</f>
        <v>SELANGOR</v>
      </c>
      <c r="O118">
        <f t="shared" si="7"/>
        <v>26.5398</v>
      </c>
      <c r="R118">
        <v>61163</v>
      </c>
      <c r="S118" t="s">
        <v>960</v>
      </c>
      <c r="T118" t="s">
        <v>804</v>
      </c>
      <c r="U118" t="str">
        <f t="shared" si="8"/>
        <v>EVEM132</v>
      </c>
      <c r="W118" t="str">
        <f t="shared" si="9"/>
        <v>EVEM132T1</v>
      </c>
      <c r="X118">
        <v>1.1541999999999999</v>
      </c>
      <c r="Z118" t="s">
        <v>960</v>
      </c>
      <c r="AA118" t="s">
        <v>804</v>
      </c>
      <c r="AB118" t="s">
        <v>1768</v>
      </c>
      <c r="AD118" t="s">
        <v>1769</v>
      </c>
      <c r="AE118">
        <v>1.1541999999999999</v>
      </c>
      <c r="AF118">
        <v>61163</v>
      </c>
      <c r="AH118" t="s">
        <v>2165</v>
      </c>
    </row>
    <row r="119" spans="1:34" x14ac:dyDescent="0.25">
      <c r="A119" s="45" t="s">
        <v>95</v>
      </c>
      <c r="B119" s="46" t="s">
        <v>99</v>
      </c>
      <c r="C119" s="75">
        <v>45.098500000000001</v>
      </c>
      <c r="D119" s="230"/>
      <c r="E119" s="48" t="s">
        <v>441</v>
      </c>
      <c r="G119" s="244"/>
      <c r="H119">
        <f t="shared" si="5"/>
        <v>97167</v>
      </c>
      <c r="I119" s="246" t="s">
        <v>807</v>
      </c>
      <c r="J119" s="246">
        <v>48.9</v>
      </c>
      <c r="K119" s="246" t="s">
        <v>1467</v>
      </c>
      <c r="M119" t="str">
        <f t="shared" si="6"/>
        <v>PGTC132T2</v>
      </c>
      <c r="N119" t="str">
        <f>VLOOKUP(H119,'TNB Load'!$A$2:$F$1448,6,FALSE)</f>
        <v>JOHOR</v>
      </c>
      <c r="O119">
        <f t="shared" si="7"/>
        <v>47.675400000000003</v>
      </c>
      <c r="R119">
        <v>61163</v>
      </c>
      <c r="S119" t="s">
        <v>960</v>
      </c>
      <c r="T119" t="s">
        <v>807</v>
      </c>
      <c r="U119" t="str">
        <f t="shared" si="8"/>
        <v>EVEM132</v>
      </c>
      <c r="W119" t="str">
        <f t="shared" si="9"/>
        <v>EVEM132T2</v>
      </c>
      <c r="X119">
        <v>3.5836999999999999</v>
      </c>
      <c r="Z119" t="s">
        <v>960</v>
      </c>
      <c r="AA119" t="s">
        <v>807</v>
      </c>
      <c r="AB119" t="s">
        <v>1768</v>
      </c>
      <c r="AD119" t="s">
        <v>1770</v>
      </c>
      <c r="AE119">
        <v>3.5836999999999999</v>
      </c>
      <c r="AF119">
        <v>61163</v>
      </c>
      <c r="AH119" t="s">
        <v>2725</v>
      </c>
    </row>
    <row r="120" spans="1:34" x14ac:dyDescent="0.25">
      <c r="A120" s="22" t="s">
        <v>95</v>
      </c>
      <c r="B120" s="17" t="s">
        <v>99</v>
      </c>
      <c r="C120" s="72">
        <v>71.665499999999994</v>
      </c>
      <c r="D120" s="229"/>
      <c r="E120" s="40" t="s">
        <v>446</v>
      </c>
      <c r="G120" s="244"/>
      <c r="H120">
        <f t="shared" si="5"/>
        <v>97167</v>
      </c>
      <c r="I120" s="246" t="s">
        <v>804</v>
      </c>
      <c r="J120" s="246">
        <v>48.9</v>
      </c>
      <c r="K120" s="246" t="s">
        <v>1467</v>
      </c>
      <c r="M120" t="str">
        <f t="shared" si="6"/>
        <v>PGTC132T1</v>
      </c>
      <c r="N120" t="str">
        <f>VLOOKUP(H120,'TNB Load'!$A$2:$F$1448,6,FALSE)</f>
        <v>JOHOR</v>
      </c>
      <c r="O120">
        <f t="shared" si="7"/>
        <v>47.834899999999998</v>
      </c>
      <c r="R120">
        <v>62103</v>
      </c>
      <c r="S120" t="s">
        <v>962</v>
      </c>
      <c r="T120" t="s">
        <v>804</v>
      </c>
      <c r="U120" t="str">
        <f t="shared" si="8"/>
        <v>FLIM132</v>
      </c>
      <c r="W120" t="str">
        <f t="shared" si="9"/>
        <v>FLIM132T1</v>
      </c>
      <c r="X120">
        <v>11.464</v>
      </c>
      <c r="Z120" t="s">
        <v>962</v>
      </c>
      <c r="AA120" t="s">
        <v>804</v>
      </c>
      <c r="AB120" t="s">
        <v>1771</v>
      </c>
      <c r="AD120" t="s">
        <v>1772</v>
      </c>
      <c r="AE120">
        <v>11.464</v>
      </c>
      <c r="AF120">
        <v>62103</v>
      </c>
      <c r="AH120" t="s">
        <v>2724</v>
      </c>
    </row>
    <row r="121" spans="1:34" x14ac:dyDescent="0.25">
      <c r="A121" s="29" t="s">
        <v>96</v>
      </c>
      <c r="B121" s="30" t="s">
        <v>102</v>
      </c>
      <c r="C121" s="72">
        <v>9.9041999999999994</v>
      </c>
      <c r="D121" s="229"/>
      <c r="E121" s="40" t="s">
        <v>443</v>
      </c>
      <c r="G121" s="244"/>
      <c r="H121">
        <f t="shared" si="5"/>
        <v>97123</v>
      </c>
      <c r="I121" s="246" t="s">
        <v>807</v>
      </c>
      <c r="J121" s="246">
        <v>48.9</v>
      </c>
      <c r="K121" s="246" t="s">
        <v>1468</v>
      </c>
      <c r="M121" t="str">
        <f t="shared" si="6"/>
        <v>PGIE132T2</v>
      </c>
      <c r="N121" t="str">
        <f>VLOOKUP(H121,'TNB Load'!$A$2:$F$1448,6,FALSE)</f>
        <v>JOHOR</v>
      </c>
      <c r="O121">
        <f t="shared" si="7"/>
        <v>13.871499999999999</v>
      </c>
      <c r="R121">
        <v>62103</v>
      </c>
      <c r="S121" t="s">
        <v>962</v>
      </c>
      <c r="T121" t="s">
        <v>807</v>
      </c>
      <c r="U121" t="str">
        <f t="shared" si="8"/>
        <v>FLIM132</v>
      </c>
      <c r="W121" t="str">
        <f t="shared" si="9"/>
        <v>FLIM132T2</v>
      </c>
      <c r="X121">
        <v>5.8651</v>
      </c>
      <c r="Z121" t="s">
        <v>962</v>
      </c>
      <c r="AA121" t="s">
        <v>807</v>
      </c>
      <c r="AB121" t="s">
        <v>1771</v>
      </c>
      <c r="AD121" t="s">
        <v>1773</v>
      </c>
      <c r="AE121">
        <v>5.8651</v>
      </c>
      <c r="AF121">
        <v>62103</v>
      </c>
      <c r="AH121" t="s">
        <v>2715</v>
      </c>
    </row>
    <row r="122" spans="1:34" x14ac:dyDescent="0.25">
      <c r="A122" s="13" t="s">
        <v>96</v>
      </c>
      <c r="B122" s="14" t="s">
        <v>102</v>
      </c>
      <c r="C122" s="91">
        <v>18.441099999999999</v>
      </c>
      <c r="D122" s="234"/>
      <c r="E122" s="93" t="s">
        <v>444</v>
      </c>
      <c r="G122" s="244"/>
      <c r="H122">
        <f t="shared" si="5"/>
        <v>97123</v>
      </c>
      <c r="I122" s="246" t="s">
        <v>804</v>
      </c>
      <c r="J122" s="246">
        <v>48.9</v>
      </c>
      <c r="K122" s="246" t="s">
        <v>1468</v>
      </c>
      <c r="M122" t="str">
        <f t="shared" si="6"/>
        <v>PGIE132T1</v>
      </c>
      <c r="N122" t="str">
        <f>VLOOKUP(H122,'TNB Load'!$A$2:$F$1448,6,FALSE)</f>
        <v>JOHOR</v>
      </c>
      <c r="O122">
        <f t="shared" si="7"/>
        <v>13.8622</v>
      </c>
      <c r="R122">
        <v>62103</v>
      </c>
      <c r="S122" t="s">
        <v>962</v>
      </c>
      <c r="T122" t="s">
        <v>808</v>
      </c>
      <c r="U122" t="str">
        <f t="shared" si="8"/>
        <v>FLIM132</v>
      </c>
      <c r="W122" t="str">
        <f t="shared" si="9"/>
        <v>FLIM132T3</v>
      </c>
      <c r="X122">
        <v>26.7438</v>
      </c>
      <c r="Z122" t="s">
        <v>962</v>
      </c>
      <c r="AA122" t="s">
        <v>808</v>
      </c>
      <c r="AB122" t="s">
        <v>1771</v>
      </c>
      <c r="AD122" t="s">
        <v>1774</v>
      </c>
      <c r="AE122">
        <v>26.7438</v>
      </c>
      <c r="AF122">
        <v>62103</v>
      </c>
      <c r="AH122" t="s">
        <v>2714</v>
      </c>
    </row>
    <row r="123" spans="1:34" x14ac:dyDescent="0.25">
      <c r="A123" s="6" t="s">
        <v>96</v>
      </c>
      <c r="B123" s="7" t="s">
        <v>102</v>
      </c>
      <c r="C123" s="73">
        <v>20.343399999999999</v>
      </c>
      <c r="D123" s="73"/>
      <c r="E123" s="7" t="s">
        <v>478</v>
      </c>
      <c r="G123" s="244"/>
      <c r="H123">
        <f t="shared" si="5"/>
        <v>97123</v>
      </c>
      <c r="I123" s="246" t="s">
        <v>808</v>
      </c>
      <c r="J123" s="246">
        <v>48.9</v>
      </c>
      <c r="K123" s="246" t="s">
        <v>1468</v>
      </c>
      <c r="M123" t="str">
        <f t="shared" si="6"/>
        <v>PGIE132T3</v>
      </c>
      <c r="N123" t="str">
        <f>VLOOKUP(H123,'TNB Load'!$A$2:$F$1448,6,FALSE)</f>
        <v>JOHOR</v>
      </c>
      <c r="O123">
        <f t="shared" si="7"/>
        <v>12.4343</v>
      </c>
      <c r="R123">
        <v>62103</v>
      </c>
      <c r="S123" t="s">
        <v>962</v>
      </c>
      <c r="T123" t="s">
        <v>809</v>
      </c>
      <c r="U123" t="str">
        <f t="shared" si="8"/>
        <v>FLIM132</v>
      </c>
      <c r="W123" t="str">
        <f t="shared" si="9"/>
        <v>FLIM132T4</v>
      </c>
      <c r="X123">
        <v>23.267600000000002</v>
      </c>
      <c r="Z123" t="s">
        <v>962</v>
      </c>
      <c r="AA123" t="s">
        <v>809</v>
      </c>
      <c r="AB123" t="s">
        <v>1771</v>
      </c>
      <c r="AD123" t="s">
        <v>1775</v>
      </c>
      <c r="AE123">
        <v>23.267600000000002</v>
      </c>
      <c r="AF123">
        <v>62103</v>
      </c>
      <c r="AH123" t="s">
        <v>2716</v>
      </c>
    </row>
    <row r="124" spans="1:34" x14ac:dyDescent="0.25">
      <c r="A124" s="6" t="s">
        <v>94</v>
      </c>
      <c r="B124" s="7" t="s">
        <v>99</v>
      </c>
      <c r="C124" s="73">
        <v>34.6464</v>
      </c>
      <c r="D124" s="73"/>
      <c r="E124" s="7" t="s">
        <v>479</v>
      </c>
      <c r="G124" s="244"/>
      <c r="H124">
        <f t="shared" si="5"/>
        <v>88174</v>
      </c>
      <c r="I124" s="246" t="s">
        <v>807</v>
      </c>
      <c r="J124" s="246">
        <v>48.9</v>
      </c>
      <c r="K124" s="246" t="s">
        <v>1469</v>
      </c>
      <c r="M124" t="str">
        <f t="shared" si="6"/>
        <v>PCHJ132T2</v>
      </c>
      <c r="N124" t="str">
        <f>VLOOKUP(H124,'TNB Load'!$A$2:$F$1448,6,FALSE)</f>
        <v>SELANGOR</v>
      </c>
      <c r="O124">
        <f t="shared" si="7"/>
        <v>30.647600000000001</v>
      </c>
      <c r="R124">
        <v>62118</v>
      </c>
      <c r="S124" t="s">
        <v>972</v>
      </c>
      <c r="T124" t="s">
        <v>804</v>
      </c>
      <c r="U124" t="str">
        <f t="shared" si="8"/>
        <v>GLGR132</v>
      </c>
      <c r="W124" t="str">
        <f t="shared" si="9"/>
        <v>GLGR132T1</v>
      </c>
      <c r="X124">
        <v>19.196100000000001</v>
      </c>
      <c r="Z124" t="s">
        <v>972</v>
      </c>
      <c r="AA124" t="s">
        <v>804</v>
      </c>
      <c r="AB124" t="s">
        <v>1528</v>
      </c>
      <c r="AD124" t="s">
        <v>1776</v>
      </c>
      <c r="AE124">
        <v>19.196100000000001</v>
      </c>
      <c r="AF124">
        <v>62118</v>
      </c>
      <c r="AH124" t="s">
        <v>2147</v>
      </c>
    </row>
    <row r="125" spans="1:34" x14ac:dyDescent="0.25">
      <c r="A125" s="58" t="s">
        <v>95</v>
      </c>
      <c r="B125" s="7" t="s">
        <v>99</v>
      </c>
      <c r="C125" s="73">
        <v>17.764500000000002</v>
      </c>
      <c r="D125" s="73"/>
      <c r="E125" s="237" t="s">
        <v>480</v>
      </c>
      <c r="G125" s="244"/>
      <c r="H125">
        <f t="shared" si="5"/>
        <v>88174</v>
      </c>
      <c r="I125" s="246" t="s">
        <v>804</v>
      </c>
      <c r="J125" s="246">
        <v>48.9</v>
      </c>
      <c r="K125" s="246" t="s">
        <v>1469</v>
      </c>
      <c r="M125" t="str">
        <f t="shared" si="6"/>
        <v>PCHJ132T1</v>
      </c>
      <c r="N125" t="str">
        <f>VLOOKUP(H125,'TNB Load'!$A$2:$F$1448,6,FALSE)</f>
        <v>SELANGOR</v>
      </c>
      <c r="O125">
        <f t="shared" si="7"/>
        <v>30.607299999999999</v>
      </c>
      <c r="R125">
        <v>62118</v>
      </c>
      <c r="S125" t="s">
        <v>972</v>
      </c>
      <c r="T125" t="s">
        <v>807</v>
      </c>
      <c r="U125" t="str">
        <f t="shared" si="8"/>
        <v>GLGR132</v>
      </c>
      <c r="W125" t="str">
        <f t="shared" si="9"/>
        <v>GLGR132T2</v>
      </c>
      <c r="X125">
        <v>21.373699999999999</v>
      </c>
      <c r="Z125" t="s">
        <v>972</v>
      </c>
      <c r="AA125" t="s">
        <v>807</v>
      </c>
      <c r="AB125" t="s">
        <v>1528</v>
      </c>
      <c r="AD125" t="s">
        <v>1777</v>
      </c>
      <c r="AE125">
        <v>21.373699999999999</v>
      </c>
      <c r="AF125">
        <v>62118</v>
      </c>
      <c r="AH125" t="s">
        <v>2146</v>
      </c>
    </row>
    <row r="126" spans="1:34" x14ac:dyDescent="0.25">
      <c r="A126" s="58" t="s">
        <v>96</v>
      </c>
      <c r="B126" s="7" t="s">
        <v>102</v>
      </c>
      <c r="C126" s="73">
        <v>16.510000000000002</v>
      </c>
      <c r="D126" s="73"/>
      <c r="E126" s="237" t="s">
        <v>481</v>
      </c>
      <c r="G126" s="244"/>
      <c r="H126">
        <f t="shared" si="5"/>
        <v>51025</v>
      </c>
      <c r="I126" s="246" t="s">
        <v>807</v>
      </c>
      <c r="J126" s="246">
        <v>48.9</v>
      </c>
      <c r="K126" s="246" t="s">
        <v>1470</v>
      </c>
      <c r="M126" t="str">
        <f t="shared" si="6"/>
        <v>NSDA132T2</v>
      </c>
      <c r="N126" t="str">
        <f>VLOOKUP(H126,'TNB Load'!$A$2:$F$1448,6,FALSE)</f>
        <v>SELANGOR</v>
      </c>
      <c r="O126">
        <f t="shared" si="7"/>
        <v>31.091899999999999</v>
      </c>
      <c r="R126">
        <v>62118</v>
      </c>
      <c r="S126" t="s">
        <v>972</v>
      </c>
      <c r="T126" t="s">
        <v>808</v>
      </c>
      <c r="U126" t="str">
        <f t="shared" si="8"/>
        <v>GLGR132</v>
      </c>
      <c r="W126" t="str">
        <f t="shared" si="9"/>
        <v>GLGR132T3</v>
      </c>
      <c r="X126">
        <v>21.4069</v>
      </c>
      <c r="Z126" t="s">
        <v>972</v>
      </c>
      <c r="AA126" t="s">
        <v>808</v>
      </c>
      <c r="AB126" t="s">
        <v>1528</v>
      </c>
      <c r="AD126" t="s">
        <v>1778</v>
      </c>
      <c r="AE126">
        <v>21.4069</v>
      </c>
      <c r="AF126">
        <v>62118</v>
      </c>
      <c r="AH126" t="s">
        <v>2135</v>
      </c>
    </row>
    <row r="127" spans="1:34" x14ac:dyDescent="0.25">
      <c r="A127" s="6" t="s">
        <v>461</v>
      </c>
      <c r="B127" s="7" t="s">
        <v>476</v>
      </c>
      <c r="C127" s="73">
        <v>20.203499999999998</v>
      </c>
      <c r="D127" s="73"/>
      <c r="E127" s="7" t="s">
        <v>483</v>
      </c>
      <c r="G127" s="244"/>
      <c r="H127">
        <f t="shared" si="5"/>
        <v>51025</v>
      </c>
      <c r="I127" s="246" t="s">
        <v>804</v>
      </c>
      <c r="J127" s="246">
        <v>48.9</v>
      </c>
      <c r="K127" s="246" t="s">
        <v>1470</v>
      </c>
      <c r="M127" t="str">
        <f t="shared" si="6"/>
        <v>NSDA132T1</v>
      </c>
      <c r="N127" t="str">
        <f>VLOOKUP(H127,'TNB Load'!$A$2:$F$1448,6,FALSE)</f>
        <v>SELANGOR</v>
      </c>
      <c r="O127">
        <f t="shared" si="7"/>
        <v>31.053599999999999</v>
      </c>
      <c r="R127">
        <v>62221</v>
      </c>
      <c r="S127" t="s">
        <v>1008</v>
      </c>
      <c r="T127" t="s">
        <v>823</v>
      </c>
      <c r="U127" t="str">
        <f t="shared" si="8"/>
        <v>ITLM275</v>
      </c>
      <c r="W127" t="str">
        <f t="shared" si="9"/>
        <v>ITLM275F1</v>
      </c>
      <c r="X127">
        <v>0</v>
      </c>
      <c r="Z127" t="s">
        <v>1008</v>
      </c>
      <c r="AA127" t="s">
        <v>823</v>
      </c>
      <c r="AB127" t="s">
        <v>1779</v>
      </c>
      <c r="AD127" t="s">
        <v>1780</v>
      </c>
      <c r="AE127">
        <v>0</v>
      </c>
      <c r="AF127">
        <v>62221</v>
      </c>
      <c r="AH127" t="s">
        <v>2134</v>
      </c>
    </row>
    <row r="128" spans="1:34" x14ac:dyDescent="0.25">
      <c r="A128" s="6" t="s">
        <v>96</v>
      </c>
      <c r="B128" s="7" t="s">
        <v>102</v>
      </c>
      <c r="C128" s="73">
        <v>40.494399999999999</v>
      </c>
      <c r="D128" s="73"/>
      <c r="E128" s="7" t="s">
        <v>484</v>
      </c>
      <c r="G128" s="244"/>
      <c r="H128">
        <f t="shared" si="5"/>
        <v>88173</v>
      </c>
      <c r="I128" s="246" t="s">
        <v>807</v>
      </c>
      <c r="J128" s="246">
        <v>48.9</v>
      </c>
      <c r="K128" s="246" t="s">
        <v>1628</v>
      </c>
      <c r="M128" t="str">
        <f t="shared" ref="M128:M129" si="10">K128&amp;I128</f>
        <v>SDAM132T2</v>
      </c>
      <c r="N128" t="str">
        <f>VLOOKUP(H128,'TNB Load'!$A$2:$F$1448,6,FALSE)</f>
        <v>WPKL</v>
      </c>
      <c r="O128">
        <f t="shared" si="7"/>
        <v>27.648800000000001</v>
      </c>
      <c r="R128">
        <v>62221</v>
      </c>
      <c r="S128" t="s">
        <v>1008</v>
      </c>
      <c r="T128" t="s">
        <v>826</v>
      </c>
      <c r="U128" t="str">
        <f t="shared" si="8"/>
        <v>ITLM275</v>
      </c>
      <c r="W128" t="str">
        <f t="shared" si="9"/>
        <v>ITLM275F2</v>
      </c>
      <c r="X128">
        <v>0</v>
      </c>
      <c r="Z128" t="s">
        <v>1008</v>
      </c>
      <c r="AA128" t="s">
        <v>826</v>
      </c>
      <c r="AB128" t="s">
        <v>1779</v>
      </c>
      <c r="AD128" t="s">
        <v>1781</v>
      </c>
      <c r="AE128">
        <v>0</v>
      </c>
      <c r="AF128">
        <v>62221</v>
      </c>
      <c r="AH128" t="s">
        <v>2382</v>
      </c>
    </row>
    <row r="129" spans="1:34" x14ac:dyDescent="0.25">
      <c r="A129" s="6" t="s">
        <v>97</v>
      </c>
      <c r="B129" s="7" t="s">
        <v>103</v>
      </c>
      <c r="C129" s="73">
        <v>99.606800000000007</v>
      </c>
      <c r="D129" s="73"/>
      <c r="E129" s="7" t="s">
        <v>485</v>
      </c>
      <c r="G129" s="244"/>
      <c r="H129">
        <f t="shared" si="5"/>
        <v>88173</v>
      </c>
      <c r="I129" s="246" t="s">
        <v>804</v>
      </c>
      <c r="J129" s="246">
        <v>48.9</v>
      </c>
      <c r="K129" s="246" t="s">
        <v>1628</v>
      </c>
      <c r="M129" t="str">
        <f t="shared" si="10"/>
        <v>SDAM132T1</v>
      </c>
      <c r="N129" t="str">
        <f>VLOOKUP(H129,'TNB Load'!$A$2:$F$1448,6,FALSE)</f>
        <v>WPKL</v>
      </c>
      <c r="O129">
        <f t="shared" si="7"/>
        <v>27.894300000000001</v>
      </c>
      <c r="R129">
        <v>62111</v>
      </c>
      <c r="S129" t="s">
        <v>1180</v>
      </c>
      <c r="T129" t="s">
        <v>804</v>
      </c>
      <c r="U129" t="str">
        <f t="shared" si="8"/>
        <v>NTBL132</v>
      </c>
      <c r="W129" t="str">
        <f t="shared" si="9"/>
        <v>NTBL132T1</v>
      </c>
      <c r="X129">
        <v>11.9238</v>
      </c>
      <c r="Z129" t="s">
        <v>1180</v>
      </c>
      <c r="AA129" t="s">
        <v>804</v>
      </c>
      <c r="AB129" t="s">
        <v>1594</v>
      </c>
      <c r="AD129" t="s">
        <v>1782</v>
      </c>
      <c r="AE129">
        <v>11.9238</v>
      </c>
      <c r="AF129">
        <v>62111</v>
      </c>
      <c r="AH129" t="s">
        <v>2381</v>
      </c>
    </row>
    <row r="130" spans="1:34" x14ac:dyDescent="0.25">
      <c r="A130" s="6" t="s">
        <v>645</v>
      </c>
      <c r="B130" s="7" t="s">
        <v>99</v>
      </c>
      <c r="C130" s="73">
        <v>70.498400000000004</v>
      </c>
      <c r="D130" s="73"/>
      <c r="E130" s="268" t="s">
        <v>491</v>
      </c>
      <c r="G130" s="244"/>
      <c r="H130">
        <f t="shared" si="5"/>
        <v>51091</v>
      </c>
      <c r="I130" s="246" t="s">
        <v>807</v>
      </c>
      <c r="J130" s="246">
        <v>48.9</v>
      </c>
      <c r="K130" s="246" t="s">
        <v>1471</v>
      </c>
      <c r="M130" t="str">
        <f t="shared" si="6"/>
        <v>NSPK132T2</v>
      </c>
      <c r="N130" t="str">
        <f>VLOOKUP(H130,'TNB Load'!$A$2:$F$1448,6,FALSE)</f>
        <v>SELANGOR</v>
      </c>
      <c r="O130">
        <f t="shared" si="7"/>
        <v>25.775600000000001</v>
      </c>
      <c r="R130">
        <v>62111</v>
      </c>
      <c r="S130" t="s">
        <v>1180</v>
      </c>
      <c r="T130" t="s">
        <v>807</v>
      </c>
      <c r="U130" t="str">
        <f t="shared" si="8"/>
        <v>NTBL132</v>
      </c>
      <c r="W130" t="str">
        <f t="shared" si="9"/>
        <v>NTBL132T2</v>
      </c>
      <c r="X130">
        <v>14.825200000000001</v>
      </c>
      <c r="Z130" t="s">
        <v>1180</v>
      </c>
      <c r="AA130" t="s">
        <v>807</v>
      </c>
      <c r="AB130" t="s">
        <v>1594</v>
      </c>
      <c r="AD130" t="s">
        <v>1783</v>
      </c>
      <c r="AE130">
        <v>14.825200000000001</v>
      </c>
      <c r="AF130">
        <v>62111</v>
      </c>
      <c r="AH130" t="s">
        <v>2139</v>
      </c>
    </row>
    <row r="131" spans="1:34" x14ac:dyDescent="0.25">
      <c r="A131" s="6" t="s">
        <v>98</v>
      </c>
      <c r="B131" s="7" t="s">
        <v>103</v>
      </c>
      <c r="C131" s="73">
        <v>99.120699999999999</v>
      </c>
      <c r="D131" s="73"/>
      <c r="E131" s="268"/>
      <c r="G131" s="244"/>
      <c r="H131">
        <f t="shared" ref="H131:H194" si="11">VLOOKUP(AH131,$AD$3:$AF$1300,3,FALSE)</f>
        <v>51091</v>
      </c>
      <c r="I131" s="246" t="s">
        <v>804</v>
      </c>
      <c r="J131" s="246">
        <v>48.9</v>
      </c>
      <c r="K131" s="246" t="s">
        <v>1471</v>
      </c>
      <c r="M131" t="str">
        <f t="shared" si="6"/>
        <v>NSPK132T1</v>
      </c>
      <c r="N131" t="str">
        <f>VLOOKUP(H131,'TNB Load'!$A$2:$F$1448,6,FALSE)</f>
        <v>SELANGOR</v>
      </c>
      <c r="O131">
        <f t="shared" si="7"/>
        <v>26.3079</v>
      </c>
      <c r="R131">
        <v>62137</v>
      </c>
      <c r="S131" t="s">
        <v>1238</v>
      </c>
      <c r="T131" t="s">
        <v>804</v>
      </c>
      <c r="U131" t="str">
        <f t="shared" si="8"/>
        <v>PRGS132</v>
      </c>
      <c r="W131" t="str">
        <f t="shared" si="9"/>
        <v>PRGS132T1</v>
      </c>
      <c r="X131">
        <v>12.5585</v>
      </c>
      <c r="Z131" t="s">
        <v>1238</v>
      </c>
      <c r="AA131" t="s">
        <v>804</v>
      </c>
      <c r="AB131" t="s">
        <v>1459</v>
      </c>
      <c r="AD131" t="s">
        <v>1784</v>
      </c>
      <c r="AE131">
        <v>12.5585</v>
      </c>
      <c r="AF131">
        <v>62137</v>
      </c>
      <c r="AH131" t="s">
        <v>2138</v>
      </c>
    </row>
    <row r="132" spans="1:34" x14ac:dyDescent="0.25">
      <c r="A132" s="6" t="s">
        <v>475</v>
      </c>
      <c r="B132" s="7" t="s">
        <v>477</v>
      </c>
      <c r="C132" s="73">
        <v>96.674700000000001</v>
      </c>
      <c r="D132" s="73"/>
      <c r="E132" s="7" t="s">
        <v>489</v>
      </c>
      <c r="G132" s="244"/>
      <c r="H132">
        <f t="shared" si="11"/>
        <v>51050</v>
      </c>
      <c r="I132" s="246" t="s">
        <v>807</v>
      </c>
      <c r="J132" s="246">
        <v>48.9</v>
      </c>
      <c r="K132" s="246" t="s">
        <v>1472</v>
      </c>
      <c r="M132" t="str">
        <f t="shared" si="6"/>
        <v>SRDN132T2</v>
      </c>
      <c r="N132" t="str">
        <f>VLOOKUP(H132,'TNB Load'!$A$2:$F$1448,6,FALSE)</f>
        <v>WPKL</v>
      </c>
      <c r="O132">
        <f t="shared" si="7"/>
        <v>24.200600000000001</v>
      </c>
      <c r="R132">
        <v>62137</v>
      </c>
      <c r="S132" t="s">
        <v>1238</v>
      </c>
      <c r="T132" t="s">
        <v>807</v>
      </c>
      <c r="U132" t="str">
        <f t="shared" ref="U132:U195" si="12">LEFT(S132,7)</f>
        <v>PRGS132</v>
      </c>
      <c r="W132" t="str">
        <f t="shared" ref="W132:W195" si="13">U132&amp;T132</f>
        <v>PRGS132T2</v>
      </c>
      <c r="X132">
        <v>7.5839999999999996</v>
      </c>
      <c r="Z132" t="s">
        <v>1238</v>
      </c>
      <c r="AA132" t="s">
        <v>807</v>
      </c>
      <c r="AB132" t="s">
        <v>1459</v>
      </c>
      <c r="AD132" t="s">
        <v>1785</v>
      </c>
      <c r="AE132">
        <v>7.5839999999999996</v>
      </c>
      <c r="AF132">
        <v>62137</v>
      </c>
      <c r="AH132" t="s">
        <v>2394</v>
      </c>
    </row>
    <row r="133" spans="1:34" x14ac:dyDescent="0.25">
      <c r="A133" s="6" t="s">
        <v>97</v>
      </c>
      <c r="B133" s="7" t="s">
        <v>103</v>
      </c>
      <c r="C133" s="73">
        <v>127.7547</v>
      </c>
      <c r="D133" s="73"/>
      <c r="E133" s="7" t="s">
        <v>492</v>
      </c>
      <c r="G133" s="244"/>
      <c r="H133">
        <f t="shared" si="11"/>
        <v>51050</v>
      </c>
      <c r="I133" s="246" t="s">
        <v>804</v>
      </c>
      <c r="J133" s="246">
        <v>48.9</v>
      </c>
      <c r="K133" s="246" t="s">
        <v>1472</v>
      </c>
      <c r="M133" t="str">
        <f t="shared" si="6"/>
        <v>SRDN132T1</v>
      </c>
      <c r="N133" t="str">
        <f>VLOOKUP(H133,'TNB Load'!$A$2:$F$1448,6,FALSE)</f>
        <v>WPKL</v>
      </c>
      <c r="O133">
        <f t="shared" si="7"/>
        <v>24.2483</v>
      </c>
      <c r="R133">
        <v>562137</v>
      </c>
      <c r="S133" t="s">
        <v>1239</v>
      </c>
      <c r="T133" t="s">
        <v>808</v>
      </c>
      <c r="U133" t="str">
        <f t="shared" si="12"/>
        <v>PRGS132</v>
      </c>
      <c r="W133" t="str">
        <f t="shared" si="13"/>
        <v>PRGS132T3</v>
      </c>
      <c r="X133">
        <v>21.045500000000001</v>
      </c>
      <c r="Z133" t="s">
        <v>1239</v>
      </c>
      <c r="AA133" t="s">
        <v>808</v>
      </c>
      <c r="AB133" t="s">
        <v>1459</v>
      </c>
      <c r="AD133" t="s">
        <v>1786</v>
      </c>
      <c r="AE133">
        <v>21.045500000000001</v>
      </c>
      <c r="AF133">
        <v>562137</v>
      </c>
      <c r="AH133" t="s">
        <v>2393</v>
      </c>
    </row>
    <row r="134" spans="1:34" x14ac:dyDescent="0.25">
      <c r="A134" s="37" t="s">
        <v>95</v>
      </c>
      <c r="B134" s="35" t="s">
        <v>99</v>
      </c>
      <c r="C134" s="74">
        <v>90.917599999999993</v>
      </c>
      <c r="D134" s="74"/>
      <c r="E134" s="35" t="s">
        <v>487</v>
      </c>
      <c r="G134" s="244"/>
      <c r="H134">
        <f t="shared" si="11"/>
        <v>96150</v>
      </c>
      <c r="I134" s="246" t="s">
        <v>807</v>
      </c>
      <c r="J134" s="246">
        <v>48.9</v>
      </c>
      <c r="K134" s="246" t="s">
        <v>1473</v>
      </c>
      <c r="M134" t="str">
        <f t="shared" ref="M134:M157" si="14">K134&amp;I134</f>
        <v>SDYN132T2</v>
      </c>
      <c r="N134" t="str">
        <f>VLOOKUP(H134,'TNB Load'!$A$2:$F$1448,6,FALSE)</f>
        <v>NS</v>
      </c>
      <c r="O134">
        <f t="shared" ref="O134:O157" si="15">VLOOKUP(M134,$W$3:$X$1300,2,FALSE)</f>
        <v>45.031799999999997</v>
      </c>
      <c r="R134">
        <v>562137</v>
      </c>
      <c r="S134" t="s">
        <v>1239</v>
      </c>
      <c r="T134" t="s">
        <v>809</v>
      </c>
      <c r="U134" t="str">
        <f t="shared" si="12"/>
        <v>PRGS132</v>
      </c>
      <c r="W134" t="str">
        <f t="shared" si="13"/>
        <v>PRGS132T4</v>
      </c>
      <c r="X134">
        <v>21.0061</v>
      </c>
      <c r="Z134" t="s">
        <v>1239</v>
      </c>
      <c r="AA134" t="s">
        <v>809</v>
      </c>
      <c r="AB134" t="s">
        <v>1459</v>
      </c>
      <c r="AD134" t="s">
        <v>1787</v>
      </c>
      <c r="AE134">
        <v>21.0061</v>
      </c>
      <c r="AF134">
        <v>562137</v>
      </c>
      <c r="AH134" t="s">
        <v>2472</v>
      </c>
    </row>
    <row r="135" spans="1:34" x14ac:dyDescent="0.25">
      <c r="A135" s="6" t="s">
        <v>95</v>
      </c>
      <c r="B135" s="7" t="s">
        <v>99</v>
      </c>
      <c r="C135" s="73">
        <v>81.433099999999996</v>
      </c>
      <c r="D135" s="73"/>
      <c r="E135" s="7" t="s">
        <v>486</v>
      </c>
      <c r="G135" s="244"/>
      <c r="H135">
        <f t="shared" si="11"/>
        <v>96150</v>
      </c>
      <c r="I135" s="246" t="s">
        <v>804</v>
      </c>
      <c r="J135" s="246">
        <v>48.9</v>
      </c>
      <c r="K135" s="246" t="s">
        <v>1473</v>
      </c>
      <c r="M135" t="str">
        <f t="shared" si="14"/>
        <v>SDYN132T1</v>
      </c>
      <c r="N135" t="str">
        <f>VLOOKUP(H135,'TNB Load'!$A$2:$F$1448,6,FALSE)</f>
        <v>NS</v>
      </c>
      <c r="O135">
        <f t="shared" si="15"/>
        <v>44.7532</v>
      </c>
      <c r="R135">
        <v>62155</v>
      </c>
      <c r="S135" t="s">
        <v>1240</v>
      </c>
      <c r="T135" t="s">
        <v>804</v>
      </c>
      <c r="U135" t="str">
        <f t="shared" si="12"/>
        <v>PRID132</v>
      </c>
      <c r="W135" t="str">
        <f t="shared" si="13"/>
        <v>PRID132T1</v>
      </c>
      <c r="X135">
        <v>23.613499999999998</v>
      </c>
      <c r="Z135" t="s">
        <v>1240</v>
      </c>
      <c r="AA135" t="s">
        <v>804</v>
      </c>
      <c r="AB135" t="s">
        <v>1546</v>
      </c>
      <c r="AD135" t="s">
        <v>1788</v>
      </c>
      <c r="AE135">
        <v>23.613499999999998</v>
      </c>
      <c r="AF135">
        <v>62155</v>
      </c>
      <c r="AH135" t="s">
        <v>2471</v>
      </c>
    </row>
    <row r="136" spans="1:34" x14ac:dyDescent="0.25">
      <c r="A136" s="6" t="s">
        <v>459</v>
      </c>
      <c r="B136" s="7" t="s">
        <v>100</v>
      </c>
      <c r="C136" s="73">
        <v>16.6814</v>
      </c>
      <c r="D136" s="73"/>
      <c r="E136" s="7" t="s">
        <v>482</v>
      </c>
      <c r="G136" s="244"/>
      <c r="H136">
        <f t="shared" si="11"/>
        <v>96134</v>
      </c>
      <c r="I136" s="246" t="s">
        <v>807</v>
      </c>
      <c r="J136" s="246">
        <v>48.9</v>
      </c>
      <c r="K136" s="246" t="s">
        <v>1474</v>
      </c>
      <c r="M136" t="str">
        <f t="shared" si="14"/>
        <v>LKUT132T2</v>
      </c>
      <c r="N136" t="str">
        <f>VLOOKUP(H136,'TNB Load'!$A$2:$F$1448,6,FALSE)</f>
        <v>NS</v>
      </c>
      <c r="O136">
        <f t="shared" si="15"/>
        <v>10</v>
      </c>
      <c r="R136">
        <v>62155</v>
      </c>
      <c r="S136" t="s">
        <v>1240</v>
      </c>
      <c r="T136" t="s">
        <v>807</v>
      </c>
      <c r="U136" t="str">
        <f t="shared" si="12"/>
        <v>PRID132</v>
      </c>
      <c r="W136" t="str">
        <f t="shared" si="13"/>
        <v>PRID132T2</v>
      </c>
      <c r="X136">
        <v>23.4313</v>
      </c>
      <c r="Z136" t="s">
        <v>1240</v>
      </c>
      <c r="AA136" t="s">
        <v>807</v>
      </c>
      <c r="AB136" t="s">
        <v>1546</v>
      </c>
      <c r="AD136" t="s">
        <v>1789</v>
      </c>
      <c r="AE136">
        <v>23.4313</v>
      </c>
      <c r="AF136">
        <v>62155</v>
      </c>
      <c r="AH136" t="s">
        <v>2444</v>
      </c>
    </row>
    <row r="137" spans="1:34" x14ac:dyDescent="0.25">
      <c r="A137" s="6" t="s">
        <v>490</v>
      </c>
      <c r="B137" s="7" t="s">
        <v>152</v>
      </c>
      <c r="C137" s="259">
        <v>83</v>
      </c>
      <c r="D137" s="236"/>
      <c r="E137" s="268" t="s">
        <v>488</v>
      </c>
      <c r="G137" s="244"/>
      <c r="H137">
        <f t="shared" si="11"/>
        <v>96134</v>
      </c>
      <c r="I137" s="246" t="s">
        <v>804</v>
      </c>
      <c r="J137" s="246">
        <v>48.9</v>
      </c>
      <c r="K137" s="246" t="s">
        <v>1474</v>
      </c>
      <c r="M137" t="str">
        <f t="shared" si="14"/>
        <v>LKUT132T1</v>
      </c>
      <c r="N137" t="str">
        <f>VLOOKUP(H137,'TNB Load'!$A$2:$F$1448,6,FALSE)</f>
        <v>NS</v>
      </c>
      <c r="O137">
        <f t="shared" si="15"/>
        <v>12.0335</v>
      </c>
      <c r="R137">
        <v>62155</v>
      </c>
      <c r="S137" t="s">
        <v>1240</v>
      </c>
      <c r="T137" t="s">
        <v>808</v>
      </c>
      <c r="U137" t="str">
        <f t="shared" si="12"/>
        <v>PRID132</v>
      </c>
      <c r="W137" t="str">
        <f t="shared" si="13"/>
        <v>PRID132T3</v>
      </c>
      <c r="X137">
        <v>36.820300000000003</v>
      </c>
      <c r="Z137" t="s">
        <v>1240</v>
      </c>
      <c r="AA137" t="s">
        <v>808</v>
      </c>
      <c r="AB137" t="s">
        <v>1546</v>
      </c>
      <c r="AD137" t="s">
        <v>1790</v>
      </c>
      <c r="AE137">
        <v>36.820300000000003</v>
      </c>
      <c r="AF137">
        <v>62155</v>
      </c>
      <c r="AH137" t="s">
        <v>2443</v>
      </c>
    </row>
    <row r="138" spans="1:34" x14ac:dyDescent="0.25">
      <c r="A138" s="6" t="s">
        <v>490</v>
      </c>
      <c r="B138" s="7" t="s">
        <v>39</v>
      </c>
      <c r="C138" s="259"/>
      <c r="D138" s="236"/>
      <c r="E138" s="268"/>
      <c r="G138" s="244"/>
      <c r="H138">
        <f t="shared" si="11"/>
        <v>74106</v>
      </c>
      <c r="I138" s="246" t="s">
        <v>807</v>
      </c>
      <c r="J138" s="246">
        <v>48.9</v>
      </c>
      <c r="K138" s="246" t="s">
        <v>1475</v>
      </c>
      <c r="M138" t="str">
        <f t="shared" si="14"/>
        <v>TGLN132T2</v>
      </c>
      <c r="N138" t="str">
        <f>VLOOKUP(H138,'TNB Load'!$A$2:$F$1448,6,FALSE)</f>
        <v>PAHANG</v>
      </c>
      <c r="O138">
        <f t="shared" si="15"/>
        <v>5.2148000000000003</v>
      </c>
      <c r="R138">
        <v>62155</v>
      </c>
      <c r="S138" t="s">
        <v>1240</v>
      </c>
      <c r="T138" t="s">
        <v>809</v>
      </c>
      <c r="U138" t="str">
        <f t="shared" si="12"/>
        <v>PRID132</v>
      </c>
      <c r="W138" t="str">
        <f t="shared" si="13"/>
        <v>PRID132T4</v>
      </c>
      <c r="X138">
        <v>36.909300000000002</v>
      </c>
      <c r="Z138" t="s">
        <v>1240</v>
      </c>
      <c r="AA138" t="s">
        <v>809</v>
      </c>
      <c r="AB138" t="s">
        <v>1546</v>
      </c>
      <c r="AD138" t="s">
        <v>1791</v>
      </c>
      <c r="AE138">
        <v>36.909300000000002</v>
      </c>
      <c r="AF138">
        <v>62155</v>
      </c>
      <c r="AH138" t="s">
        <v>2980</v>
      </c>
    </row>
    <row r="139" spans="1:34" x14ac:dyDescent="0.25">
      <c r="A139" s="22" t="s">
        <v>506</v>
      </c>
      <c r="B139" s="41" t="s">
        <v>503</v>
      </c>
      <c r="C139" s="263">
        <v>268</v>
      </c>
      <c r="D139" s="239"/>
      <c r="E139" s="258" t="s">
        <v>511</v>
      </c>
      <c r="G139" s="244"/>
      <c r="H139">
        <f t="shared" si="11"/>
        <v>74106</v>
      </c>
      <c r="I139" s="246" t="s">
        <v>804</v>
      </c>
      <c r="J139" s="246">
        <v>48.9</v>
      </c>
      <c r="K139" s="246" t="s">
        <v>1475</v>
      </c>
      <c r="M139" t="str">
        <f t="shared" si="14"/>
        <v>TGLN132T1</v>
      </c>
      <c r="N139" t="str">
        <f>VLOOKUP(H139,'TNB Load'!$A$2:$F$1448,6,FALSE)</f>
        <v>PAHANG</v>
      </c>
      <c r="O139">
        <f t="shared" si="15"/>
        <v>5.9561999999999999</v>
      </c>
      <c r="R139">
        <v>62128</v>
      </c>
      <c r="S139" t="s">
        <v>1267</v>
      </c>
      <c r="T139" t="s">
        <v>804</v>
      </c>
      <c r="U139" t="str">
        <f t="shared" si="12"/>
        <v>SARA132</v>
      </c>
      <c r="W139" t="str">
        <f t="shared" si="13"/>
        <v>SARA132T1</v>
      </c>
      <c r="X139">
        <v>35.607700000000001</v>
      </c>
      <c r="Z139" t="s">
        <v>1267</v>
      </c>
      <c r="AA139" t="s">
        <v>804</v>
      </c>
      <c r="AB139" t="s">
        <v>1418</v>
      </c>
      <c r="AD139" t="s">
        <v>1792</v>
      </c>
      <c r="AE139">
        <v>35.607700000000001</v>
      </c>
      <c r="AF139">
        <v>62128</v>
      </c>
      <c r="AH139" t="s">
        <v>2979</v>
      </c>
    </row>
    <row r="140" spans="1:34" x14ac:dyDescent="0.25">
      <c r="A140" s="22" t="s">
        <v>507</v>
      </c>
      <c r="B140" s="17" t="s">
        <v>191</v>
      </c>
      <c r="C140" s="263"/>
      <c r="D140" s="239"/>
      <c r="E140" s="258"/>
      <c r="G140" s="244"/>
      <c r="H140">
        <f t="shared" si="11"/>
        <v>74106</v>
      </c>
      <c r="I140" s="246" t="s">
        <v>808</v>
      </c>
      <c r="J140" s="246">
        <v>48.9</v>
      </c>
      <c r="K140" s="246" t="s">
        <v>1475</v>
      </c>
      <c r="M140" t="str">
        <f t="shared" si="14"/>
        <v>TGLN132T3</v>
      </c>
      <c r="N140" t="str">
        <f>VLOOKUP(H140,'TNB Load'!$A$2:$F$1448,6,FALSE)</f>
        <v>PAHANG</v>
      </c>
      <c r="O140">
        <f t="shared" si="15"/>
        <v>11.264200000000001</v>
      </c>
      <c r="R140">
        <v>62128</v>
      </c>
      <c r="S140" t="s">
        <v>1267</v>
      </c>
      <c r="T140" t="s">
        <v>807</v>
      </c>
      <c r="U140" t="str">
        <f t="shared" si="12"/>
        <v>SARA132</v>
      </c>
      <c r="W140" t="str">
        <f t="shared" si="13"/>
        <v>SARA132T2</v>
      </c>
      <c r="X140">
        <v>35.717399999999998</v>
      </c>
      <c r="Z140" t="s">
        <v>1267</v>
      </c>
      <c r="AA140" t="s">
        <v>807</v>
      </c>
      <c r="AB140" t="s">
        <v>1418</v>
      </c>
      <c r="AD140" t="s">
        <v>1793</v>
      </c>
      <c r="AE140">
        <v>35.717399999999998</v>
      </c>
      <c r="AF140">
        <v>62128</v>
      </c>
      <c r="AH140" t="s">
        <v>2981</v>
      </c>
    </row>
    <row r="141" spans="1:34" x14ac:dyDescent="0.25">
      <c r="A141" s="22" t="s">
        <v>508</v>
      </c>
      <c r="B141" s="17" t="s">
        <v>191</v>
      </c>
      <c r="C141" s="263"/>
      <c r="D141" s="239"/>
      <c r="E141" s="258"/>
      <c r="G141" s="244"/>
      <c r="H141" t="e">
        <f t="shared" si="11"/>
        <v>#N/A</v>
      </c>
      <c r="I141" t="s">
        <v>807</v>
      </c>
      <c r="J141">
        <v>48.8</v>
      </c>
      <c r="K141" t="s">
        <v>1476</v>
      </c>
      <c r="M141" t="str">
        <f t="shared" si="14"/>
        <v>KSTR132T2</v>
      </c>
      <c r="N141" t="e">
        <f>VLOOKUP(H141,'TNB Load'!$A$2:$F$1448,6,FALSE)</f>
        <v>#N/A</v>
      </c>
      <c r="O141" t="e">
        <f t="shared" si="15"/>
        <v>#N/A</v>
      </c>
      <c r="R141">
        <v>62112</v>
      </c>
      <c r="S141" t="s">
        <v>1296</v>
      </c>
      <c r="T141" t="s">
        <v>804</v>
      </c>
      <c r="U141" t="str">
        <f t="shared" si="12"/>
        <v>SJAY132</v>
      </c>
      <c r="W141" t="str">
        <f t="shared" si="13"/>
        <v>SJAY132T1</v>
      </c>
      <c r="X141">
        <v>42.577599999999997</v>
      </c>
      <c r="Z141" t="s">
        <v>1296</v>
      </c>
      <c r="AA141" t="s">
        <v>804</v>
      </c>
      <c r="AB141" t="s">
        <v>1448</v>
      </c>
      <c r="AD141" t="s">
        <v>1794</v>
      </c>
      <c r="AE141">
        <v>42.577599999999997</v>
      </c>
      <c r="AF141">
        <v>62112</v>
      </c>
      <c r="AH141" t="s">
        <v>3123</v>
      </c>
    </row>
    <row r="142" spans="1:34" x14ac:dyDescent="0.25">
      <c r="A142" s="22" t="s">
        <v>509</v>
      </c>
      <c r="B142" s="17" t="s">
        <v>38</v>
      </c>
      <c r="C142" s="263"/>
      <c r="D142" s="239"/>
      <c r="E142" s="258"/>
      <c r="G142" s="244"/>
      <c r="H142" t="e">
        <f t="shared" si="11"/>
        <v>#N/A</v>
      </c>
      <c r="I142" t="s">
        <v>804</v>
      </c>
      <c r="J142">
        <v>48.8</v>
      </c>
      <c r="K142" t="s">
        <v>1476</v>
      </c>
      <c r="M142" t="str">
        <f t="shared" si="14"/>
        <v>KSTR132T1</v>
      </c>
      <c r="N142" t="e">
        <f>VLOOKUP(H142,'TNB Load'!$A$2:$F$1448,6,FALSE)</f>
        <v>#N/A</v>
      </c>
      <c r="O142" t="e">
        <f t="shared" si="15"/>
        <v>#N/A</v>
      </c>
      <c r="R142">
        <v>62112</v>
      </c>
      <c r="S142" t="s">
        <v>1296</v>
      </c>
      <c r="T142" t="s">
        <v>807</v>
      </c>
      <c r="U142" t="str">
        <f t="shared" si="12"/>
        <v>SJAY132</v>
      </c>
      <c r="W142" t="str">
        <f t="shared" si="13"/>
        <v>SJAY132T2</v>
      </c>
      <c r="X142">
        <v>42.991799999999998</v>
      </c>
      <c r="Z142" t="s">
        <v>1296</v>
      </c>
      <c r="AA142" t="s">
        <v>807</v>
      </c>
      <c r="AB142" t="s">
        <v>1448</v>
      </c>
      <c r="AD142" t="s">
        <v>1795</v>
      </c>
      <c r="AE142">
        <v>42.991799999999998</v>
      </c>
      <c r="AF142">
        <v>62112</v>
      </c>
      <c r="AH142" t="s">
        <v>3124</v>
      </c>
    </row>
    <row r="143" spans="1:34" x14ac:dyDescent="0.25">
      <c r="A143" s="45" t="s">
        <v>517</v>
      </c>
      <c r="B143" s="46" t="s">
        <v>521</v>
      </c>
      <c r="C143" s="269">
        <v>153</v>
      </c>
      <c r="D143" s="240"/>
      <c r="E143" s="265" t="s">
        <v>512</v>
      </c>
      <c r="G143" s="244"/>
      <c r="H143">
        <f t="shared" si="11"/>
        <v>51031</v>
      </c>
      <c r="I143" t="s">
        <v>807</v>
      </c>
      <c r="J143">
        <v>48.8</v>
      </c>
      <c r="K143" t="s">
        <v>1477</v>
      </c>
      <c r="M143" t="str">
        <f t="shared" si="14"/>
        <v>KCPK132T2</v>
      </c>
      <c r="N143" t="str">
        <f>VLOOKUP(H143,'TNB Load'!$A$2:$F$1448,6,FALSE)</f>
        <v>SELANGOR</v>
      </c>
      <c r="O143">
        <f t="shared" si="15"/>
        <v>31.0246</v>
      </c>
      <c r="R143">
        <v>62107</v>
      </c>
      <c r="S143" t="s">
        <v>1299</v>
      </c>
      <c r="T143" t="s">
        <v>804</v>
      </c>
      <c r="U143" t="str">
        <f t="shared" si="12"/>
        <v>SKCL132</v>
      </c>
      <c r="W143" t="str">
        <f t="shared" si="13"/>
        <v>SKCL132T1</v>
      </c>
      <c r="X143">
        <v>11.552</v>
      </c>
      <c r="Z143" t="s">
        <v>1299</v>
      </c>
      <c r="AA143" t="s">
        <v>804</v>
      </c>
      <c r="AB143" t="s">
        <v>1796</v>
      </c>
      <c r="AD143" t="s">
        <v>1797</v>
      </c>
      <c r="AE143">
        <v>11.552</v>
      </c>
      <c r="AF143">
        <v>62107</v>
      </c>
      <c r="AH143" t="s">
        <v>2072</v>
      </c>
    </row>
    <row r="144" spans="1:34" x14ac:dyDescent="0.25">
      <c r="A144" s="22" t="s">
        <v>520</v>
      </c>
      <c r="B144" s="17" t="s">
        <v>504</v>
      </c>
      <c r="C144" s="269"/>
      <c r="D144" s="240"/>
      <c r="E144" s="265"/>
      <c r="G144" s="244"/>
      <c r="H144">
        <f t="shared" si="11"/>
        <v>51031</v>
      </c>
      <c r="I144" t="s">
        <v>804</v>
      </c>
      <c r="J144">
        <v>48.8</v>
      </c>
      <c r="K144" t="str">
        <f>K143</f>
        <v>KCPK132</v>
      </c>
      <c r="M144" t="str">
        <f t="shared" si="14"/>
        <v>KCPK132T1</v>
      </c>
      <c r="N144" t="str">
        <f>VLOOKUP(H144,'TNB Load'!$A$2:$F$1448,6,FALSE)</f>
        <v>SELANGOR</v>
      </c>
      <c r="O144">
        <f t="shared" si="15"/>
        <v>31.129200000000001</v>
      </c>
      <c r="R144">
        <v>62107</v>
      </c>
      <c r="S144" t="s">
        <v>1299</v>
      </c>
      <c r="T144" t="s">
        <v>807</v>
      </c>
      <c r="U144" t="str">
        <f t="shared" si="12"/>
        <v>SKCL132</v>
      </c>
      <c r="W144" t="str">
        <f t="shared" si="13"/>
        <v>SKCL132T2</v>
      </c>
      <c r="X144">
        <v>9.2790999999999997</v>
      </c>
      <c r="Z144" t="s">
        <v>1299</v>
      </c>
      <c r="AA144" t="s">
        <v>807</v>
      </c>
      <c r="AB144" t="s">
        <v>1796</v>
      </c>
      <c r="AD144" t="s">
        <v>1798</v>
      </c>
      <c r="AE144">
        <v>9.2790999999999997</v>
      </c>
      <c r="AF144">
        <v>62107</v>
      </c>
      <c r="AH144" t="s">
        <v>2071</v>
      </c>
    </row>
    <row r="145" spans="1:34" x14ac:dyDescent="0.25">
      <c r="A145" s="22" t="s">
        <v>523</v>
      </c>
      <c r="B145" s="17" t="s">
        <v>505</v>
      </c>
      <c r="C145" s="263">
        <v>232</v>
      </c>
      <c r="D145" s="239"/>
      <c r="E145" s="265" t="s">
        <v>513</v>
      </c>
      <c r="G145" s="244"/>
      <c r="H145">
        <f t="shared" si="11"/>
        <v>51200</v>
      </c>
      <c r="I145" t="s">
        <v>807</v>
      </c>
      <c r="J145">
        <v>48.8</v>
      </c>
      <c r="K145" t="s">
        <v>1478</v>
      </c>
      <c r="M145" t="str">
        <f t="shared" si="14"/>
        <v>NRWG132T2</v>
      </c>
      <c r="N145" t="str">
        <f>VLOOKUP(H145,'TNB Load'!$A$2:$F$1448,6,FALSE)</f>
        <v>SELANGOR</v>
      </c>
      <c r="O145">
        <f t="shared" si="15"/>
        <v>37.5762</v>
      </c>
      <c r="R145">
        <v>62107</v>
      </c>
      <c r="S145" t="s">
        <v>1299</v>
      </c>
      <c r="T145" t="s">
        <v>808</v>
      </c>
      <c r="U145" t="str">
        <f t="shared" si="12"/>
        <v>SKCL132</v>
      </c>
      <c r="W145" t="str">
        <f t="shared" si="13"/>
        <v>SKCL132T3</v>
      </c>
      <c r="X145">
        <v>22.398900000000001</v>
      </c>
      <c r="Z145" t="s">
        <v>1299</v>
      </c>
      <c r="AA145" t="s">
        <v>808</v>
      </c>
      <c r="AB145" t="s">
        <v>1796</v>
      </c>
      <c r="AD145" t="s">
        <v>1799</v>
      </c>
      <c r="AE145">
        <v>22.398900000000001</v>
      </c>
      <c r="AF145">
        <v>62107</v>
      </c>
      <c r="AH145" t="s">
        <v>2131</v>
      </c>
    </row>
    <row r="146" spans="1:34" x14ac:dyDescent="0.25">
      <c r="A146" s="22" t="s">
        <v>523</v>
      </c>
      <c r="B146" s="17" t="s">
        <v>152</v>
      </c>
      <c r="C146" s="263"/>
      <c r="D146" s="239"/>
      <c r="E146" s="265"/>
      <c r="G146" s="244"/>
      <c r="H146">
        <f t="shared" si="11"/>
        <v>51200</v>
      </c>
      <c r="I146" t="s">
        <v>804</v>
      </c>
      <c r="J146">
        <v>48.8</v>
      </c>
      <c r="K146" t="str">
        <f>K145</f>
        <v>NRWG132</v>
      </c>
      <c r="M146" t="str">
        <f t="shared" si="14"/>
        <v>NRWG132T1</v>
      </c>
      <c r="N146" t="str">
        <f>VLOOKUP(H146,'TNB Load'!$A$2:$F$1448,6,FALSE)</f>
        <v>SELANGOR</v>
      </c>
      <c r="O146">
        <f t="shared" si="15"/>
        <v>37.647599999999997</v>
      </c>
      <c r="R146">
        <v>62107</v>
      </c>
      <c r="S146" t="s">
        <v>1299</v>
      </c>
      <c r="T146" t="s">
        <v>809</v>
      </c>
      <c r="U146" t="str">
        <f t="shared" si="12"/>
        <v>SKCL132</v>
      </c>
      <c r="W146" t="str">
        <f t="shared" si="13"/>
        <v>SKCL132T4</v>
      </c>
      <c r="X146">
        <v>22.9208</v>
      </c>
      <c r="Z146" t="s">
        <v>1299</v>
      </c>
      <c r="AA146" t="s">
        <v>809</v>
      </c>
      <c r="AB146" t="s">
        <v>1796</v>
      </c>
      <c r="AD146" t="s">
        <v>1800</v>
      </c>
      <c r="AE146">
        <v>22.9208</v>
      </c>
      <c r="AF146">
        <v>62107</v>
      </c>
      <c r="AH146" t="s">
        <v>2130</v>
      </c>
    </row>
    <row r="147" spans="1:34" x14ac:dyDescent="0.25">
      <c r="A147" s="22" t="s">
        <v>95</v>
      </c>
      <c r="B147" s="17" t="s">
        <v>99</v>
      </c>
      <c r="C147" s="72">
        <v>14.7682</v>
      </c>
      <c r="D147" s="72"/>
      <c r="E147" s="17" t="s">
        <v>514</v>
      </c>
      <c r="G147" s="244"/>
      <c r="H147">
        <f t="shared" si="11"/>
        <v>51045</v>
      </c>
      <c r="I147" t="s">
        <v>809</v>
      </c>
      <c r="J147">
        <v>48.8</v>
      </c>
      <c r="K147" t="s">
        <v>1479</v>
      </c>
      <c r="M147" t="str">
        <f t="shared" si="14"/>
        <v>BKPR132T4</v>
      </c>
      <c r="N147" t="str">
        <f>VLOOKUP(H147,'TNB Load'!$A$2:$F$1448,6,FALSE)</f>
        <v>SELANGOR</v>
      </c>
      <c r="O147">
        <f t="shared" si="15"/>
        <v>38.743200000000002</v>
      </c>
      <c r="R147">
        <v>62124</v>
      </c>
      <c r="S147" t="s">
        <v>1312</v>
      </c>
      <c r="T147" t="s">
        <v>804</v>
      </c>
      <c r="U147" t="str">
        <f t="shared" si="12"/>
        <v>SPAE132</v>
      </c>
      <c r="W147" t="str">
        <f t="shared" si="13"/>
        <v>SPAE132T1</v>
      </c>
      <c r="X147">
        <v>36.443300000000001</v>
      </c>
      <c r="Z147" t="s">
        <v>1312</v>
      </c>
      <c r="AA147" t="s">
        <v>804</v>
      </c>
      <c r="AB147" t="s">
        <v>1801</v>
      </c>
      <c r="AD147" t="s">
        <v>1802</v>
      </c>
      <c r="AE147">
        <v>36.443300000000001</v>
      </c>
      <c r="AF147">
        <v>62124</v>
      </c>
      <c r="AH147" t="s">
        <v>2014</v>
      </c>
    </row>
    <row r="148" spans="1:34" x14ac:dyDescent="0.25">
      <c r="A148" s="22" t="s">
        <v>95</v>
      </c>
      <c r="B148" s="17" t="s">
        <v>99</v>
      </c>
      <c r="C148" s="72">
        <v>61.635300000000001</v>
      </c>
      <c r="D148" s="72"/>
      <c r="E148" s="17" t="s">
        <v>510</v>
      </c>
      <c r="G148" s="244"/>
      <c r="H148">
        <f t="shared" si="11"/>
        <v>51045</v>
      </c>
      <c r="I148" t="s">
        <v>808</v>
      </c>
      <c r="J148">
        <v>48.8</v>
      </c>
      <c r="K148" t="str">
        <f>K147</f>
        <v>BKPR132</v>
      </c>
      <c r="M148" t="str">
        <f t="shared" si="14"/>
        <v>BKPR132T3</v>
      </c>
      <c r="N148" t="str">
        <f>VLOOKUP(H148,'TNB Load'!$A$2:$F$1448,6,FALSE)</f>
        <v>SELANGOR</v>
      </c>
      <c r="O148">
        <f t="shared" si="15"/>
        <v>38.734900000000003</v>
      </c>
      <c r="R148">
        <v>62124</v>
      </c>
      <c r="S148" t="s">
        <v>1312</v>
      </c>
      <c r="T148" t="s">
        <v>807</v>
      </c>
      <c r="U148" t="str">
        <f t="shared" si="12"/>
        <v>SPAE132</v>
      </c>
      <c r="W148" t="str">
        <f t="shared" si="13"/>
        <v>SPAE132T2</v>
      </c>
      <c r="X148">
        <v>36.065399999999997</v>
      </c>
      <c r="Z148" t="s">
        <v>1312</v>
      </c>
      <c r="AA148" t="s">
        <v>807</v>
      </c>
      <c r="AB148" t="s">
        <v>1801</v>
      </c>
      <c r="AD148" t="s">
        <v>1803</v>
      </c>
      <c r="AE148">
        <v>36.065399999999997</v>
      </c>
      <c r="AF148">
        <v>62124</v>
      </c>
      <c r="AH148" t="s">
        <v>2013</v>
      </c>
    </row>
    <row r="149" spans="1:34" x14ac:dyDescent="0.25">
      <c r="A149" s="23" t="s">
        <v>95</v>
      </c>
      <c r="B149" s="17" t="s">
        <v>99</v>
      </c>
      <c r="C149" s="72">
        <v>68.786900000000003</v>
      </c>
      <c r="D149" s="72"/>
      <c r="E149" s="241" t="s">
        <v>516</v>
      </c>
      <c r="G149" s="244"/>
      <c r="H149">
        <f t="shared" si="11"/>
        <v>51084</v>
      </c>
      <c r="I149" t="s">
        <v>807</v>
      </c>
      <c r="J149">
        <v>48.8</v>
      </c>
      <c r="K149" t="s">
        <v>1480</v>
      </c>
      <c r="M149" t="str">
        <f t="shared" si="14"/>
        <v>TMSY132T2</v>
      </c>
      <c r="N149" t="str">
        <f>VLOOKUP(H149,'TNB Load'!$A$2:$F$1448,6,FALSE)</f>
        <v>SELANGOR</v>
      </c>
      <c r="O149">
        <f t="shared" si="15"/>
        <v>15.476599999999999</v>
      </c>
      <c r="R149">
        <v>62117</v>
      </c>
      <c r="S149" t="s">
        <v>1313</v>
      </c>
      <c r="T149" t="s">
        <v>804</v>
      </c>
      <c r="U149" t="str">
        <f t="shared" si="12"/>
        <v>SPG4132</v>
      </c>
      <c r="W149" t="str">
        <f t="shared" si="13"/>
        <v>SPG4132T1</v>
      </c>
      <c r="X149">
        <v>0</v>
      </c>
      <c r="Z149" t="s">
        <v>1313</v>
      </c>
      <c r="AA149" t="s">
        <v>804</v>
      </c>
      <c r="AB149" t="s">
        <v>1804</v>
      </c>
      <c r="AD149" t="s">
        <v>1805</v>
      </c>
      <c r="AE149">
        <v>0</v>
      </c>
      <c r="AF149">
        <v>62117</v>
      </c>
      <c r="AH149" t="s">
        <v>2238</v>
      </c>
    </row>
    <row r="150" spans="1:34" x14ac:dyDescent="0.25">
      <c r="A150" s="13" t="s">
        <v>95</v>
      </c>
      <c r="B150" s="14" t="s">
        <v>99</v>
      </c>
      <c r="C150" s="91">
        <v>60.301600000000001</v>
      </c>
      <c r="D150" s="91"/>
      <c r="E150" s="14" t="s">
        <v>515</v>
      </c>
      <c r="G150" s="244"/>
      <c r="H150">
        <f t="shared" si="11"/>
        <v>51084</v>
      </c>
      <c r="I150" t="s">
        <v>804</v>
      </c>
      <c r="J150">
        <v>48.8</v>
      </c>
      <c r="K150" t="str">
        <f>K149</f>
        <v>TMSY132</v>
      </c>
      <c r="M150" t="str">
        <f t="shared" si="14"/>
        <v>TMSY132T1</v>
      </c>
      <c r="N150" t="str">
        <f>VLOOKUP(H150,'TNB Load'!$A$2:$F$1448,6,FALSE)</f>
        <v>SELANGOR</v>
      </c>
      <c r="O150">
        <f t="shared" si="15"/>
        <v>15.5138</v>
      </c>
      <c r="R150">
        <v>562117</v>
      </c>
      <c r="S150" t="s">
        <v>1314</v>
      </c>
      <c r="T150" t="s">
        <v>807</v>
      </c>
      <c r="U150" t="str">
        <f t="shared" si="12"/>
        <v>SPG4132</v>
      </c>
      <c r="W150" t="str">
        <f t="shared" si="13"/>
        <v>SPG4132T2</v>
      </c>
      <c r="X150">
        <v>0</v>
      </c>
      <c r="Z150" t="s">
        <v>1314</v>
      </c>
      <c r="AA150" t="s">
        <v>807</v>
      </c>
      <c r="AB150" t="s">
        <v>1804</v>
      </c>
      <c r="AD150" t="s">
        <v>1806</v>
      </c>
      <c r="AE150">
        <v>0</v>
      </c>
      <c r="AF150">
        <v>562117</v>
      </c>
      <c r="AH150" t="s">
        <v>2237</v>
      </c>
    </row>
    <row r="151" spans="1:34" x14ac:dyDescent="0.25">
      <c r="A151" s="6" t="s">
        <v>526</v>
      </c>
      <c r="B151" s="7" t="s">
        <v>477</v>
      </c>
      <c r="C151" s="236">
        <v>35.934699999999999</v>
      </c>
      <c r="D151" s="236"/>
      <c r="E151" s="7" t="s">
        <v>558</v>
      </c>
      <c r="G151" s="244"/>
      <c r="H151">
        <f t="shared" si="11"/>
        <v>96144</v>
      </c>
      <c r="I151" t="s">
        <v>807</v>
      </c>
      <c r="J151">
        <v>48.8</v>
      </c>
      <c r="K151" t="s">
        <v>1481</v>
      </c>
      <c r="M151" t="str">
        <f t="shared" si="14"/>
        <v>TKMG132T2</v>
      </c>
      <c r="N151" t="str">
        <f>VLOOKUP(H151,'TNB Load'!$A$2:$F$1448,6,FALSE)</f>
        <v>NS</v>
      </c>
      <c r="O151">
        <f t="shared" si="15"/>
        <v>6.827</v>
      </c>
      <c r="R151">
        <v>62135</v>
      </c>
      <c r="S151" t="s">
        <v>1317</v>
      </c>
      <c r="T151" t="s">
        <v>804</v>
      </c>
      <c r="U151" t="str">
        <f t="shared" si="12"/>
        <v>SPNG132</v>
      </c>
      <c r="W151" t="str">
        <f t="shared" si="13"/>
        <v>SPNG132T1</v>
      </c>
      <c r="X151">
        <v>27.458300000000001</v>
      </c>
      <c r="Z151" t="s">
        <v>1317</v>
      </c>
      <c r="AA151" t="s">
        <v>804</v>
      </c>
      <c r="AB151" t="s">
        <v>1807</v>
      </c>
      <c r="AD151" t="s">
        <v>1808</v>
      </c>
      <c r="AE151">
        <v>27.458300000000001</v>
      </c>
      <c r="AF151">
        <v>62135</v>
      </c>
      <c r="AH151" t="s">
        <v>2500</v>
      </c>
    </row>
    <row r="152" spans="1:34" x14ac:dyDescent="0.25">
      <c r="A152" s="6" t="s">
        <v>555</v>
      </c>
      <c r="B152" s="7" t="s">
        <v>152</v>
      </c>
      <c r="C152" s="259">
        <v>41</v>
      </c>
      <c r="D152" s="236"/>
      <c r="E152" s="268" t="s">
        <v>559</v>
      </c>
      <c r="G152" s="244"/>
      <c r="H152">
        <f t="shared" si="11"/>
        <v>96144</v>
      </c>
      <c r="I152" t="s">
        <v>804</v>
      </c>
      <c r="J152">
        <v>48.8</v>
      </c>
      <c r="K152" t="str">
        <f>K151</f>
        <v>TKMG132</v>
      </c>
      <c r="M152" t="str">
        <f t="shared" si="14"/>
        <v>TKMG132T1</v>
      </c>
      <c r="N152" t="str">
        <f>VLOOKUP(H152,'TNB Load'!$A$2:$F$1448,6,FALSE)</f>
        <v>NS</v>
      </c>
      <c r="O152">
        <f t="shared" si="15"/>
        <v>6.8529</v>
      </c>
      <c r="R152">
        <v>62135</v>
      </c>
      <c r="S152" t="s">
        <v>1317</v>
      </c>
      <c r="T152" t="s">
        <v>807</v>
      </c>
      <c r="U152" t="str">
        <f t="shared" si="12"/>
        <v>SPNG132</v>
      </c>
      <c r="W152" t="str">
        <f t="shared" si="13"/>
        <v>SPNG132T2</v>
      </c>
      <c r="X152">
        <v>25.937200000000001</v>
      </c>
      <c r="Z152" t="s">
        <v>1317</v>
      </c>
      <c r="AA152" t="s">
        <v>807</v>
      </c>
      <c r="AB152" t="s">
        <v>1807</v>
      </c>
      <c r="AD152" t="s">
        <v>1809</v>
      </c>
      <c r="AE152">
        <v>25.937200000000001</v>
      </c>
      <c r="AF152">
        <v>62135</v>
      </c>
      <c r="AH152" t="s">
        <v>2499</v>
      </c>
    </row>
    <row r="153" spans="1:34" x14ac:dyDescent="0.25">
      <c r="A153" s="6" t="s">
        <v>556</v>
      </c>
      <c r="B153" s="7" t="s">
        <v>44</v>
      </c>
      <c r="C153" s="259"/>
      <c r="D153" s="236"/>
      <c r="E153" s="268"/>
      <c r="G153" s="244"/>
      <c r="H153">
        <f t="shared" si="11"/>
        <v>96147</v>
      </c>
      <c r="I153" t="s">
        <v>807</v>
      </c>
      <c r="J153">
        <v>48.8</v>
      </c>
      <c r="K153" t="s">
        <v>1482</v>
      </c>
      <c r="M153" t="str">
        <f t="shared" si="14"/>
        <v>PPJG132T2</v>
      </c>
      <c r="N153" t="str">
        <f>VLOOKUP(H153,'TNB Load'!$A$2:$F$1448,6,FALSE)</f>
        <v>MELAKA</v>
      </c>
      <c r="O153">
        <f t="shared" si="15"/>
        <v>10.589</v>
      </c>
      <c r="R153">
        <v>62125</v>
      </c>
      <c r="S153" t="s">
        <v>1353</v>
      </c>
      <c r="T153" t="s">
        <v>804</v>
      </c>
      <c r="U153" t="str">
        <f t="shared" si="12"/>
        <v>TGLR132</v>
      </c>
      <c r="W153" t="str">
        <f t="shared" si="13"/>
        <v>TGLR132T1</v>
      </c>
      <c r="X153">
        <v>20.497699999999998</v>
      </c>
      <c r="Z153" t="s">
        <v>1353</v>
      </c>
      <c r="AA153" t="s">
        <v>804</v>
      </c>
      <c r="AB153" t="s">
        <v>1810</v>
      </c>
      <c r="AD153" t="s">
        <v>1811</v>
      </c>
      <c r="AE153">
        <v>20.497699999999998</v>
      </c>
      <c r="AF153">
        <v>62125</v>
      </c>
      <c r="AH153" t="s">
        <v>2574</v>
      </c>
    </row>
    <row r="154" spans="1:34" x14ac:dyDescent="0.25">
      <c r="A154" s="6" t="s">
        <v>96</v>
      </c>
      <c r="B154" s="7" t="s">
        <v>102</v>
      </c>
      <c r="C154" s="236" t="s">
        <v>692</v>
      </c>
      <c r="D154" s="236"/>
      <c r="E154" s="7" t="s">
        <v>560</v>
      </c>
      <c r="G154" s="244"/>
      <c r="H154">
        <f t="shared" si="11"/>
        <v>96147</v>
      </c>
      <c r="I154" t="s">
        <v>804</v>
      </c>
      <c r="J154">
        <v>48.8</v>
      </c>
      <c r="K154" t="str">
        <f>K153</f>
        <v>PPJG132</v>
      </c>
      <c r="M154" t="str">
        <f t="shared" si="14"/>
        <v>PPJG132T1</v>
      </c>
      <c r="N154" t="str">
        <f>VLOOKUP(H154,'TNB Load'!$A$2:$F$1448,6,FALSE)</f>
        <v>MELAKA</v>
      </c>
      <c r="O154">
        <f t="shared" si="15"/>
        <v>0</v>
      </c>
      <c r="R154">
        <v>62125</v>
      </c>
      <c r="S154" t="s">
        <v>1353</v>
      </c>
      <c r="T154" t="s">
        <v>807</v>
      </c>
      <c r="U154" t="str">
        <f t="shared" si="12"/>
        <v>TGLR132</v>
      </c>
      <c r="W154" t="str">
        <f t="shared" si="13"/>
        <v>TGLR132T2</v>
      </c>
      <c r="X154">
        <v>20.636399999999998</v>
      </c>
      <c r="Z154" t="s">
        <v>1353</v>
      </c>
      <c r="AA154" t="s">
        <v>807</v>
      </c>
      <c r="AB154" t="s">
        <v>1810</v>
      </c>
      <c r="AD154" t="s">
        <v>1812</v>
      </c>
      <c r="AE154">
        <v>20.636399999999998</v>
      </c>
      <c r="AF154">
        <v>62125</v>
      </c>
      <c r="AH154" t="s">
        <v>2573</v>
      </c>
    </row>
    <row r="155" spans="1:34" x14ac:dyDescent="0.25">
      <c r="A155" s="6" t="s">
        <v>97</v>
      </c>
      <c r="B155" s="7" t="s">
        <v>103</v>
      </c>
      <c r="C155" s="236">
        <v>100.9312</v>
      </c>
      <c r="D155" s="236"/>
      <c r="E155" s="7" t="s">
        <v>562</v>
      </c>
      <c r="G155" s="244"/>
      <c r="H155">
        <f t="shared" si="11"/>
        <v>96173</v>
      </c>
      <c r="I155" t="s">
        <v>812</v>
      </c>
      <c r="J155">
        <v>48.8</v>
      </c>
      <c r="K155" t="s">
        <v>1483</v>
      </c>
      <c r="M155" t="str">
        <f t="shared" si="14"/>
        <v>MTNH132T6</v>
      </c>
      <c r="N155" t="str">
        <f>VLOOKUP(H155,'TNB Load'!$A$2:$F$1448,6,FALSE)</f>
        <v>MELAKA</v>
      </c>
      <c r="O155">
        <f t="shared" si="15"/>
        <v>11.4733</v>
      </c>
      <c r="R155">
        <v>62127</v>
      </c>
      <c r="S155" t="s">
        <v>1355</v>
      </c>
      <c r="T155" t="s">
        <v>804</v>
      </c>
      <c r="U155" t="str">
        <f t="shared" si="12"/>
        <v>TGTK132</v>
      </c>
      <c r="W155" t="str">
        <f t="shared" si="13"/>
        <v>TGTK132T1</v>
      </c>
      <c r="X155">
        <v>21.5425</v>
      </c>
      <c r="Z155" t="s">
        <v>1355</v>
      </c>
      <c r="AA155" t="s">
        <v>804</v>
      </c>
      <c r="AB155" t="s">
        <v>1813</v>
      </c>
      <c r="AD155" t="s">
        <v>1814</v>
      </c>
      <c r="AE155">
        <v>21.5425</v>
      </c>
      <c r="AF155">
        <v>62127</v>
      </c>
      <c r="AH155" t="s">
        <v>2566</v>
      </c>
    </row>
    <row r="156" spans="1:34" x14ac:dyDescent="0.25">
      <c r="A156" s="6" t="s">
        <v>646</v>
      </c>
      <c r="B156" s="7" t="s">
        <v>647</v>
      </c>
      <c r="C156" s="236">
        <v>115.40560000000001</v>
      </c>
      <c r="D156" s="236"/>
      <c r="E156" s="7" t="s">
        <v>648</v>
      </c>
      <c r="G156" s="244"/>
      <c r="H156">
        <f t="shared" si="11"/>
        <v>96173</v>
      </c>
      <c r="I156" t="s">
        <v>810</v>
      </c>
      <c r="J156">
        <v>48.8</v>
      </c>
      <c r="K156" t="str">
        <f t="shared" ref="K156:K157" si="16">K155</f>
        <v>MTNH132</v>
      </c>
      <c r="M156" t="str">
        <f t="shared" si="14"/>
        <v>MTNH132T5</v>
      </c>
      <c r="N156" t="str">
        <f>VLOOKUP(H156,'TNB Load'!$A$2:$F$1448,6,FALSE)</f>
        <v>MELAKA</v>
      </c>
      <c r="O156">
        <f t="shared" si="15"/>
        <v>11.380100000000001</v>
      </c>
      <c r="R156">
        <v>62127</v>
      </c>
      <c r="S156" t="s">
        <v>1355</v>
      </c>
      <c r="T156" t="s">
        <v>807</v>
      </c>
      <c r="U156" t="str">
        <f t="shared" si="12"/>
        <v>TGTK132</v>
      </c>
      <c r="W156" t="str">
        <f t="shared" si="13"/>
        <v>TGTK132T2</v>
      </c>
      <c r="X156">
        <v>21.7807</v>
      </c>
      <c r="Z156" t="s">
        <v>1355</v>
      </c>
      <c r="AA156" t="s">
        <v>807</v>
      </c>
      <c r="AB156" t="s">
        <v>1813</v>
      </c>
      <c r="AD156" t="s">
        <v>1815</v>
      </c>
      <c r="AE156">
        <v>21.7807</v>
      </c>
      <c r="AF156">
        <v>62127</v>
      </c>
      <c r="AH156" t="s">
        <v>2565</v>
      </c>
    </row>
    <row r="157" spans="1:34" x14ac:dyDescent="0.25">
      <c r="A157" s="6" t="s">
        <v>96</v>
      </c>
      <c r="B157" s="7" t="s">
        <v>102</v>
      </c>
      <c r="C157" s="236">
        <v>21.521000000000001</v>
      </c>
      <c r="D157" s="236"/>
      <c r="E157" s="7" t="s">
        <v>563</v>
      </c>
      <c r="G157" s="244"/>
      <c r="H157" t="e">
        <f t="shared" si="11"/>
        <v>#N/A</v>
      </c>
      <c r="I157" s="249" t="s">
        <v>809</v>
      </c>
      <c r="J157" s="249">
        <v>48.8</v>
      </c>
      <c r="K157" s="249" t="str">
        <f t="shared" si="16"/>
        <v>MTNH132</v>
      </c>
      <c r="L157" s="249"/>
      <c r="M157" s="249" t="str">
        <f t="shared" si="14"/>
        <v>MTNH132T4</v>
      </c>
      <c r="N157" t="e">
        <f>VLOOKUP(H157,'TNB Load'!$A$2:$F$1448,6,FALSE)</f>
        <v>#N/A</v>
      </c>
      <c r="O157" s="249" t="e">
        <f t="shared" si="15"/>
        <v>#N/A</v>
      </c>
      <c r="P157" s="249"/>
      <c r="R157">
        <v>62122</v>
      </c>
      <c r="S157" t="s">
        <v>1407</v>
      </c>
      <c r="T157" t="s">
        <v>804</v>
      </c>
      <c r="U157" t="str">
        <f t="shared" si="12"/>
        <v>VDOR132</v>
      </c>
      <c r="W157" t="str">
        <f t="shared" si="13"/>
        <v>VDOR132T1</v>
      </c>
      <c r="X157">
        <v>12.69</v>
      </c>
      <c r="Z157" t="s">
        <v>1407</v>
      </c>
      <c r="AA157" t="s">
        <v>804</v>
      </c>
      <c r="AB157" t="s">
        <v>1592</v>
      </c>
      <c r="AD157" t="s">
        <v>1816</v>
      </c>
      <c r="AE157">
        <v>12.69</v>
      </c>
      <c r="AF157">
        <v>62122</v>
      </c>
      <c r="AH157" t="s">
        <v>3125</v>
      </c>
    </row>
    <row r="158" spans="1:34" x14ac:dyDescent="0.25">
      <c r="A158" s="6" t="s">
        <v>557</v>
      </c>
      <c r="B158" s="7">
        <v>705</v>
      </c>
      <c r="C158" s="259">
        <v>96</v>
      </c>
      <c r="D158" s="236"/>
      <c r="E158" s="261" t="s">
        <v>566</v>
      </c>
      <c r="G158" s="244"/>
      <c r="H158">
        <f t="shared" si="11"/>
        <v>96173</v>
      </c>
      <c r="I158" t="s">
        <v>808</v>
      </c>
      <c r="J158">
        <v>48.8</v>
      </c>
      <c r="K158" t="str">
        <f>K157</f>
        <v>MTNH132</v>
      </c>
      <c r="M158" t="str">
        <f t="shared" ref="M158:M221" si="17">K158&amp;I158</f>
        <v>MTNH132T3</v>
      </c>
      <c r="N158" t="str">
        <f>VLOOKUP(H158,'TNB Load'!$A$2:$F$1448,6,FALSE)</f>
        <v>MELAKA</v>
      </c>
      <c r="O158">
        <f t="shared" ref="O158:O221" si="18">VLOOKUP(M158,$W$3:$X$1300,2,FALSE)</f>
        <v>2.8092999999999999</v>
      </c>
      <c r="R158">
        <v>62122</v>
      </c>
      <c r="S158" t="s">
        <v>1407</v>
      </c>
      <c r="T158" t="s">
        <v>807</v>
      </c>
      <c r="U158" t="str">
        <f t="shared" si="12"/>
        <v>VDOR132</v>
      </c>
      <c r="W158" t="str">
        <f t="shared" si="13"/>
        <v>VDOR132T2</v>
      </c>
      <c r="X158">
        <v>15.5097</v>
      </c>
      <c r="Z158" t="s">
        <v>1407</v>
      </c>
      <c r="AA158" t="s">
        <v>807</v>
      </c>
      <c r="AB158" t="s">
        <v>1592</v>
      </c>
      <c r="AD158" t="s">
        <v>1817</v>
      </c>
      <c r="AE158">
        <v>15.5097</v>
      </c>
      <c r="AF158">
        <v>62122</v>
      </c>
      <c r="AH158" t="s">
        <v>2564</v>
      </c>
    </row>
    <row r="159" spans="1:34" ht="14.45" customHeight="1" x14ac:dyDescent="0.25">
      <c r="A159" s="6" t="s">
        <v>564</v>
      </c>
      <c r="B159" s="7" t="s">
        <v>152</v>
      </c>
      <c r="C159" s="259"/>
      <c r="D159" s="236"/>
      <c r="E159" s="261"/>
      <c r="G159" s="244"/>
      <c r="H159">
        <f t="shared" si="11"/>
        <v>96173</v>
      </c>
      <c r="I159" t="s">
        <v>807</v>
      </c>
      <c r="J159">
        <v>48.8</v>
      </c>
      <c r="K159" t="str">
        <f>K158</f>
        <v>MTNH132</v>
      </c>
      <c r="M159" t="str">
        <f t="shared" si="17"/>
        <v>MTNH132T2</v>
      </c>
      <c r="N159" t="str">
        <f>VLOOKUP(H159,'TNB Load'!$A$2:$F$1448,6,FALSE)</f>
        <v>MELAKA</v>
      </c>
      <c r="O159">
        <f t="shared" si="18"/>
        <v>6.2450999999999999</v>
      </c>
      <c r="R159">
        <v>62122</v>
      </c>
      <c r="S159" t="s">
        <v>1407</v>
      </c>
      <c r="T159" t="s">
        <v>848</v>
      </c>
      <c r="U159" t="str">
        <f t="shared" si="12"/>
        <v>VDOR132</v>
      </c>
      <c r="W159" t="str">
        <f t="shared" si="13"/>
        <v>VDOR132T7</v>
      </c>
      <c r="X159">
        <v>14.6066</v>
      </c>
      <c r="Z159" t="s">
        <v>1407</v>
      </c>
      <c r="AA159" t="s">
        <v>848</v>
      </c>
      <c r="AB159" t="s">
        <v>1592</v>
      </c>
      <c r="AD159" t="s">
        <v>1818</v>
      </c>
      <c r="AE159">
        <v>14.6066</v>
      </c>
      <c r="AF159">
        <v>62122</v>
      </c>
      <c r="AH159" t="s">
        <v>2563</v>
      </c>
    </row>
    <row r="160" spans="1:34" x14ac:dyDescent="0.25">
      <c r="A160" s="6" t="s">
        <v>148</v>
      </c>
      <c r="B160" s="7" t="s">
        <v>544</v>
      </c>
      <c r="C160" s="236">
        <v>91.951700000000002</v>
      </c>
      <c r="D160" s="236"/>
      <c r="E160" s="7" t="s">
        <v>561</v>
      </c>
      <c r="G160" s="244"/>
      <c r="H160">
        <f t="shared" si="11"/>
        <v>96173</v>
      </c>
      <c r="I160" t="s">
        <v>804</v>
      </c>
      <c r="J160">
        <v>48.8</v>
      </c>
      <c r="K160" t="str">
        <f>K159</f>
        <v>MTNH132</v>
      </c>
      <c r="M160" t="str">
        <f t="shared" si="17"/>
        <v>MTNH132T1</v>
      </c>
      <c r="N160" t="str">
        <f>VLOOKUP(H160,'TNB Load'!$A$2:$F$1448,6,FALSE)</f>
        <v>MELAKA</v>
      </c>
      <c r="O160">
        <f t="shared" si="18"/>
        <v>6.2285000000000004</v>
      </c>
      <c r="R160">
        <v>562122</v>
      </c>
      <c r="S160" t="s">
        <v>1408</v>
      </c>
      <c r="T160" t="s">
        <v>848</v>
      </c>
      <c r="U160" t="str">
        <f t="shared" si="12"/>
        <v>VDOR_T7</v>
      </c>
      <c r="W160" t="str">
        <f t="shared" si="13"/>
        <v>VDOR_T7T7</v>
      </c>
      <c r="X160">
        <v>0</v>
      </c>
      <c r="Z160" t="s">
        <v>1408</v>
      </c>
      <c r="AA160" t="s">
        <v>848</v>
      </c>
      <c r="AB160" t="s">
        <v>1819</v>
      </c>
      <c r="AD160" t="s">
        <v>1820</v>
      </c>
      <c r="AE160">
        <v>0</v>
      </c>
      <c r="AF160">
        <v>562122</v>
      </c>
      <c r="AH160" t="s">
        <v>2562</v>
      </c>
    </row>
    <row r="161" spans="1:34" x14ac:dyDescent="0.25">
      <c r="A161" s="6" t="s">
        <v>148</v>
      </c>
      <c r="B161" s="7" t="s">
        <v>544</v>
      </c>
      <c r="C161" s="236">
        <v>148.42449999999999</v>
      </c>
      <c r="D161" s="236"/>
      <c r="E161" s="71" t="s">
        <v>694</v>
      </c>
      <c r="G161" s="244"/>
      <c r="H161">
        <f t="shared" si="11"/>
        <v>96135</v>
      </c>
      <c r="I161" t="s">
        <v>809</v>
      </c>
      <c r="J161">
        <v>48.8</v>
      </c>
      <c r="K161" t="s">
        <v>1484</v>
      </c>
      <c r="M161" t="str">
        <f t="shared" si="17"/>
        <v>TJID132T4</v>
      </c>
      <c r="N161" t="str">
        <f>VLOOKUP(H161,'TNB Load'!$A$2:$F$1448,6,FALSE)</f>
        <v>NS</v>
      </c>
      <c r="O161">
        <f t="shared" si="18"/>
        <v>19.9893</v>
      </c>
      <c r="R161">
        <v>63106</v>
      </c>
      <c r="S161" t="s">
        <v>871</v>
      </c>
      <c r="T161" t="s">
        <v>804</v>
      </c>
      <c r="U161" t="str">
        <f t="shared" si="12"/>
        <v>BDOR132</v>
      </c>
      <c r="W161" t="str">
        <f t="shared" si="13"/>
        <v>BDOR132T1</v>
      </c>
      <c r="X161">
        <v>13.738</v>
      </c>
      <c r="Z161" t="s">
        <v>871</v>
      </c>
      <c r="AA161" t="s">
        <v>804</v>
      </c>
      <c r="AB161" t="s">
        <v>1821</v>
      </c>
      <c r="AD161" t="s">
        <v>1822</v>
      </c>
      <c r="AE161">
        <v>13.738</v>
      </c>
      <c r="AF161">
        <v>63106</v>
      </c>
      <c r="AH161" t="s">
        <v>2498</v>
      </c>
    </row>
    <row r="162" spans="1:34" x14ac:dyDescent="0.25">
      <c r="A162" s="37" t="s">
        <v>95</v>
      </c>
      <c r="B162" s="35" t="s">
        <v>99</v>
      </c>
      <c r="C162" s="77">
        <v>57.145600000000002</v>
      </c>
      <c r="D162" s="77"/>
      <c r="E162" s="94" t="s">
        <v>693</v>
      </c>
      <c r="G162" s="244"/>
      <c r="H162">
        <f t="shared" si="11"/>
        <v>96135</v>
      </c>
      <c r="I162" t="s">
        <v>808</v>
      </c>
      <c r="J162">
        <v>48.8</v>
      </c>
      <c r="K162" t="str">
        <f t="shared" ref="K162:K164" si="19">K161</f>
        <v>TJID132</v>
      </c>
      <c r="M162" t="str">
        <f t="shared" si="17"/>
        <v>TJID132T3</v>
      </c>
      <c r="N162" t="str">
        <f>VLOOKUP(H162,'TNB Load'!$A$2:$F$1448,6,FALSE)</f>
        <v>NS</v>
      </c>
      <c r="O162">
        <f t="shared" si="18"/>
        <v>19.967500000000001</v>
      </c>
      <c r="R162">
        <v>63106</v>
      </c>
      <c r="S162" t="s">
        <v>871</v>
      </c>
      <c r="T162" t="s">
        <v>807</v>
      </c>
      <c r="U162" t="str">
        <f t="shared" si="12"/>
        <v>BDOR132</v>
      </c>
      <c r="W162" t="str">
        <f t="shared" si="13"/>
        <v>BDOR132T2</v>
      </c>
      <c r="X162">
        <v>6.7866999999999997</v>
      </c>
      <c r="Z162" t="s">
        <v>871</v>
      </c>
      <c r="AA162" t="s">
        <v>807</v>
      </c>
      <c r="AB162" t="s">
        <v>1821</v>
      </c>
      <c r="AD162" t="s">
        <v>1823</v>
      </c>
      <c r="AE162">
        <v>6.7866999999999997</v>
      </c>
      <c r="AF162">
        <v>63106</v>
      </c>
      <c r="AH162" t="s">
        <v>2497</v>
      </c>
    </row>
    <row r="163" spans="1:34" x14ac:dyDescent="0.25">
      <c r="A163" s="6" t="s">
        <v>549</v>
      </c>
      <c r="B163" s="7" t="s">
        <v>44</v>
      </c>
      <c r="C163" s="259">
        <v>144</v>
      </c>
      <c r="D163" s="236"/>
      <c r="E163" s="261" t="s">
        <v>565</v>
      </c>
      <c r="G163" s="244"/>
      <c r="H163">
        <f t="shared" si="11"/>
        <v>96135</v>
      </c>
      <c r="I163" t="s">
        <v>807</v>
      </c>
      <c r="J163">
        <v>48.8</v>
      </c>
      <c r="K163" t="str">
        <f t="shared" si="19"/>
        <v>TJID132</v>
      </c>
      <c r="M163" t="str">
        <f t="shared" si="17"/>
        <v>TJID132T2</v>
      </c>
      <c r="N163" t="str">
        <f>VLOOKUP(H163,'TNB Load'!$A$2:$F$1448,6,FALSE)</f>
        <v>NS</v>
      </c>
      <c r="O163">
        <f t="shared" si="18"/>
        <v>7.8615000000000004</v>
      </c>
      <c r="R163">
        <v>63106</v>
      </c>
      <c r="S163" t="s">
        <v>871</v>
      </c>
      <c r="T163" t="s">
        <v>808</v>
      </c>
      <c r="U163" t="str">
        <f t="shared" si="12"/>
        <v>BDOR132</v>
      </c>
      <c r="W163" t="str">
        <f t="shared" si="13"/>
        <v>BDOR132T3</v>
      </c>
      <c r="X163">
        <v>15.8017</v>
      </c>
      <c r="Z163" t="s">
        <v>871</v>
      </c>
      <c r="AA163" t="s">
        <v>808</v>
      </c>
      <c r="AB163" t="s">
        <v>1821</v>
      </c>
      <c r="AD163" t="s">
        <v>1824</v>
      </c>
      <c r="AE163">
        <v>15.8017</v>
      </c>
      <c r="AF163">
        <v>63106</v>
      </c>
      <c r="AH163" t="s">
        <v>2496</v>
      </c>
    </row>
    <row r="164" spans="1:34" x14ac:dyDescent="0.25">
      <c r="A164" s="37" t="s">
        <v>552</v>
      </c>
      <c r="B164" s="35" t="s">
        <v>44</v>
      </c>
      <c r="C164" s="259"/>
      <c r="D164" s="236"/>
      <c r="E164" s="261"/>
      <c r="G164" s="244"/>
      <c r="H164">
        <f t="shared" si="11"/>
        <v>96135</v>
      </c>
      <c r="I164" t="s">
        <v>804</v>
      </c>
      <c r="J164">
        <v>48.8</v>
      </c>
      <c r="K164" t="str">
        <f t="shared" si="19"/>
        <v>TJID132</v>
      </c>
      <c r="M164" t="str">
        <f t="shared" si="17"/>
        <v>TJID132T1</v>
      </c>
      <c r="N164" t="str">
        <f>VLOOKUP(H164,'TNB Load'!$A$2:$F$1448,6,FALSE)</f>
        <v>NS</v>
      </c>
      <c r="O164">
        <f t="shared" si="18"/>
        <v>11.1275</v>
      </c>
      <c r="R164">
        <v>63106</v>
      </c>
      <c r="S164" t="s">
        <v>871</v>
      </c>
      <c r="T164" t="s">
        <v>809</v>
      </c>
      <c r="U164" t="str">
        <f t="shared" si="12"/>
        <v>BDOR132</v>
      </c>
      <c r="W164" t="str">
        <f t="shared" si="13"/>
        <v>BDOR132T4</v>
      </c>
      <c r="X164">
        <v>15.7965</v>
      </c>
      <c r="Z164" t="s">
        <v>871</v>
      </c>
      <c r="AA164" t="s">
        <v>809</v>
      </c>
      <c r="AB164" t="s">
        <v>1821</v>
      </c>
      <c r="AD164" t="s">
        <v>1825</v>
      </c>
      <c r="AE164">
        <v>15.7965</v>
      </c>
      <c r="AF164">
        <v>63106</v>
      </c>
      <c r="AH164" t="s">
        <v>2495</v>
      </c>
    </row>
    <row r="165" spans="1:34" x14ac:dyDescent="0.25">
      <c r="A165" s="22" t="s">
        <v>95</v>
      </c>
      <c r="B165" s="17" t="s">
        <v>99</v>
      </c>
      <c r="C165" s="72">
        <v>80.565700000000007</v>
      </c>
      <c r="D165" s="72"/>
      <c r="E165" s="17" t="s">
        <v>582</v>
      </c>
      <c r="G165" s="244"/>
      <c r="H165">
        <f t="shared" si="11"/>
        <v>96129</v>
      </c>
      <c r="I165" t="s">
        <v>807</v>
      </c>
      <c r="J165">
        <v>48.8</v>
      </c>
      <c r="K165" t="s">
        <v>1485</v>
      </c>
      <c r="M165" t="str">
        <f t="shared" si="17"/>
        <v>TTJF132T2</v>
      </c>
      <c r="N165" t="str">
        <f>VLOOKUP(H165,'TNB Load'!$A$2:$F$1448,6,FALSE)</f>
        <v>NS</v>
      </c>
      <c r="O165">
        <f t="shared" si="18"/>
        <v>14.902900000000001</v>
      </c>
      <c r="R165">
        <v>63153</v>
      </c>
      <c r="S165" t="s">
        <v>891</v>
      </c>
      <c r="T165" t="s">
        <v>808</v>
      </c>
      <c r="U165" t="str">
        <f t="shared" si="12"/>
        <v>BMRH132</v>
      </c>
      <c r="W165" t="str">
        <f t="shared" si="13"/>
        <v>BMRH132T3</v>
      </c>
      <c r="X165">
        <v>11.948600000000001</v>
      </c>
      <c r="Z165" t="s">
        <v>891</v>
      </c>
      <c r="AA165" t="s">
        <v>808</v>
      </c>
      <c r="AB165" t="s">
        <v>1826</v>
      </c>
      <c r="AD165" t="s">
        <v>1827</v>
      </c>
      <c r="AE165">
        <v>11.948600000000001</v>
      </c>
      <c r="AF165">
        <v>63153</v>
      </c>
      <c r="AH165" t="s">
        <v>2502</v>
      </c>
    </row>
    <row r="166" spans="1:34" x14ac:dyDescent="0.25">
      <c r="A166" s="22" t="s">
        <v>579</v>
      </c>
      <c r="B166" s="17" t="s">
        <v>39</v>
      </c>
      <c r="C166" s="263"/>
      <c r="D166" s="239"/>
      <c r="E166" s="258"/>
      <c r="G166" s="244"/>
      <c r="H166">
        <f t="shared" si="11"/>
        <v>96129</v>
      </c>
      <c r="I166" t="s">
        <v>804</v>
      </c>
      <c r="J166">
        <v>48.8</v>
      </c>
      <c r="K166" t="str">
        <f>K165</f>
        <v>TTJF132</v>
      </c>
      <c r="M166" t="str">
        <f t="shared" si="17"/>
        <v>TTJF132T1</v>
      </c>
      <c r="N166" t="str">
        <f>VLOOKUP(H166,'TNB Load'!$A$2:$F$1448,6,FALSE)</f>
        <v>NS</v>
      </c>
      <c r="O166">
        <f t="shared" si="18"/>
        <v>14.867699999999999</v>
      </c>
      <c r="R166">
        <v>63153</v>
      </c>
      <c r="S166" t="s">
        <v>891</v>
      </c>
      <c r="T166" t="s">
        <v>809</v>
      </c>
      <c r="U166" t="str">
        <f t="shared" si="12"/>
        <v>BMRH132</v>
      </c>
      <c r="W166" t="str">
        <f t="shared" si="13"/>
        <v>BMRH132T4</v>
      </c>
      <c r="X166">
        <v>11.9787</v>
      </c>
      <c r="Z166" t="s">
        <v>891</v>
      </c>
      <c r="AA166" t="s">
        <v>809</v>
      </c>
      <c r="AB166" t="s">
        <v>1826</v>
      </c>
      <c r="AD166" t="s">
        <v>1828</v>
      </c>
      <c r="AE166">
        <v>11.9787</v>
      </c>
      <c r="AF166">
        <v>63153</v>
      </c>
      <c r="AH166" t="s">
        <v>2501</v>
      </c>
    </row>
    <row r="167" spans="1:34" x14ac:dyDescent="0.25">
      <c r="A167" s="22" t="s">
        <v>580</v>
      </c>
      <c r="B167" s="17" t="s">
        <v>152</v>
      </c>
      <c r="C167" s="263"/>
      <c r="D167" s="239"/>
      <c r="E167" s="258"/>
      <c r="G167" s="244"/>
      <c r="H167">
        <f t="shared" si="11"/>
        <v>96193</v>
      </c>
      <c r="I167" t="s">
        <v>810</v>
      </c>
      <c r="J167">
        <v>48.8</v>
      </c>
      <c r="K167" t="s">
        <v>1486</v>
      </c>
      <c r="M167" t="str">
        <f t="shared" si="17"/>
        <v>SSUN132T5</v>
      </c>
      <c r="N167" t="str">
        <f>VLOOKUP(H167,'TNB Load'!$A$2:$F$1448,6,FALSE)</f>
        <v>NS</v>
      </c>
      <c r="O167">
        <f t="shared" si="18"/>
        <v>0</v>
      </c>
      <c r="R167">
        <v>63151</v>
      </c>
      <c r="S167" t="s">
        <v>906</v>
      </c>
      <c r="T167" t="s">
        <v>804</v>
      </c>
      <c r="U167" t="str">
        <f t="shared" si="12"/>
        <v>BSRI132</v>
      </c>
      <c r="W167" t="str">
        <f t="shared" si="13"/>
        <v>BSRI132T1</v>
      </c>
      <c r="X167">
        <v>6.3879999999999999</v>
      </c>
      <c r="Z167" t="s">
        <v>906</v>
      </c>
      <c r="AA167" t="s">
        <v>804</v>
      </c>
      <c r="AB167" t="s">
        <v>1829</v>
      </c>
      <c r="AD167" t="s">
        <v>1830</v>
      </c>
      <c r="AE167">
        <v>6.3879999999999999</v>
      </c>
      <c r="AF167">
        <v>63151</v>
      </c>
      <c r="AH167" t="s">
        <v>3116</v>
      </c>
    </row>
    <row r="168" spans="1:34" x14ac:dyDescent="0.25">
      <c r="A168" s="22" t="s">
        <v>581</v>
      </c>
      <c r="B168" s="17" t="s">
        <v>44</v>
      </c>
      <c r="C168" s="263"/>
      <c r="D168" s="239"/>
      <c r="E168" s="258"/>
      <c r="G168" s="244"/>
      <c r="H168">
        <f t="shared" si="11"/>
        <v>96193</v>
      </c>
      <c r="I168" t="s">
        <v>809</v>
      </c>
      <c r="J168">
        <v>48.8</v>
      </c>
      <c r="K168" t="str">
        <f t="shared" ref="K168:K171" si="20">K167</f>
        <v>SSUN132</v>
      </c>
      <c r="M168" t="str">
        <f t="shared" si="17"/>
        <v>SSUN132T4</v>
      </c>
      <c r="N168" t="str">
        <f>VLOOKUP(H168,'TNB Load'!$A$2:$F$1448,6,FALSE)</f>
        <v>NS</v>
      </c>
      <c r="O168">
        <f t="shared" si="18"/>
        <v>0</v>
      </c>
      <c r="R168">
        <v>63151</v>
      </c>
      <c r="S168" t="s">
        <v>906</v>
      </c>
      <c r="T168" t="s">
        <v>807</v>
      </c>
      <c r="U168" t="str">
        <f t="shared" si="12"/>
        <v>BSRI132</v>
      </c>
      <c r="W168" t="str">
        <f t="shared" si="13"/>
        <v>BSRI132T2</v>
      </c>
      <c r="X168">
        <v>15.8276</v>
      </c>
      <c r="Z168" t="s">
        <v>906</v>
      </c>
      <c r="AA168" t="s">
        <v>807</v>
      </c>
      <c r="AB168" t="s">
        <v>1829</v>
      </c>
      <c r="AD168" t="s">
        <v>1831</v>
      </c>
      <c r="AE168">
        <v>15.8276</v>
      </c>
      <c r="AF168">
        <v>63151</v>
      </c>
      <c r="AH168" t="s">
        <v>3115</v>
      </c>
    </row>
    <row r="169" spans="1:34" x14ac:dyDescent="0.25">
      <c r="A169" s="22" t="s">
        <v>578</v>
      </c>
      <c r="B169" s="17" t="s">
        <v>152</v>
      </c>
      <c r="C169" s="263"/>
      <c r="D169" s="239"/>
      <c r="E169" s="258"/>
      <c r="G169" s="244"/>
      <c r="H169">
        <f t="shared" si="11"/>
        <v>96193</v>
      </c>
      <c r="I169" t="s">
        <v>808</v>
      </c>
      <c r="J169">
        <v>48.8</v>
      </c>
      <c r="K169" t="str">
        <f t="shared" si="20"/>
        <v>SSUN132</v>
      </c>
      <c r="M169" t="str">
        <f t="shared" si="17"/>
        <v>SSUN132T3</v>
      </c>
      <c r="N169" t="str">
        <f>VLOOKUP(H169,'TNB Load'!$A$2:$F$1448,6,FALSE)</f>
        <v>NS</v>
      </c>
      <c r="O169">
        <f t="shared" si="18"/>
        <v>0</v>
      </c>
      <c r="R169">
        <v>63166</v>
      </c>
      <c r="S169" t="s">
        <v>916</v>
      </c>
      <c r="T169" t="s">
        <v>804</v>
      </c>
      <c r="U169" t="str">
        <f t="shared" si="12"/>
        <v>BTNG132</v>
      </c>
      <c r="W169" t="str">
        <f t="shared" si="13"/>
        <v>BTNG132T1</v>
      </c>
      <c r="X169">
        <v>14.1656</v>
      </c>
      <c r="Z169" t="s">
        <v>916</v>
      </c>
      <c r="AA169" t="s">
        <v>804</v>
      </c>
      <c r="AB169" t="s">
        <v>1832</v>
      </c>
      <c r="AD169" t="s">
        <v>1833</v>
      </c>
      <c r="AE169">
        <v>14.1656</v>
      </c>
      <c r="AF169">
        <v>63166</v>
      </c>
      <c r="AH169" t="s">
        <v>3114</v>
      </c>
    </row>
    <row r="170" spans="1:34" x14ac:dyDescent="0.25">
      <c r="A170" s="22" t="s">
        <v>95</v>
      </c>
      <c r="B170" s="17" t="s">
        <v>99</v>
      </c>
      <c r="C170" s="72">
        <v>51.731200000000001</v>
      </c>
      <c r="D170" s="72"/>
      <c r="E170" s="17" t="s">
        <v>583</v>
      </c>
      <c r="G170" s="244"/>
      <c r="H170">
        <f t="shared" si="11"/>
        <v>596193</v>
      </c>
      <c r="I170" t="s">
        <v>807</v>
      </c>
      <c r="J170">
        <v>48.8</v>
      </c>
      <c r="K170" t="str">
        <f t="shared" si="20"/>
        <v>SSUN132</v>
      </c>
      <c r="M170" t="str">
        <f t="shared" si="17"/>
        <v>SSUN132T2</v>
      </c>
      <c r="N170" t="str">
        <f>VLOOKUP(H170,'TNB Load'!$A$2:$F$1448,6,FALSE)</f>
        <v>NS</v>
      </c>
      <c r="O170">
        <f t="shared" si="18"/>
        <v>19.271699999999999</v>
      </c>
      <c r="R170">
        <v>63166</v>
      </c>
      <c r="S170" t="s">
        <v>916</v>
      </c>
      <c r="T170" t="s">
        <v>807</v>
      </c>
      <c r="U170" t="str">
        <f t="shared" si="12"/>
        <v>BTNG132</v>
      </c>
      <c r="W170" t="str">
        <f t="shared" si="13"/>
        <v>BTNG132T2</v>
      </c>
      <c r="X170">
        <v>14.310600000000001</v>
      </c>
      <c r="Z170" t="s">
        <v>916</v>
      </c>
      <c r="AA170" t="s">
        <v>807</v>
      </c>
      <c r="AB170" t="s">
        <v>1832</v>
      </c>
      <c r="AD170" t="s">
        <v>1834</v>
      </c>
      <c r="AE170">
        <v>14.310600000000001</v>
      </c>
      <c r="AF170">
        <v>63166</v>
      </c>
      <c r="AH170" t="s">
        <v>3118</v>
      </c>
    </row>
    <row r="171" spans="1:34" x14ac:dyDescent="0.25">
      <c r="A171" s="45" t="s">
        <v>589</v>
      </c>
      <c r="B171" s="46" t="s">
        <v>38</v>
      </c>
      <c r="C171" s="264">
        <v>152</v>
      </c>
      <c r="D171" s="242"/>
      <c r="E171" s="265" t="s">
        <v>584</v>
      </c>
      <c r="G171" s="244"/>
      <c r="H171">
        <f t="shared" si="11"/>
        <v>596193</v>
      </c>
      <c r="I171" t="s">
        <v>804</v>
      </c>
      <c r="J171">
        <v>48.8</v>
      </c>
      <c r="K171" t="str">
        <f t="shared" si="20"/>
        <v>SSUN132</v>
      </c>
      <c r="M171" t="str">
        <f t="shared" si="17"/>
        <v>SSUN132T1</v>
      </c>
      <c r="N171" t="str">
        <f>VLOOKUP(H171,'TNB Load'!$A$2:$F$1448,6,FALSE)</f>
        <v>NS</v>
      </c>
      <c r="O171">
        <f t="shared" si="18"/>
        <v>18.528199999999998</v>
      </c>
      <c r="R171">
        <v>63141</v>
      </c>
      <c r="S171" t="s">
        <v>927</v>
      </c>
      <c r="T171" t="s">
        <v>804</v>
      </c>
      <c r="U171" t="str">
        <f t="shared" si="12"/>
        <v>CEND132</v>
      </c>
      <c r="W171" t="str">
        <f t="shared" si="13"/>
        <v>CEND132T1</v>
      </c>
      <c r="X171">
        <v>8.6226000000000003</v>
      </c>
      <c r="Z171" t="s">
        <v>927</v>
      </c>
      <c r="AA171" t="s">
        <v>804</v>
      </c>
      <c r="AB171" t="s">
        <v>1835</v>
      </c>
      <c r="AD171" t="s">
        <v>1836</v>
      </c>
      <c r="AE171">
        <v>8.6226000000000003</v>
      </c>
      <c r="AF171">
        <v>63141</v>
      </c>
      <c r="AH171" t="s">
        <v>3117</v>
      </c>
    </row>
    <row r="172" spans="1:34" x14ac:dyDescent="0.25">
      <c r="A172" s="22" t="s">
        <v>588</v>
      </c>
      <c r="B172" s="17" t="s">
        <v>39</v>
      </c>
      <c r="C172" s="264"/>
      <c r="D172" s="242"/>
      <c r="E172" s="265"/>
      <c r="G172" s="244"/>
      <c r="H172">
        <f t="shared" si="11"/>
        <v>96190</v>
      </c>
      <c r="I172" t="s">
        <v>807</v>
      </c>
      <c r="J172">
        <v>48.8</v>
      </c>
      <c r="K172" t="s">
        <v>1487</v>
      </c>
      <c r="M172" t="str">
        <f t="shared" si="17"/>
        <v>STRA132T2</v>
      </c>
      <c r="N172" t="str">
        <f>VLOOKUP(H172,'TNB Load'!$A$2:$F$1448,6,FALSE)</f>
        <v>NS</v>
      </c>
      <c r="O172">
        <f t="shared" si="18"/>
        <v>6.9969000000000001</v>
      </c>
      <c r="R172">
        <v>63141</v>
      </c>
      <c r="S172" t="s">
        <v>927</v>
      </c>
      <c r="T172" t="s">
        <v>807</v>
      </c>
      <c r="U172" t="str">
        <f t="shared" si="12"/>
        <v>CEND132</v>
      </c>
      <c r="W172" t="str">
        <f t="shared" si="13"/>
        <v>CEND132T2</v>
      </c>
      <c r="X172">
        <v>8.6039999999999992</v>
      </c>
      <c r="Z172" t="s">
        <v>927</v>
      </c>
      <c r="AA172" t="s">
        <v>807</v>
      </c>
      <c r="AB172" t="s">
        <v>1835</v>
      </c>
      <c r="AD172" t="s">
        <v>1837</v>
      </c>
      <c r="AE172">
        <v>8.6039999999999992</v>
      </c>
      <c r="AF172">
        <v>63141</v>
      </c>
      <c r="AH172" t="s">
        <v>2489</v>
      </c>
    </row>
    <row r="173" spans="1:34" x14ac:dyDescent="0.25">
      <c r="A173" s="22" t="s">
        <v>96</v>
      </c>
      <c r="B173" s="17" t="s">
        <v>102</v>
      </c>
      <c r="C173" s="78">
        <v>7.3648999999999996</v>
      </c>
      <c r="D173" s="78"/>
      <c r="E173" s="17" t="s">
        <v>585</v>
      </c>
      <c r="G173" s="244"/>
      <c r="H173">
        <f t="shared" si="11"/>
        <v>96190</v>
      </c>
      <c r="I173" t="s">
        <v>804</v>
      </c>
      <c r="J173">
        <v>48.8</v>
      </c>
      <c r="K173" t="str">
        <f>K172</f>
        <v>STRA132</v>
      </c>
      <c r="M173" t="str">
        <f t="shared" si="17"/>
        <v>STRA132T1</v>
      </c>
      <c r="N173" t="str">
        <f>VLOOKUP(H173,'TNB Load'!$A$2:$F$1448,6,FALSE)</f>
        <v>NS</v>
      </c>
      <c r="O173">
        <f t="shared" si="18"/>
        <v>13.0794</v>
      </c>
      <c r="R173">
        <v>63124</v>
      </c>
      <c r="S173" t="s">
        <v>975</v>
      </c>
      <c r="T173" t="s">
        <v>804</v>
      </c>
      <c r="U173" t="str">
        <f t="shared" si="12"/>
        <v>GPRD132</v>
      </c>
      <c r="W173" t="str">
        <f t="shared" si="13"/>
        <v>GPRD132T1</v>
      </c>
      <c r="X173">
        <v>5.5316000000000001</v>
      </c>
      <c r="Z173" t="s">
        <v>975</v>
      </c>
      <c r="AA173" t="s">
        <v>804</v>
      </c>
      <c r="AB173" t="s">
        <v>1838</v>
      </c>
      <c r="AD173" t="s">
        <v>1839</v>
      </c>
      <c r="AE173">
        <v>5.5316000000000001</v>
      </c>
      <c r="AF173">
        <v>63124</v>
      </c>
      <c r="AH173" t="s">
        <v>2488</v>
      </c>
    </row>
    <row r="174" spans="1:34" x14ac:dyDescent="0.25">
      <c r="A174" s="22" t="s">
        <v>586</v>
      </c>
      <c r="B174" s="17" t="s">
        <v>44</v>
      </c>
      <c r="C174" s="78">
        <v>111</v>
      </c>
      <c r="D174" s="78"/>
      <c r="E174" s="17" t="s">
        <v>587</v>
      </c>
      <c r="G174" s="244"/>
      <c r="H174">
        <f t="shared" si="11"/>
        <v>74120</v>
      </c>
      <c r="I174" t="s">
        <v>807</v>
      </c>
      <c r="J174">
        <v>48.8</v>
      </c>
      <c r="K174" t="s">
        <v>1488</v>
      </c>
      <c r="M174" t="str">
        <f t="shared" si="17"/>
        <v>BNTA132T2</v>
      </c>
      <c r="N174" t="str">
        <f>VLOOKUP(H174,'TNB Load'!$A$2:$F$1448,6,FALSE)</f>
        <v>PAHANG</v>
      </c>
      <c r="O174">
        <f t="shared" si="18"/>
        <v>2.7896000000000001</v>
      </c>
      <c r="R174">
        <v>63124</v>
      </c>
      <c r="S174" t="s">
        <v>975</v>
      </c>
      <c r="T174" t="s">
        <v>807</v>
      </c>
      <c r="U174" t="str">
        <f t="shared" si="12"/>
        <v>GPRD132</v>
      </c>
      <c r="W174" t="str">
        <f t="shared" si="13"/>
        <v>GPRD132T2</v>
      </c>
      <c r="X174">
        <v>10.539300000000001</v>
      </c>
      <c r="Z174" t="s">
        <v>975</v>
      </c>
      <c r="AA174" t="s">
        <v>807</v>
      </c>
      <c r="AB174" t="s">
        <v>1838</v>
      </c>
      <c r="AD174" t="s">
        <v>1840</v>
      </c>
      <c r="AE174">
        <v>10.539300000000001</v>
      </c>
      <c r="AF174">
        <v>63124</v>
      </c>
      <c r="AH174" t="s">
        <v>2896</v>
      </c>
    </row>
    <row r="175" spans="1:34" x14ac:dyDescent="0.25">
      <c r="A175" s="6" t="s">
        <v>96</v>
      </c>
      <c r="B175" s="7" t="s">
        <v>102</v>
      </c>
      <c r="C175" s="236">
        <v>33.894399999999997</v>
      </c>
      <c r="D175" s="236"/>
      <c r="E175" s="7" t="s">
        <v>609</v>
      </c>
      <c r="G175" s="244"/>
      <c r="H175">
        <f t="shared" si="11"/>
        <v>74120</v>
      </c>
      <c r="I175" t="s">
        <v>804</v>
      </c>
      <c r="J175">
        <v>48.8</v>
      </c>
      <c r="K175" t="str">
        <f>K174</f>
        <v>BNTA132</v>
      </c>
      <c r="M175" t="str">
        <f t="shared" si="17"/>
        <v>BNTA132T1</v>
      </c>
      <c r="N175" t="str">
        <f>VLOOKUP(H175,'TNB Load'!$A$2:$F$1448,6,FALSE)</f>
        <v>PAHANG</v>
      </c>
      <c r="O175">
        <f t="shared" si="18"/>
        <v>2.7812999999999999</v>
      </c>
      <c r="R175">
        <v>63124</v>
      </c>
      <c r="S175" t="s">
        <v>975</v>
      </c>
      <c r="T175" t="s">
        <v>808</v>
      </c>
      <c r="U175" t="str">
        <f t="shared" si="12"/>
        <v>GPRD132</v>
      </c>
      <c r="W175" t="str">
        <f t="shared" si="13"/>
        <v>GPRD132T3</v>
      </c>
      <c r="X175">
        <v>51.216799999999999</v>
      </c>
      <c r="Z175" t="s">
        <v>975</v>
      </c>
      <c r="AA175" t="s">
        <v>808</v>
      </c>
      <c r="AB175" t="s">
        <v>1838</v>
      </c>
      <c r="AD175" t="s">
        <v>1841</v>
      </c>
      <c r="AE175">
        <v>51.216799999999999</v>
      </c>
      <c r="AF175">
        <v>63124</v>
      </c>
      <c r="AH175" t="s">
        <v>2895</v>
      </c>
    </row>
    <row r="176" spans="1:34" x14ac:dyDescent="0.25">
      <c r="A176" s="6" t="s">
        <v>97</v>
      </c>
      <c r="B176" s="7" t="s">
        <v>608</v>
      </c>
      <c r="C176" s="236">
        <v>30.6965</v>
      </c>
      <c r="D176" s="236"/>
      <c r="E176" s="7" t="s">
        <v>610</v>
      </c>
      <c r="G176" s="244"/>
      <c r="H176">
        <f t="shared" si="11"/>
        <v>74121</v>
      </c>
      <c r="I176" t="s">
        <v>809</v>
      </c>
      <c r="J176">
        <v>48.8</v>
      </c>
      <c r="K176" t="s">
        <v>1489</v>
      </c>
      <c r="M176" t="str">
        <f t="shared" si="17"/>
        <v>KLIP132T4</v>
      </c>
      <c r="N176" t="str">
        <f>VLOOKUP(H176,'TNB Load'!$A$2:$F$1448,6,FALSE)</f>
        <v>PAHANG</v>
      </c>
      <c r="O176">
        <f t="shared" si="18"/>
        <v>12.479799999999999</v>
      </c>
      <c r="R176">
        <v>63124</v>
      </c>
      <c r="S176" t="s">
        <v>975</v>
      </c>
      <c r="T176" t="s">
        <v>809</v>
      </c>
      <c r="U176" t="str">
        <f t="shared" si="12"/>
        <v>GPRD132</v>
      </c>
      <c r="W176" t="str">
        <f t="shared" si="13"/>
        <v>GPRD132T4</v>
      </c>
      <c r="X176">
        <v>50.779800000000002</v>
      </c>
      <c r="Z176" t="s">
        <v>975</v>
      </c>
      <c r="AA176" t="s">
        <v>809</v>
      </c>
      <c r="AB176" t="s">
        <v>1838</v>
      </c>
      <c r="AD176" t="s">
        <v>1842</v>
      </c>
      <c r="AE176">
        <v>50.779800000000002</v>
      </c>
      <c r="AF176">
        <v>63124</v>
      </c>
      <c r="AH176" t="s">
        <v>2931</v>
      </c>
    </row>
    <row r="177" spans="1:34" x14ac:dyDescent="0.25">
      <c r="A177" s="6" t="s">
        <v>97</v>
      </c>
      <c r="B177" s="10" t="s">
        <v>103</v>
      </c>
      <c r="C177" s="236">
        <v>36.762500000000003</v>
      </c>
      <c r="D177" s="236"/>
      <c r="E177" s="7" t="s">
        <v>611</v>
      </c>
      <c r="G177" s="244"/>
      <c r="H177">
        <f t="shared" si="11"/>
        <v>74121</v>
      </c>
      <c r="I177" t="s">
        <v>808</v>
      </c>
      <c r="J177">
        <v>48.8</v>
      </c>
      <c r="K177" t="str">
        <f t="shared" ref="K177:K179" si="21">K176</f>
        <v>KLIP132</v>
      </c>
      <c r="M177" t="str">
        <f t="shared" si="17"/>
        <v>KLIP132T3</v>
      </c>
      <c r="N177" t="str">
        <f>VLOOKUP(H177,'TNB Load'!$A$2:$F$1448,6,FALSE)</f>
        <v>PAHANG</v>
      </c>
      <c r="O177">
        <f t="shared" si="18"/>
        <v>12.9841</v>
      </c>
      <c r="R177">
        <v>63209</v>
      </c>
      <c r="S177" t="s">
        <v>977</v>
      </c>
      <c r="T177" t="s">
        <v>804</v>
      </c>
      <c r="U177" t="str">
        <f t="shared" si="12"/>
        <v>GRIK275</v>
      </c>
      <c r="W177" t="str">
        <f t="shared" si="13"/>
        <v>GRIK275T1</v>
      </c>
      <c r="X177">
        <v>9.6870999999999992</v>
      </c>
      <c r="Z177" t="s">
        <v>977</v>
      </c>
      <c r="AA177" t="s">
        <v>804</v>
      </c>
      <c r="AB177" t="s">
        <v>1843</v>
      </c>
      <c r="AD177" t="s">
        <v>1844</v>
      </c>
      <c r="AE177">
        <v>9.6870999999999992</v>
      </c>
      <c r="AF177">
        <v>63209</v>
      </c>
      <c r="AH177" t="s">
        <v>2930</v>
      </c>
    </row>
    <row r="178" spans="1:34" x14ac:dyDescent="0.25">
      <c r="A178" s="58" t="s">
        <v>95</v>
      </c>
      <c r="B178" s="7" t="s">
        <v>188</v>
      </c>
      <c r="C178" s="236">
        <v>54.002299999999998</v>
      </c>
      <c r="D178" s="236"/>
      <c r="E178" s="237" t="s">
        <v>617</v>
      </c>
      <c r="G178" s="244"/>
      <c r="H178">
        <f t="shared" si="11"/>
        <v>74121</v>
      </c>
      <c r="I178" t="s">
        <v>807</v>
      </c>
      <c r="J178">
        <v>48.8</v>
      </c>
      <c r="K178" t="str">
        <f t="shared" si="21"/>
        <v>KLIP132</v>
      </c>
      <c r="M178" t="str">
        <f t="shared" si="17"/>
        <v>KLIP132T2</v>
      </c>
      <c r="N178" t="str">
        <f>VLOOKUP(H178,'TNB Load'!$A$2:$F$1448,6,FALSE)</f>
        <v>PAHANG</v>
      </c>
      <c r="O178">
        <f t="shared" si="18"/>
        <v>5.9976000000000003</v>
      </c>
      <c r="R178">
        <v>63176</v>
      </c>
      <c r="S178" t="s">
        <v>984</v>
      </c>
      <c r="T178" t="s">
        <v>804</v>
      </c>
      <c r="U178" t="str">
        <f t="shared" si="12"/>
        <v>GTWN132</v>
      </c>
      <c r="W178" t="str">
        <f t="shared" si="13"/>
        <v>GTWN132T1</v>
      </c>
      <c r="X178">
        <v>12.7636</v>
      </c>
      <c r="Z178" t="s">
        <v>984</v>
      </c>
      <c r="AA178" t="s">
        <v>804</v>
      </c>
      <c r="AB178" t="s">
        <v>1845</v>
      </c>
      <c r="AD178" t="s">
        <v>1846</v>
      </c>
      <c r="AE178">
        <v>12.7636</v>
      </c>
      <c r="AF178">
        <v>63176</v>
      </c>
      <c r="AH178" t="s">
        <v>2929</v>
      </c>
    </row>
    <row r="179" spans="1:34" x14ac:dyDescent="0.25">
      <c r="A179" s="6" t="s">
        <v>95</v>
      </c>
      <c r="B179" s="10" t="s">
        <v>99</v>
      </c>
      <c r="C179" s="236">
        <v>98.395499999999998</v>
      </c>
      <c r="D179" s="236"/>
      <c r="E179" s="7" t="s">
        <v>613</v>
      </c>
      <c r="G179" s="244"/>
      <c r="H179">
        <f t="shared" si="11"/>
        <v>74121</v>
      </c>
      <c r="I179" t="s">
        <v>804</v>
      </c>
      <c r="J179">
        <v>48.8</v>
      </c>
      <c r="K179" t="str">
        <f t="shared" si="21"/>
        <v>KLIP132</v>
      </c>
      <c r="M179" t="str">
        <f t="shared" si="17"/>
        <v>KLIP132T1</v>
      </c>
      <c r="N179" t="str">
        <f>VLOOKUP(H179,'TNB Load'!$A$2:$F$1448,6,FALSE)</f>
        <v>PAHANG</v>
      </c>
      <c r="O179">
        <f t="shared" si="18"/>
        <v>11.407</v>
      </c>
      <c r="R179">
        <v>63176</v>
      </c>
      <c r="S179" t="s">
        <v>984</v>
      </c>
      <c r="T179" t="s">
        <v>807</v>
      </c>
      <c r="U179" t="str">
        <f t="shared" si="12"/>
        <v>GTWN132</v>
      </c>
      <c r="W179" t="str">
        <f t="shared" si="13"/>
        <v>GTWN132T2</v>
      </c>
      <c r="X179">
        <v>11.928900000000001</v>
      </c>
      <c r="Z179" t="s">
        <v>984</v>
      </c>
      <c r="AA179" t="s">
        <v>807</v>
      </c>
      <c r="AB179" t="s">
        <v>1845</v>
      </c>
      <c r="AD179" t="s">
        <v>1847</v>
      </c>
      <c r="AE179">
        <v>11.928900000000001</v>
      </c>
      <c r="AF179">
        <v>63176</v>
      </c>
      <c r="AH179" t="s">
        <v>2928</v>
      </c>
    </row>
    <row r="180" spans="1:34" x14ac:dyDescent="0.25">
      <c r="A180" s="6" t="s">
        <v>96</v>
      </c>
      <c r="B180" s="7" t="s">
        <v>102</v>
      </c>
      <c r="C180" s="236">
        <v>22.989899999999999</v>
      </c>
      <c r="D180" s="236"/>
      <c r="E180" s="7" t="s">
        <v>614</v>
      </c>
      <c r="G180" s="244"/>
      <c r="H180">
        <f t="shared" si="11"/>
        <v>74123</v>
      </c>
      <c r="I180" t="s">
        <v>848</v>
      </c>
      <c r="J180">
        <v>48.8</v>
      </c>
      <c r="K180" t="s">
        <v>1490</v>
      </c>
      <c r="M180" t="str">
        <f t="shared" si="17"/>
        <v>JNKA132T7</v>
      </c>
      <c r="N180" t="str">
        <f>VLOOKUP(H180,'TNB Load'!$A$2:$F$1448,6,FALSE)</f>
        <v>PAHANG</v>
      </c>
      <c r="O180">
        <f t="shared" si="18"/>
        <v>5.5419999999999998</v>
      </c>
      <c r="R180">
        <v>63136</v>
      </c>
      <c r="S180" t="s">
        <v>991</v>
      </c>
      <c r="T180" t="s">
        <v>804</v>
      </c>
      <c r="U180" t="str">
        <f t="shared" si="12"/>
        <v>HMLG132</v>
      </c>
      <c r="W180" t="str">
        <f t="shared" si="13"/>
        <v>HMLG132T1</v>
      </c>
      <c r="X180">
        <v>32.505299999999998</v>
      </c>
      <c r="Z180" t="s">
        <v>991</v>
      </c>
      <c r="AA180" t="s">
        <v>804</v>
      </c>
      <c r="AB180" t="s">
        <v>1848</v>
      </c>
      <c r="AD180" t="s">
        <v>1849</v>
      </c>
      <c r="AE180">
        <v>32.505299999999998</v>
      </c>
      <c r="AF180">
        <v>63136</v>
      </c>
      <c r="AH180" t="s">
        <v>2922</v>
      </c>
    </row>
    <row r="181" spans="1:34" x14ac:dyDescent="0.25">
      <c r="A181" s="6" t="s">
        <v>607</v>
      </c>
      <c r="B181" s="10">
        <v>505605705</v>
      </c>
      <c r="C181" s="236">
        <v>40</v>
      </c>
      <c r="D181" s="236"/>
      <c r="E181" s="7" t="s">
        <v>615</v>
      </c>
      <c r="G181" s="244"/>
      <c r="H181">
        <f t="shared" si="11"/>
        <v>74123</v>
      </c>
      <c r="I181" t="s">
        <v>807</v>
      </c>
      <c r="J181">
        <v>48.8</v>
      </c>
      <c r="K181" t="str">
        <f t="shared" ref="K181:K182" si="22">K180</f>
        <v>JNKA132</v>
      </c>
      <c r="M181" t="str">
        <f t="shared" si="17"/>
        <v>JNKA132T2</v>
      </c>
      <c r="N181" t="str">
        <f>VLOOKUP(H181,'TNB Load'!$A$2:$F$1448,6,FALSE)</f>
        <v>PAHANG</v>
      </c>
      <c r="O181">
        <f t="shared" si="18"/>
        <v>12.6745</v>
      </c>
      <c r="R181">
        <v>63136</v>
      </c>
      <c r="S181" t="s">
        <v>991</v>
      </c>
      <c r="T181" t="s">
        <v>807</v>
      </c>
      <c r="U181" t="str">
        <f t="shared" si="12"/>
        <v>HMLG132</v>
      </c>
      <c r="W181" t="str">
        <f t="shared" si="13"/>
        <v>HMLG132T2</v>
      </c>
      <c r="X181">
        <v>32.392499999999998</v>
      </c>
      <c r="Z181" t="s">
        <v>991</v>
      </c>
      <c r="AA181" t="s">
        <v>807</v>
      </c>
      <c r="AB181" t="s">
        <v>1848</v>
      </c>
      <c r="AD181" t="s">
        <v>1850</v>
      </c>
      <c r="AE181">
        <v>32.392499999999998</v>
      </c>
      <c r="AF181">
        <v>63136</v>
      </c>
      <c r="AH181" t="s">
        <v>2921</v>
      </c>
    </row>
    <row r="182" spans="1:34" x14ac:dyDescent="0.25">
      <c r="A182" s="6" t="s">
        <v>96</v>
      </c>
      <c r="B182" s="10" t="s">
        <v>102</v>
      </c>
      <c r="C182" s="236">
        <v>21.477900000000002</v>
      </c>
      <c r="D182" s="236"/>
      <c r="E182" s="7" t="s">
        <v>616</v>
      </c>
      <c r="G182" s="244"/>
      <c r="H182">
        <f t="shared" si="11"/>
        <v>74123</v>
      </c>
      <c r="I182" t="s">
        <v>804</v>
      </c>
      <c r="J182">
        <v>48.8</v>
      </c>
      <c r="K182" t="str">
        <f t="shared" si="22"/>
        <v>JNKA132</v>
      </c>
      <c r="M182" t="str">
        <f t="shared" si="17"/>
        <v>JNKA132T1</v>
      </c>
      <c r="N182" t="str">
        <f>VLOOKUP(H182,'TNB Load'!$A$2:$F$1448,6,FALSE)</f>
        <v>PAHANG</v>
      </c>
      <c r="O182">
        <f t="shared" si="18"/>
        <v>12.594799999999999</v>
      </c>
      <c r="R182">
        <v>63128</v>
      </c>
      <c r="S182" t="s">
        <v>1039</v>
      </c>
      <c r="T182" t="s">
        <v>804</v>
      </c>
      <c r="U182" t="str">
        <f t="shared" si="12"/>
        <v>KGJH132</v>
      </c>
      <c r="W182" t="str">
        <f t="shared" si="13"/>
        <v>KGJH132T1</v>
      </c>
      <c r="X182">
        <v>9.1641999999999992</v>
      </c>
      <c r="Z182" t="s">
        <v>1039</v>
      </c>
      <c r="AA182" t="s">
        <v>804</v>
      </c>
      <c r="AB182" t="s">
        <v>1851</v>
      </c>
      <c r="AD182" t="s">
        <v>1852</v>
      </c>
      <c r="AE182">
        <v>9.1641999999999992</v>
      </c>
      <c r="AF182">
        <v>63128</v>
      </c>
      <c r="AH182" t="s">
        <v>2920</v>
      </c>
    </row>
    <row r="183" spans="1:34" x14ac:dyDescent="0.25">
      <c r="A183" s="6" t="s">
        <v>94</v>
      </c>
      <c r="B183" s="10" t="s">
        <v>99</v>
      </c>
      <c r="C183" s="236">
        <v>22.8338</v>
      </c>
      <c r="D183" s="236"/>
      <c r="E183" s="7" t="s">
        <v>612</v>
      </c>
      <c r="G183" s="244"/>
      <c r="H183">
        <f t="shared" si="11"/>
        <v>74122</v>
      </c>
      <c r="I183" t="s">
        <v>807</v>
      </c>
      <c r="J183">
        <v>48.8</v>
      </c>
      <c r="K183" t="s">
        <v>1491</v>
      </c>
      <c r="M183" t="str">
        <f t="shared" si="17"/>
        <v>JTUT132T2</v>
      </c>
      <c r="N183" t="str">
        <f>VLOOKUP(H183,'TNB Load'!$A$2:$F$1448,6,FALSE)</f>
        <v>PAHANG</v>
      </c>
      <c r="O183">
        <f t="shared" si="18"/>
        <v>18.992100000000001</v>
      </c>
      <c r="R183">
        <v>63128</v>
      </c>
      <c r="S183" t="s">
        <v>1039</v>
      </c>
      <c r="T183" t="s">
        <v>807</v>
      </c>
      <c r="U183" t="str">
        <f t="shared" si="12"/>
        <v>KGJH132</v>
      </c>
      <c r="W183" t="str">
        <f t="shared" si="13"/>
        <v>KGJH132T2</v>
      </c>
      <c r="X183">
        <v>8.3667999999999996</v>
      </c>
      <c r="Z183" t="s">
        <v>1039</v>
      </c>
      <c r="AA183" t="s">
        <v>807</v>
      </c>
      <c r="AB183" t="s">
        <v>1851</v>
      </c>
      <c r="AD183" t="s">
        <v>1853</v>
      </c>
      <c r="AE183">
        <v>8.3667999999999996</v>
      </c>
      <c r="AF183">
        <v>63128</v>
      </c>
      <c r="AH183" t="s">
        <v>2924</v>
      </c>
    </row>
    <row r="184" spans="1:34" x14ac:dyDescent="0.25">
      <c r="A184" s="6" t="s">
        <v>618</v>
      </c>
      <c r="B184" s="7" t="s">
        <v>44</v>
      </c>
      <c r="C184" s="259">
        <v>105</v>
      </c>
      <c r="D184" s="236"/>
      <c r="E184" s="256" t="s">
        <v>619</v>
      </c>
      <c r="G184" s="244"/>
      <c r="H184">
        <f t="shared" si="11"/>
        <v>74122</v>
      </c>
      <c r="I184" t="s">
        <v>804</v>
      </c>
      <c r="J184">
        <v>48.8</v>
      </c>
      <c r="K184" t="str">
        <f>K183</f>
        <v>JTUT132</v>
      </c>
      <c r="M184" t="str">
        <f t="shared" si="17"/>
        <v>JTUT132T1</v>
      </c>
      <c r="N184" t="str">
        <f>VLOOKUP(H184,'TNB Load'!$A$2:$F$1448,6,FALSE)</f>
        <v>PAHANG</v>
      </c>
      <c r="O184">
        <f t="shared" si="18"/>
        <v>19.1629</v>
      </c>
      <c r="R184">
        <v>63148</v>
      </c>
      <c r="S184" t="s">
        <v>1047</v>
      </c>
      <c r="T184" t="s">
        <v>804</v>
      </c>
      <c r="U184" t="str">
        <f t="shared" si="12"/>
        <v>KJWA132</v>
      </c>
      <c r="W184" t="str">
        <f t="shared" si="13"/>
        <v>KJWA132T1</v>
      </c>
      <c r="X184">
        <v>7.3167999999999997</v>
      </c>
      <c r="Z184" t="s">
        <v>1047</v>
      </c>
      <c r="AA184" t="s">
        <v>804</v>
      </c>
      <c r="AB184" t="s">
        <v>1854</v>
      </c>
      <c r="AD184" t="s">
        <v>1855</v>
      </c>
      <c r="AE184">
        <v>7.3167999999999997</v>
      </c>
      <c r="AF184">
        <v>63148</v>
      </c>
      <c r="AH184" t="s">
        <v>2923</v>
      </c>
    </row>
    <row r="185" spans="1:34" x14ac:dyDescent="0.25">
      <c r="A185" s="6" t="s">
        <v>620</v>
      </c>
      <c r="B185" s="7" t="s">
        <v>152</v>
      </c>
      <c r="C185" s="259"/>
      <c r="D185" s="236"/>
      <c r="E185" s="256"/>
      <c r="G185" s="244"/>
      <c r="H185">
        <f t="shared" si="11"/>
        <v>74151</v>
      </c>
      <c r="I185" t="s">
        <v>809</v>
      </c>
      <c r="J185">
        <v>48.8</v>
      </c>
      <c r="K185" t="s">
        <v>1492</v>
      </c>
      <c r="M185" t="str">
        <f t="shared" si="17"/>
        <v>RBDR132T4</v>
      </c>
      <c r="N185" t="str">
        <f>VLOOKUP(H185,'TNB Load'!$A$2:$F$1448,6,FALSE)</f>
        <v>PAHANG</v>
      </c>
      <c r="O185">
        <f t="shared" si="18"/>
        <v>0</v>
      </c>
      <c r="R185">
        <v>63148</v>
      </c>
      <c r="S185" t="s">
        <v>1047</v>
      </c>
      <c r="T185" t="s">
        <v>807</v>
      </c>
      <c r="U185" t="str">
        <f t="shared" si="12"/>
        <v>KJWA132</v>
      </c>
      <c r="W185" t="str">
        <f t="shared" si="13"/>
        <v>KJWA132T2</v>
      </c>
      <c r="X185">
        <v>6.6272000000000002</v>
      </c>
      <c r="Z185" t="s">
        <v>1047</v>
      </c>
      <c r="AA185" t="s">
        <v>807</v>
      </c>
      <c r="AB185" t="s">
        <v>1854</v>
      </c>
      <c r="AD185" t="s">
        <v>1856</v>
      </c>
      <c r="AE185">
        <v>6.6272000000000002</v>
      </c>
      <c r="AF185">
        <v>63148</v>
      </c>
      <c r="AH185" t="s">
        <v>2971</v>
      </c>
    </row>
    <row r="186" spans="1:34" x14ac:dyDescent="0.25">
      <c r="A186" s="97" t="s">
        <v>668</v>
      </c>
      <c r="B186" s="243" t="s">
        <v>102</v>
      </c>
      <c r="C186" s="243">
        <v>10</v>
      </c>
      <c r="D186" s="243"/>
      <c r="E186" s="243" t="s">
        <v>680</v>
      </c>
      <c r="G186" s="244"/>
      <c r="H186">
        <f t="shared" si="11"/>
        <v>74151</v>
      </c>
      <c r="I186" t="s">
        <v>808</v>
      </c>
      <c r="J186">
        <v>48.8</v>
      </c>
      <c r="K186" t="str">
        <f t="shared" ref="K186:K188" si="23">K185</f>
        <v>RBDR132</v>
      </c>
      <c r="M186" t="str">
        <f t="shared" si="17"/>
        <v>RBDR132T3</v>
      </c>
      <c r="N186" t="str">
        <f>VLOOKUP(H186,'TNB Load'!$A$2:$F$1448,6,FALSE)</f>
        <v>PAHANG</v>
      </c>
      <c r="O186">
        <f t="shared" si="18"/>
        <v>0</v>
      </c>
      <c r="R186">
        <v>63138</v>
      </c>
      <c r="S186" t="s">
        <v>1051</v>
      </c>
      <c r="T186" t="s">
        <v>804</v>
      </c>
      <c r="U186" t="str">
        <f t="shared" si="12"/>
        <v>KKSR132</v>
      </c>
      <c r="W186" t="str">
        <f t="shared" si="13"/>
        <v>KKSR132T1</v>
      </c>
      <c r="X186">
        <v>11.696</v>
      </c>
      <c r="Z186" t="s">
        <v>1051</v>
      </c>
      <c r="AA186" t="s">
        <v>804</v>
      </c>
      <c r="AB186" t="s">
        <v>1857</v>
      </c>
      <c r="AD186" t="s">
        <v>1858</v>
      </c>
      <c r="AE186">
        <v>11.696</v>
      </c>
      <c r="AF186">
        <v>63138</v>
      </c>
      <c r="AH186" t="s">
        <v>2970</v>
      </c>
    </row>
    <row r="187" spans="1:34" x14ac:dyDescent="0.25">
      <c r="A187" s="20" t="s">
        <v>668</v>
      </c>
      <c r="B187" s="66" t="s">
        <v>102</v>
      </c>
      <c r="C187" s="66">
        <v>22</v>
      </c>
      <c r="D187" s="66"/>
      <c r="E187" s="66" t="s">
        <v>681</v>
      </c>
      <c r="G187" s="244"/>
      <c r="H187">
        <f t="shared" si="11"/>
        <v>74151</v>
      </c>
      <c r="I187" t="s">
        <v>807</v>
      </c>
      <c r="J187">
        <v>48.8</v>
      </c>
      <c r="K187" t="str">
        <f t="shared" si="23"/>
        <v>RBDR132</v>
      </c>
      <c r="M187" t="str">
        <f t="shared" si="17"/>
        <v>RBDR132T2</v>
      </c>
      <c r="N187" t="str">
        <f>VLOOKUP(H187,'TNB Load'!$A$2:$F$1448,6,FALSE)</f>
        <v>PAHANG</v>
      </c>
      <c r="O187">
        <f t="shared" si="18"/>
        <v>11.033200000000001</v>
      </c>
      <c r="R187">
        <v>63138</v>
      </c>
      <c r="S187" t="s">
        <v>1051</v>
      </c>
      <c r="T187" t="s">
        <v>807</v>
      </c>
      <c r="U187" t="str">
        <f t="shared" si="12"/>
        <v>KKSR132</v>
      </c>
      <c r="W187" t="str">
        <f t="shared" si="13"/>
        <v>KKSR132T2</v>
      </c>
      <c r="X187">
        <v>8.2239000000000004</v>
      </c>
      <c r="Z187" t="s">
        <v>1051</v>
      </c>
      <c r="AA187" t="s">
        <v>807</v>
      </c>
      <c r="AB187" t="s">
        <v>1857</v>
      </c>
      <c r="AD187" t="s">
        <v>1859</v>
      </c>
      <c r="AE187">
        <v>8.2239000000000004</v>
      </c>
      <c r="AF187">
        <v>63138</v>
      </c>
      <c r="AH187" t="s">
        <v>2969</v>
      </c>
    </row>
    <row r="188" spans="1:34" x14ac:dyDescent="0.25">
      <c r="A188" s="20" t="s">
        <v>95</v>
      </c>
      <c r="B188" s="66" t="s">
        <v>675</v>
      </c>
      <c r="C188" s="66">
        <v>90</v>
      </c>
      <c r="D188" s="66"/>
      <c r="E188" s="66" t="s">
        <v>682</v>
      </c>
      <c r="G188" s="244"/>
      <c r="H188">
        <f t="shared" si="11"/>
        <v>74151</v>
      </c>
      <c r="I188" t="s">
        <v>804</v>
      </c>
      <c r="J188">
        <v>48.8</v>
      </c>
      <c r="K188" t="str">
        <f t="shared" si="23"/>
        <v>RBDR132</v>
      </c>
      <c r="M188" t="str">
        <f t="shared" si="17"/>
        <v>RBDR132T1</v>
      </c>
      <c r="N188" t="str">
        <f>VLOOKUP(H188,'TNB Load'!$A$2:$F$1448,6,FALSE)</f>
        <v>PAHANG</v>
      </c>
      <c r="O188">
        <f t="shared" si="18"/>
        <v>11.7011</v>
      </c>
      <c r="R188">
        <v>63155</v>
      </c>
      <c r="S188" t="s">
        <v>1058</v>
      </c>
      <c r="T188" t="s">
        <v>804</v>
      </c>
      <c r="U188" t="str">
        <f t="shared" si="12"/>
        <v>KLBG132</v>
      </c>
      <c r="W188" t="str">
        <f t="shared" si="13"/>
        <v>KLBG132T1</v>
      </c>
      <c r="X188">
        <v>15.329499999999999</v>
      </c>
      <c r="Z188" t="s">
        <v>1058</v>
      </c>
      <c r="AA188" t="s">
        <v>804</v>
      </c>
      <c r="AB188" t="s">
        <v>1435</v>
      </c>
      <c r="AD188" t="s">
        <v>1860</v>
      </c>
      <c r="AE188">
        <v>15.329499999999999</v>
      </c>
      <c r="AF188">
        <v>63155</v>
      </c>
      <c r="AH188" t="s">
        <v>2968</v>
      </c>
    </row>
    <row r="189" spans="1:34" x14ac:dyDescent="0.25">
      <c r="A189" s="22" t="s">
        <v>96</v>
      </c>
      <c r="B189" s="17" t="s">
        <v>102</v>
      </c>
      <c r="C189" s="66">
        <v>16</v>
      </c>
      <c r="D189" s="66"/>
      <c r="E189" s="241" t="s">
        <v>683</v>
      </c>
      <c r="G189" s="244"/>
      <c r="H189">
        <f t="shared" si="11"/>
        <v>62105</v>
      </c>
      <c r="I189" t="s">
        <v>809</v>
      </c>
      <c r="J189">
        <v>48.8</v>
      </c>
      <c r="K189" t="s">
        <v>1493</v>
      </c>
      <c r="M189" t="str">
        <f t="shared" si="17"/>
        <v>ATJN132T4</v>
      </c>
      <c r="N189" t="str">
        <f>VLOOKUP(H189,'TNB Load'!$A$2:$F$1448,6,FALSE)</f>
        <v>P PINANG</v>
      </c>
      <c r="O189">
        <f t="shared" si="18"/>
        <v>23.086400000000001</v>
      </c>
      <c r="R189">
        <v>63155</v>
      </c>
      <c r="S189" t="s">
        <v>1058</v>
      </c>
      <c r="T189" t="s">
        <v>807</v>
      </c>
      <c r="U189" t="str">
        <f t="shared" si="12"/>
        <v>KLBG132</v>
      </c>
      <c r="W189" t="str">
        <f t="shared" si="13"/>
        <v>KLBG132T2</v>
      </c>
      <c r="X189">
        <v>15.191800000000001</v>
      </c>
      <c r="Z189" t="s">
        <v>1058</v>
      </c>
      <c r="AA189" t="s">
        <v>807</v>
      </c>
      <c r="AB189" t="s">
        <v>1435</v>
      </c>
      <c r="AD189" t="s">
        <v>1861</v>
      </c>
      <c r="AE189">
        <v>15.191800000000001</v>
      </c>
      <c r="AF189">
        <v>63155</v>
      </c>
      <c r="AH189" t="s">
        <v>1728</v>
      </c>
    </row>
    <row r="190" spans="1:34" x14ac:dyDescent="0.25">
      <c r="A190" s="20" t="s">
        <v>98</v>
      </c>
      <c r="B190" s="66" t="s">
        <v>103</v>
      </c>
      <c r="C190" s="66">
        <v>90</v>
      </c>
      <c r="D190" s="66"/>
      <c r="E190" s="66" t="s">
        <v>684</v>
      </c>
      <c r="G190" s="244"/>
      <c r="H190">
        <f t="shared" si="11"/>
        <v>62105</v>
      </c>
      <c r="I190" t="s">
        <v>808</v>
      </c>
      <c r="J190">
        <v>48.8</v>
      </c>
      <c r="K190" t="str">
        <f>K189</f>
        <v>ATJN132</v>
      </c>
      <c r="M190" t="str">
        <f t="shared" si="17"/>
        <v>ATJN132T3</v>
      </c>
      <c r="N190" t="str">
        <f>VLOOKUP(H190,'TNB Load'!$A$2:$F$1448,6,FALSE)</f>
        <v>P PINANG</v>
      </c>
      <c r="O190">
        <f t="shared" si="18"/>
        <v>22.457899999999999</v>
      </c>
      <c r="R190">
        <v>63155</v>
      </c>
      <c r="S190" t="s">
        <v>1058</v>
      </c>
      <c r="T190" t="s">
        <v>808</v>
      </c>
      <c r="U190" t="str">
        <f t="shared" si="12"/>
        <v>KLBG132</v>
      </c>
      <c r="W190" t="str">
        <f t="shared" si="13"/>
        <v>KLBG132T3</v>
      </c>
      <c r="X190">
        <v>11.2807</v>
      </c>
      <c r="Z190" t="s">
        <v>1058</v>
      </c>
      <c r="AA190" t="s">
        <v>808</v>
      </c>
      <c r="AB190" t="s">
        <v>1435</v>
      </c>
      <c r="AD190" t="s">
        <v>1862</v>
      </c>
      <c r="AE190">
        <v>11.2807</v>
      </c>
      <c r="AF190">
        <v>63155</v>
      </c>
      <c r="AH190" t="s">
        <v>1727</v>
      </c>
    </row>
    <row r="191" spans="1:34" x14ac:dyDescent="0.25">
      <c r="A191" s="20" t="s">
        <v>671</v>
      </c>
      <c r="B191" s="66" t="s">
        <v>103</v>
      </c>
      <c r="C191" s="66">
        <v>22</v>
      </c>
      <c r="D191" s="66"/>
      <c r="E191" s="66" t="s">
        <v>685</v>
      </c>
      <c r="G191" s="244"/>
      <c r="H191">
        <f t="shared" si="11"/>
        <v>61109</v>
      </c>
      <c r="I191" t="s">
        <v>807</v>
      </c>
      <c r="J191">
        <v>48.8</v>
      </c>
      <c r="K191" t="s">
        <v>1494</v>
      </c>
      <c r="M191" t="str">
        <f t="shared" si="17"/>
        <v>GRUN132T2</v>
      </c>
      <c r="N191" t="str">
        <f>VLOOKUP(H191,'TNB Load'!$A$2:$F$1448,6,FALSE)</f>
        <v>KEDAH</v>
      </c>
      <c r="O191">
        <f t="shared" si="18"/>
        <v>4.6990999999999996</v>
      </c>
      <c r="R191">
        <v>63155</v>
      </c>
      <c r="S191" t="s">
        <v>1058</v>
      </c>
      <c r="T191" t="s">
        <v>809</v>
      </c>
      <c r="U191" t="str">
        <f t="shared" si="12"/>
        <v>KLBG132</v>
      </c>
      <c r="W191" t="str">
        <f t="shared" si="13"/>
        <v>KLBG132T4</v>
      </c>
      <c r="X191">
        <v>11.235200000000001</v>
      </c>
      <c r="Z191" t="s">
        <v>1058</v>
      </c>
      <c r="AA191" t="s">
        <v>809</v>
      </c>
      <c r="AB191" t="s">
        <v>1435</v>
      </c>
      <c r="AD191" t="s">
        <v>1863</v>
      </c>
      <c r="AE191">
        <v>11.235200000000001</v>
      </c>
      <c r="AF191">
        <v>63155</v>
      </c>
      <c r="AH191" t="s">
        <v>1680</v>
      </c>
    </row>
    <row r="192" spans="1:34" x14ac:dyDescent="0.25">
      <c r="A192" s="20" t="s">
        <v>95</v>
      </c>
      <c r="B192" s="66" t="s">
        <v>675</v>
      </c>
      <c r="C192" s="66">
        <v>86</v>
      </c>
      <c r="D192" s="66"/>
      <c r="E192" s="66" t="s">
        <v>686</v>
      </c>
      <c r="G192" s="244"/>
      <c r="H192">
        <f t="shared" si="11"/>
        <v>61109</v>
      </c>
      <c r="I192" t="s">
        <v>804</v>
      </c>
      <c r="J192">
        <v>48.8</v>
      </c>
      <c r="K192" t="str">
        <f>K191</f>
        <v>GRUN132</v>
      </c>
      <c r="M192" t="str">
        <f t="shared" si="17"/>
        <v>GRUN132T1</v>
      </c>
      <c r="N192" t="str">
        <f>VLOOKUP(H192,'TNB Load'!$A$2:$F$1448,6,FALSE)</f>
        <v>KEDAH</v>
      </c>
      <c r="O192">
        <f t="shared" si="18"/>
        <v>4.7176999999999998</v>
      </c>
      <c r="R192">
        <v>63104</v>
      </c>
      <c r="S192" t="s">
        <v>1073</v>
      </c>
      <c r="T192" t="s">
        <v>804</v>
      </c>
      <c r="U192" t="str">
        <f t="shared" si="12"/>
        <v>KMPR132</v>
      </c>
      <c r="W192" t="str">
        <f t="shared" si="13"/>
        <v>KMPR132T1</v>
      </c>
      <c r="X192">
        <v>0</v>
      </c>
      <c r="Z192" t="s">
        <v>1073</v>
      </c>
      <c r="AA192" t="s">
        <v>804</v>
      </c>
      <c r="AB192" t="s">
        <v>1864</v>
      </c>
      <c r="AD192" t="s">
        <v>1865</v>
      </c>
      <c r="AE192">
        <v>0</v>
      </c>
      <c r="AF192">
        <v>63104</v>
      </c>
      <c r="AH192" t="s">
        <v>1679</v>
      </c>
    </row>
    <row r="193" spans="1:34" x14ac:dyDescent="0.25">
      <c r="A193" s="20" t="s">
        <v>662</v>
      </c>
      <c r="B193" s="66" t="s">
        <v>102</v>
      </c>
      <c r="C193" s="66">
        <v>14</v>
      </c>
      <c r="D193" s="66"/>
      <c r="E193" s="66" t="s">
        <v>687</v>
      </c>
      <c r="G193" s="244"/>
      <c r="H193">
        <f t="shared" si="11"/>
        <v>61107</v>
      </c>
      <c r="I193" t="s">
        <v>807</v>
      </c>
      <c r="J193">
        <v>48.8</v>
      </c>
      <c r="K193" t="s">
        <v>1495</v>
      </c>
      <c r="M193" t="str">
        <f t="shared" si="17"/>
        <v>JENG132T2</v>
      </c>
      <c r="N193" t="str">
        <f>VLOOKUP(H193,'TNB Load'!$A$2:$F$1448,6,FALSE)</f>
        <v>KEDAH</v>
      </c>
      <c r="O193">
        <f t="shared" si="18"/>
        <v>13.914</v>
      </c>
      <c r="R193">
        <v>63104</v>
      </c>
      <c r="S193" t="s">
        <v>1073</v>
      </c>
      <c r="T193" t="s">
        <v>807</v>
      </c>
      <c r="U193" t="str">
        <f t="shared" si="12"/>
        <v>KMPR132</v>
      </c>
      <c r="W193" t="str">
        <f t="shared" si="13"/>
        <v>KMPR132T2</v>
      </c>
      <c r="X193">
        <v>24.091899999999999</v>
      </c>
      <c r="Z193" t="s">
        <v>1073</v>
      </c>
      <c r="AA193" t="s">
        <v>807</v>
      </c>
      <c r="AB193" t="s">
        <v>1864</v>
      </c>
      <c r="AD193" t="s">
        <v>1866</v>
      </c>
      <c r="AE193">
        <v>24.091899999999999</v>
      </c>
      <c r="AF193">
        <v>63104</v>
      </c>
      <c r="AH193" t="s">
        <v>1689</v>
      </c>
    </row>
    <row r="194" spans="1:34" x14ac:dyDescent="0.25">
      <c r="A194" s="20" t="s">
        <v>146</v>
      </c>
      <c r="B194" s="66" t="s">
        <v>99</v>
      </c>
      <c r="C194" s="66">
        <v>74</v>
      </c>
      <c r="D194" s="66"/>
      <c r="E194" s="66" t="s">
        <v>688</v>
      </c>
      <c r="G194" s="244"/>
      <c r="H194">
        <f t="shared" si="11"/>
        <v>61107</v>
      </c>
      <c r="I194" t="s">
        <v>804</v>
      </c>
      <c r="J194">
        <v>48.8</v>
      </c>
      <c r="K194" t="str">
        <f>K193</f>
        <v>JENG132</v>
      </c>
      <c r="M194" t="str">
        <f t="shared" si="17"/>
        <v>JENG132T1</v>
      </c>
      <c r="N194" t="str">
        <f>VLOOKUP(H194,'TNB Load'!$A$2:$F$1448,6,FALSE)</f>
        <v>KEDAH</v>
      </c>
      <c r="O194">
        <f t="shared" si="18"/>
        <v>14.4773</v>
      </c>
      <c r="R194">
        <v>63104</v>
      </c>
      <c r="S194" t="s">
        <v>1073</v>
      </c>
      <c r="T194" t="s">
        <v>808</v>
      </c>
      <c r="U194" t="str">
        <f t="shared" si="12"/>
        <v>KMPR132</v>
      </c>
      <c r="W194" t="str">
        <f t="shared" si="13"/>
        <v>KMPR132T3</v>
      </c>
      <c r="X194">
        <v>15.3005</v>
      </c>
      <c r="Z194" t="s">
        <v>1073</v>
      </c>
      <c r="AA194" t="s">
        <v>808</v>
      </c>
      <c r="AB194" t="s">
        <v>1864</v>
      </c>
      <c r="AD194" t="s">
        <v>1867</v>
      </c>
      <c r="AE194">
        <v>15.3005</v>
      </c>
      <c r="AF194">
        <v>63104</v>
      </c>
      <c r="AH194" t="s">
        <v>1688</v>
      </c>
    </row>
    <row r="195" spans="1:34" x14ac:dyDescent="0.25">
      <c r="A195" s="20" t="s">
        <v>95</v>
      </c>
      <c r="B195" s="66" t="s">
        <v>99</v>
      </c>
      <c r="C195" s="66">
        <v>26</v>
      </c>
      <c r="D195" s="66"/>
      <c r="E195" s="66" t="s">
        <v>689</v>
      </c>
      <c r="G195" s="244"/>
      <c r="H195">
        <f t="shared" ref="H195:H258" si="24">VLOOKUP(AH195,$AD$3:$AF$1300,3,FALSE)</f>
        <v>63129</v>
      </c>
      <c r="I195" s="246" t="s">
        <v>807</v>
      </c>
      <c r="J195" s="246">
        <v>48.7</v>
      </c>
      <c r="K195" s="246" t="s">
        <v>1496</v>
      </c>
      <c r="M195" t="str">
        <f t="shared" si="17"/>
        <v>LMUT132T2</v>
      </c>
      <c r="N195" t="str">
        <f>VLOOKUP(H195,'TNB Load'!$A$2:$F$1448,6,FALSE)</f>
        <v>PERAK</v>
      </c>
      <c r="O195">
        <f t="shared" si="18"/>
        <v>43.2455</v>
      </c>
      <c r="R195">
        <v>63104</v>
      </c>
      <c r="S195" t="s">
        <v>1073</v>
      </c>
      <c r="T195" t="s">
        <v>809</v>
      </c>
      <c r="U195" t="str">
        <f t="shared" si="12"/>
        <v>KMPR132</v>
      </c>
      <c r="W195" t="str">
        <f t="shared" si="13"/>
        <v>KMPR132T4</v>
      </c>
      <c r="X195">
        <v>15.505599999999999</v>
      </c>
      <c r="Z195" t="s">
        <v>1073</v>
      </c>
      <c r="AA195" t="s">
        <v>809</v>
      </c>
      <c r="AB195" t="s">
        <v>1864</v>
      </c>
      <c r="AD195" t="s">
        <v>1868</v>
      </c>
      <c r="AE195">
        <v>15.505599999999999</v>
      </c>
      <c r="AF195">
        <v>63104</v>
      </c>
      <c r="AH195" t="s">
        <v>1883</v>
      </c>
    </row>
    <row r="196" spans="1:34" x14ac:dyDescent="0.25">
      <c r="A196" s="20" t="s">
        <v>94</v>
      </c>
      <c r="B196" s="66" t="s">
        <v>99</v>
      </c>
      <c r="C196" s="66">
        <v>22</v>
      </c>
      <c r="D196" s="66"/>
      <c r="E196" s="66" t="s">
        <v>690</v>
      </c>
      <c r="G196" s="244"/>
      <c r="H196">
        <f t="shared" si="24"/>
        <v>63129</v>
      </c>
      <c r="I196" s="246" t="s">
        <v>804</v>
      </c>
      <c r="J196" s="246">
        <v>48.7</v>
      </c>
      <c r="K196" s="246" t="str">
        <f>K195</f>
        <v>LMUT132</v>
      </c>
      <c r="M196" t="str">
        <f t="shared" si="17"/>
        <v>LMUT132T1</v>
      </c>
      <c r="N196" t="str">
        <f>VLOOKUP(H196,'TNB Load'!$A$2:$F$1448,6,FALSE)</f>
        <v>PERAK</v>
      </c>
      <c r="O196">
        <f t="shared" si="18"/>
        <v>42.339500000000001</v>
      </c>
      <c r="R196">
        <v>63119</v>
      </c>
      <c r="S196" t="s">
        <v>1074</v>
      </c>
      <c r="T196" t="s">
        <v>804</v>
      </c>
      <c r="U196" t="str">
        <f t="shared" ref="U196:U259" si="25">LEFT(S196,7)</f>
        <v>KMTG132</v>
      </c>
      <c r="W196" t="str">
        <f t="shared" ref="W196:W259" si="26">U196&amp;T196</f>
        <v>KMTG132T1</v>
      </c>
      <c r="X196">
        <v>10.027799999999999</v>
      </c>
      <c r="Z196" t="s">
        <v>1074</v>
      </c>
      <c r="AA196" t="s">
        <v>804</v>
      </c>
      <c r="AB196" t="s">
        <v>1869</v>
      </c>
      <c r="AD196" t="s">
        <v>1870</v>
      </c>
      <c r="AE196">
        <v>10.027799999999999</v>
      </c>
      <c r="AF196">
        <v>63119</v>
      </c>
      <c r="AH196" t="s">
        <v>1882</v>
      </c>
    </row>
    <row r="197" spans="1:34" x14ac:dyDescent="0.25">
      <c r="A197" s="20" t="s">
        <v>97</v>
      </c>
      <c r="B197" s="66" t="s">
        <v>103</v>
      </c>
      <c r="C197" s="66">
        <v>64</v>
      </c>
      <c r="D197" s="66"/>
      <c r="E197" s="66" t="s">
        <v>691</v>
      </c>
      <c r="G197" s="244"/>
      <c r="H197">
        <f t="shared" si="24"/>
        <v>63131</v>
      </c>
      <c r="I197" s="246" t="s">
        <v>809</v>
      </c>
      <c r="J197" s="246">
        <v>48.7</v>
      </c>
      <c r="K197" s="246" t="s">
        <v>1497</v>
      </c>
      <c r="M197" t="str">
        <f t="shared" si="17"/>
        <v>LMTM132T4</v>
      </c>
      <c r="N197" t="str">
        <f>VLOOKUP(H197,'TNB Load'!$A$2:$F$1448,6,FALSE)</f>
        <v>PERAK</v>
      </c>
      <c r="O197">
        <f t="shared" si="18"/>
        <v>39.884300000000003</v>
      </c>
      <c r="R197">
        <v>63119</v>
      </c>
      <c r="S197" t="s">
        <v>1074</v>
      </c>
      <c r="T197" t="s">
        <v>807</v>
      </c>
      <c r="U197" t="str">
        <f t="shared" si="25"/>
        <v>KMTG132</v>
      </c>
      <c r="W197" t="str">
        <f t="shared" si="26"/>
        <v>KMTG132T2</v>
      </c>
      <c r="X197">
        <v>10.0702</v>
      </c>
      <c r="Z197" t="s">
        <v>1074</v>
      </c>
      <c r="AA197" t="s">
        <v>807</v>
      </c>
      <c r="AB197" t="s">
        <v>1869</v>
      </c>
      <c r="AD197" t="s">
        <v>1871</v>
      </c>
      <c r="AE197">
        <v>10.0702</v>
      </c>
      <c r="AF197">
        <v>63119</v>
      </c>
      <c r="AH197" t="s">
        <v>1881</v>
      </c>
    </row>
    <row r="198" spans="1:34" x14ac:dyDescent="0.25">
      <c r="G198" s="244"/>
      <c r="H198">
        <f t="shared" si="24"/>
        <v>63131</v>
      </c>
      <c r="I198" s="246" t="s">
        <v>808</v>
      </c>
      <c r="J198" s="246">
        <v>48.7</v>
      </c>
      <c r="K198" s="246" t="str">
        <f>K197</f>
        <v>LMTM132</v>
      </c>
      <c r="M198" t="str">
        <f t="shared" si="17"/>
        <v>LMTM132T3</v>
      </c>
      <c r="N198" t="str">
        <f>VLOOKUP(H198,'TNB Load'!$A$2:$F$1448,6,FALSE)</f>
        <v>PERAK</v>
      </c>
      <c r="O198">
        <f t="shared" si="18"/>
        <v>41.558700000000002</v>
      </c>
      <c r="R198">
        <v>63119</v>
      </c>
      <c r="S198" t="s">
        <v>1074</v>
      </c>
      <c r="T198" t="s">
        <v>808</v>
      </c>
      <c r="U198" t="str">
        <f t="shared" si="25"/>
        <v>KMTG132</v>
      </c>
      <c r="W198" t="str">
        <f t="shared" si="26"/>
        <v>KMTG132T3</v>
      </c>
      <c r="X198">
        <v>6.5547000000000004</v>
      </c>
      <c r="Z198" t="s">
        <v>1074</v>
      </c>
      <c r="AA198" t="s">
        <v>808</v>
      </c>
      <c r="AB198" t="s">
        <v>1869</v>
      </c>
      <c r="AD198" t="s">
        <v>1872</v>
      </c>
      <c r="AE198">
        <v>6.5547000000000004</v>
      </c>
      <c r="AF198">
        <v>63119</v>
      </c>
      <c r="AH198" t="s">
        <v>1880</v>
      </c>
    </row>
    <row r="199" spans="1:34" x14ac:dyDescent="0.25">
      <c r="G199" s="244"/>
      <c r="H199">
        <f t="shared" si="24"/>
        <v>88129</v>
      </c>
      <c r="I199" s="246" t="s">
        <v>807</v>
      </c>
      <c r="J199" s="246">
        <v>48.7</v>
      </c>
      <c r="K199" s="246" t="s">
        <v>1498</v>
      </c>
      <c r="M199" t="str">
        <f t="shared" si="17"/>
        <v>MDAM132T2</v>
      </c>
      <c r="N199" t="str">
        <f>VLOOKUP(H199,'TNB Load'!$A$2:$F$1448,6,FALSE)</f>
        <v>WPKL</v>
      </c>
      <c r="O199">
        <f t="shared" si="18"/>
        <v>17.3322</v>
      </c>
      <c r="R199">
        <v>63119</v>
      </c>
      <c r="S199" t="s">
        <v>1074</v>
      </c>
      <c r="T199" t="s">
        <v>809</v>
      </c>
      <c r="U199" t="str">
        <f t="shared" si="25"/>
        <v>KMTG132</v>
      </c>
      <c r="W199" t="str">
        <f t="shared" si="26"/>
        <v>KMTG132T4</v>
      </c>
      <c r="X199">
        <v>8.4807000000000006</v>
      </c>
      <c r="Z199" t="s">
        <v>1074</v>
      </c>
      <c r="AA199" t="s">
        <v>809</v>
      </c>
      <c r="AB199" t="s">
        <v>1869</v>
      </c>
      <c r="AD199" t="s">
        <v>1873</v>
      </c>
      <c r="AE199">
        <v>8.4807000000000006</v>
      </c>
      <c r="AF199">
        <v>63119</v>
      </c>
      <c r="AH199" t="s">
        <v>2349</v>
      </c>
    </row>
    <row r="200" spans="1:34" x14ac:dyDescent="0.25">
      <c r="G200" s="245"/>
      <c r="H200">
        <f t="shared" si="24"/>
        <v>88129</v>
      </c>
      <c r="I200" s="246" t="s">
        <v>804</v>
      </c>
      <c r="J200" s="246">
        <v>48.7</v>
      </c>
      <c r="K200" s="246" t="str">
        <f>K199</f>
        <v>MDAM132</v>
      </c>
      <c r="M200" t="str">
        <f t="shared" si="17"/>
        <v>MDAM132T1</v>
      </c>
      <c r="N200" t="str">
        <f>VLOOKUP(H200,'TNB Load'!$A$2:$F$1448,6,FALSE)</f>
        <v>WPKL</v>
      </c>
      <c r="O200">
        <f t="shared" si="18"/>
        <v>18.2683</v>
      </c>
      <c r="R200">
        <v>63173</v>
      </c>
      <c r="S200" t="s">
        <v>1117</v>
      </c>
      <c r="T200" t="s">
        <v>804</v>
      </c>
      <c r="U200" t="str">
        <f t="shared" si="25"/>
        <v>KVRT132</v>
      </c>
      <c r="W200" t="str">
        <f t="shared" si="26"/>
        <v>KVRT132T1</v>
      </c>
      <c r="X200">
        <v>12.8485</v>
      </c>
      <c r="Z200" t="s">
        <v>1117</v>
      </c>
      <c r="AA200" t="s">
        <v>804</v>
      </c>
      <c r="AB200" t="s">
        <v>1423</v>
      </c>
      <c r="AD200" t="s">
        <v>1874</v>
      </c>
      <c r="AE200">
        <v>12.8485</v>
      </c>
      <c r="AF200">
        <v>63173</v>
      </c>
      <c r="AH200" t="s">
        <v>2348</v>
      </c>
    </row>
    <row r="201" spans="1:34" x14ac:dyDescent="0.25">
      <c r="G201" s="244"/>
      <c r="H201">
        <f t="shared" si="24"/>
        <v>88194</v>
      </c>
      <c r="I201" s="246" t="s">
        <v>809</v>
      </c>
      <c r="J201" s="246">
        <v>48.7</v>
      </c>
      <c r="K201" s="246" t="s">
        <v>1499</v>
      </c>
      <c r="M201" t="str">
        <f t="shared" si="17"/>
        <v>BCVS132T4</v>
      </c>
      <c r="N201" t="str">
        <f>VLOOKUP(H201,'TNB Load'!$A$2:$F$1448,6,FALSE)</f>
        <v>SELANGOR</v>
      </c>
      <c r="O201">
        <f t="shared" si="18"/>
        <v>43.893700000000003</v>
      </c>
      <c r="R201">
        <v>63173</v>
      </c>
      <c r="S201" t="s">
        <v>1117</v>
      </c>
      <c r="T201" t="s">
        <v>807</v>
      </c>
      <c r="U201" t="str">
        <f t="shared" si="25"/>
        <v>KVRT132</v>
      </c>
      <c r="W201" t="str">
        <f t="shared" si="26"/>
        <v>KVRT132T2</v>
      </c>
      <c r="X201">
        <v>10.972099999999999</v>
      </c>
      <c r="Z201" t="s">
        <v>1117</v>
      </c>
      <c r="AA201" t="s">
        <v>807</v>
      </c>
      <c r="AB201" t="s">
        <v>1423</v>
      </c>
      <c r="AD201" t="s">
        <v>1875</v>
      </c>
      <c r="AE201">
        <v>10.972099999999999</v>
      </c>
      <c r="AF201">
        <v>63173</v>
      </c>
      <c r="AH201" t="s">
        <v>1999</v>
      </c>
    </row>
    <row r="202" spans="1:34" x14ac:dyDescent="0.25">
      <c r="G202" s="244"/>
      <c r="H202">
        <f t="shared" si="24"/>
        <v>88194</v>
      </c>
      <c r="I202" s="246" t="s">
        <v>808</v>
      </c>
      <c r="J202" s="246">
        <v>48.7</v>
      </c>
      <c r="K202" s="246" t="str">
        <f>K201</f>
        <v>BCVS132</v>
      </c>
      <c r="M202" t="str">
        <f t="shared" si="17"/>
        <v>BCVS132T3</v>
      </c>
      <c r="N202" t="str">
        <f>VLOOKUP(H202,'TNB Load'!$A$2:$F$1448,6,FALSE)</f>
        <v>SELANGOR</v>
      </c>
      <c r="O202">
        <f t="shared" si="18"/>
        <v>43.401899999999998</v>
      </c>
      <c r="R202">
        <v>63173</v>
      </c>
      <c r="S202" t="s">
        <v>1117</v>
      </c>
      <c r="T202" t="s">
        <v>808</v>
      </c>
      <c r="U202" t="str">
        <f t="shared" si="25"/>
        <v>KVRT132</v>
      </c>
      <c r="W202" t="str">
        <f t="shared" si="26"/>
        <v>KVRT132T3</v>
      </c>
      <c r="X202">
        <v>33.939500000000002</v>
      </c>
      <c r="Z202" t="s">
        <v>1117</v>
      </c>
      <c r="AA202" t="s">
        <v>808</v>
      </c>
      <c r="AB202" t="s">
        <v>1423</v>
      </c>
      <c r="AD202" t="s">
        <v>1876</v>
      </c>
      <c r="AE202">
        <v>33.939500000000002</v>
      </c>
      <c r="AF202">
        <v>63173</v>
      </c>
      <c r="AH202" t="s">
        <v>1998</v>
      </c>
    </row>
    <row r="203" spans="1:34" x14ac:dyDescent="0.25">
      <c r="G203" s="244"/>
      <c r="H203">
        <f t="shared" si="24"/>
        <v>97119</v>
      </c>
      <c r="I203" s="246" t="s">
        <v>807</v>
      </c>
      <c r="J203" s="246">
        <v>48.7</v>
      </c>
      <c r="K203" s="246" t="s">
        <v>1500</v>
      </c>
      <c r="M203" t="str">
        <f t="shared" si="17"/>
        <v>PRJA132T2</v>
      </c>
      <c r="N203" t="str">
        <f>VLOOKUP(H203,'TNB Load'!$A$2:$F$1448,6,FALSE)</f>
        <v>JOHOR</v>
      </c>
      <c r="O203">
        <f t="shared" si="18"/>
        <v>0</v>
      </c>
      <c r="R203">
        <v>63173</v>
      </c>
      <c r="S203" t="s">
        <v>1117</v>
      </c>
      <c r="T203" t="s">
        <v>809</v>
      </c>
      <c r="U203" t="str">
        <f t="shared" si="25"/>
        <v>KVRT132</v>
      </c>
      <c r="W203" t="str">
        <f t="shared" si="26"/>
        <v>KVRT132T4</v>
      </c>
      <c r="X203">
        <v>33.933300000000003</v>
      </c>
      <c r="Z203" t="s">
        <v>1117</v>
      </c>
      <c r="AA203" t="s">
        <v>809</v>
      </c>
      <c r="AB203" t="s">
        <v>1423</v>
      </c>
      <c r="AD203" t="s">
        <v>1877</v>
      </c>
      <c r="AE203">
        <v>33.933300000000003</v>
      </c>
      <c r="AF203">
        <v>63173</v>
      </c>
      <c r="AH203" t="s">
        <v>2752</v>
      </c>
    </row>
    <row r="204" spans="1:34" x14ac:dyDescent="0.25">
      <c r="G204" s="244"/>
      <c r="H204">
        <f t="shared" si="24"/>
        <v>97119</v>
      </c>
      <c r="I204" s="246" t="s">
        <v>804</v>
      </c>
      <c r="J204" s="246">
        <v>48.7</v>
      </c>
      <c r="K204" s="246" t="str">
        <f>K203</f>
        <v>PRJA132</v>
      </c>
      <c r="M204" t="str">
        <f t="shared" si="17"/>
        <v>PRJA132T1</v>
      </c>
      <c r="N204" t="str">
        <f>VLOOKUP(H204,'TNB Load'!$A$2:$F$1448,6,FALSE)</f>
        <v>JOHOR</v>
      </c>
      <c r="O204">
        <f t="shared" si="18"/>
        <v>20.467700000000001</v>
      </c>
      <c r="R204">
        <v>63131</v>
      </c>
      <c r="S204" t="s">
        <v>1126</v>
      </c>
      <c r="T204" t="s">
        <v>804</v>
      </c>
      <c r="U204" t="str">
        <f t="shared" si="25"/>
        <v>LMTM132</v>
      </c>
      <c r="W204" t="str">
        <f t="shared" si="26"/>
        <v>LMTM132T1</v>
      </c>
      <c r="X204">
        <v>12.4063</v>
      </c>
      <c r="Z204" t="s">
        <v>1126</v>
      </c>
      <c r="AA204" t="s">
        <v>804</v>
      </c>
      <c r="AB204" t="s">
        <v>1497</v>
      </c>
      <c r="AD204" t="s">
        <v>1878</v>
      </c>
      <c r="AE204">
        <v>12.4063</v>
      </c>
      <c r="AF204">
        <v>63131</v>
      </c>
      <c r="AH204" t="s">
        <v>2751</v>
      </c>
    </row>
    <row r="205" spans="1:34" x14ac:dyDescent="0.25">
      <c r="G205" s="244"/>
      <c r="H205">
        <f t="shared" si="24"/>
        <v>96405</v>
      </c>
      <c r="I205" s="246" t="s">
        <v>809</v>
      </c>
      <c r="J205" s="246">
        <v>48.7</v>
      </c>
      <c r="K205" s="250" t="s">
        <v>1501</v>
      </c>
      <c r="M205" t="str">
        <f t="shared" si="17"/>
        <v>MCOP132T4</v>
      </c>
      <c r="N205" t="str">
        <f>VLOOKUP(H205,'TNB Load'!$A$2:$F$1448,6,FALSE)</f>
        <v>MELAKA</v>
      </c>
      <c r="O205">
        <f t="shared" si="18"/>
        <v>37.733600000000003</v>
      </c>
      <c r="R205">
        <v>63131</v>
      </c>
      <c r="S205" t="s">
        <v>1126</v>
      </c>
      <c r="T205" t="s">
        <v>807</v>
      </c>
      <c r="U205" t="str">
        <f t="shared" si="25"/>
        <v>LMTM132</v>
      </c>
      <c r="W205" t="str">
        <f t="shared" si="26"/>
        <v>LMTM132T2</v>
      </c>
      <c r="X205">
        <v>12.3649</v>
      </c>
      <c r="Z205" t="s">
        <v>1126</v>
      </c>
      <c r="AA205" t="s">
        <v>807</v>
      </c>
      <c r="AB205" t="s">
        <v>1497</v>
      </c>
      <c r="AD205" t="s">
        <v>1879</v>
      </c>
      <c r="AE205">
        <v>12.3649</v>
      </c>
      <c r="AF205">
        <v>63131</v>
      </c>
      <c r="AH205" t="s">
        <v>2549</v>
      </c>
    </row>
    <row r="206" spans="1:34" x14ac:dyDescent="0.25">
      <c r="G206" s="244"/>
      <c r="H206">
        <f t="shared" si="24"/>
        <v>96405</v>
      </c>
      <c r="I206" s="246" t="s">
        <v>808</v>
      </c>
      <c r="J206" s="246">
        <v>48.7</v>
      </c>
      <c r="K206" s="250" t="str">
        <f t="shared" ref="K206:K208" si="27">K205</f>
        <v>MCOP132</v>
      </c>
      <c r="M206" t="str">
        <f t="shared" si="17"/>
        <v>MCOP132T3</v>
      </c>
      <c r="N206" t="str">
        <f>VLOOKUP(H206,'TNB Load'!$A$2:$F$1448,6,FALSE)</f>
        <v>MELAKA</v>
      </c>
      <c r="O206">
        <f t="shared" si="18"/>
        <v>37.673499999999997</v>
      </c>
      <c r="R206">
        <v>63131</v>
      </c>
      <c r="S206" t="s">
        <v>1126</v>
      </c>
      <c r="T206" t="s">
        <v>808</v>
      </c>
      <c r="U206" t="str">
        <f t="shared" si="25"/>
        <v>LMTM132</v>
      </c>
      <c r="W206" t="str">
        <f t="shared" si="26"/>
        <v>LMTM132T3</v>
      </c>
      <c r="X206">
        <v>41.558700000000002</v>
      </c>
      <c r="Z206" t="s">
        <v>1126</v>
      </c>
      <c r="AA206" t="s">
        <v>808</v>
      </c>
      <c r="AB206" t="s">
        <v>1497</v>
      </c>
      <c r="AD206" t="s">
        <v>1880</v>
      </c>
      <c r="AE206">
        <v>41.558700000000002</v>
      </c>
      <c r="AF206">
        <v>63131</v>
      </c>
      <c r="AH206" t="s">
        <v>2548</v>
      </c>
    </row>
    <row r="207" spans="1:34" x14ac:dyDescent="0.25">
      <c r="G207" s="244"/>
      <c r="H207">
        <f t="shared" si="24"/>
        <v>96405</v>
      </c>
      <c r="I207" s="246" t="s">
        <v>807</v>
      </c>
      <c r="J207" s="246">
        <v>48.7</v>
      </c>
      <c r="K207" s="250" t="str">
        <f t="shared" si="27"/>
        <v>MCOP132</v>
      </c>
      <c r="M207" t="str">
        <f t="shared" si="17"/>
        <v>MCOP132T2</v>
      </c>
      <c r="N207" t="str">
        <f>VLOOKUP(H207,'TNB Load'!$A$2:$F$1448,6,FALSE)</f>
        <v>MELAKA</v>
      </c>
      <c r="O207">
        <f t="shared" si="18"/>
        <v>10.4834</v>
      </c>
      <c r="R207">
        <v>63131</v>
      </c>
      <c r="S207" t="s">
        <v>1126</v>
      </c>
      <c r="T207" t="s">
        <v>809</v>
      </c>
      <c r="U207" t="str">
        <f t="shared" si="25"/>
        <v>LMTM132</v>
      </c>
      <c r="W207" t="str">
        <f t="shared" si="26"/>
        <v>LMTM132T4</v>
      </c>
      <c r="X207">
        <v>39.884300000000003</v>
      </c>
      <c r="Z207" t="s">
        <v>1126</v>
      </c>
      <c r="AA207" t="s">
        <v>809</v>
      </c>
      <c r="AB207" t="s">
        <v>1497</v>
      </c>
      <c r="AD207" t="s">
        <v>1881</v>
      </c>
      <c r="AE207">
        <v>39.884300000000003</v>
      </c>
      <c r="AF207">
        <v>63131</v>
      </c>
      <c r="AH207" t="s">
        <v>2547</v>
      </c>
    </row>
    <row r="208" spans="1:34" x14ac:dyDescent="0.25">
      <c r="G208" s="244"/>
      <c r="H208">
        <f t="shared" si="24"/>
        <v>96405</v>
      </c>
      <c r="I208" s="246" t="s">
        <v>804</v>
      </c>
      <c r="J208" s="246">
        <v>48.7</v>
      </c>
      <c r="K208" s="250" t="str">
        <f t="shared" si="27"/>
        <v>MCOP132</v>
      </c>
      <c r="M208" t="str">
        <f t="shared" si="17"/>
        <v>MCOP132T1</v>
      </c>
      <c r="N208" t="str">
        <f>VLOOKUP(H208,'TNB Load'!$A$2:$F$1448,6,FALSE)</f>
        <v>MELAKA</v>
      </c>
      <c r="O208">
        <f t="shared" si="18"/>
        <v>13.2057</v>
      </c>
      <c r="R208">
        <v>63129</v>
      </c>
      <c r="S208" t="s">
        <v>1127</v>
      </c>
      <c r="T208" t="s">
        <v>804</v>
      </c>
      <c r="U208" t="str">
        <f t="shared" si="25"/>
        <v>LMUT132</v>
      </c>
      <c r="W208" t="str">
        <f t="shared" si="26"/>
        <v>LMUT132T1</v>
      </c>
      <c r="X208">
        <v>42.339500000000001</v>
      </c>
      <c r="Z208" t="s">
        <v>1127</v>
      </c>
      <c r="AA208" t="s">
        <v>804</v>
      </c>
      <c r="AB208" t="s">
        <v>1496</v>
      </c>
      <c r="AD208" t="s">
        <v>1882</v>
      </c>
      <c r="AE208">
        <v>42.339500000000001</v>
      </c>
      <c r="AF208">
        <v>63129</v>
      </c>
      <c r="AH208" t="s">
        <v>2546</v>
      </c>
    </row>
    <row r="209" spans="7:34" x14ac:dyDescent="0.25">
      <c r="G209" s="63"/>
      <c r="H209">
        <f t="shared" si="24"/>
        <v>96124</v>
      </c>
      <c r="I209" s="246" t="s">
        <v>826</v>
      </c>
      <c r="J209" s="246">
        <v>48.7</v>
      </c>
      <c r="K209" s="250" t="s">
        <v>1502</v>
      </c>
      <c r="M209" t="str">
        <f t="shared" si="17"/>
        <v>XNYI132F2</v>
      </c>
      <c r="N209" t="str">
        <f>VLOOKUP(H209,'TNB Load'!$A$2:$F$1448,6,FALSE)</f>
        <v>MELAKA</v>
      </c>
      <c r="O209">
        <f t="shared" si="18"/>
        <v>27.8171</v>
      </c>
      <c r="R209">
        <v>63129</v>
      </c>
      <c r="S209" t="s">
        <v>1127</v>
      </c>
      <c r="T209" t="s">
        <v>807</v>
      </c>
      <c r="U209" t="str">
        <f t="shared" si="25"/>
        <v>LMUT132</v>
      </c>
      <c r="W209" t="str">
        <f t="shared" si="26"/>
        <v>LMUT132T2</v>
      </c>
      <c r="X209">
        <v>43.2455</v>
      </c>
      <c r="Z209" t="s">
        <v>1127</v>
      </c>
      <c r="AA209" t="s">
        <v>807</v>
      </c>
      <c r="AB209" t="s">
        <v>1496</v>
      </c>
      <c r="AD209" t="s">
        <v>1883</v>
      </c>
      <c r="AE209">
        <v>43.2455</v>
      </c>
      <c r="AF209">
        <v>63129</v>
      </c>
      <c r="AH209" t="s">
        <v>3122</v>
      </c>
    </row>
    <row r="210" spans="7:34" x14ac:dyDescent="0.25">
      <c r="G210" s="244"/>
      <c r="H210">
        <f t="shared" si="24"/>
        <v>96124</v>
      </c>
      <c r="I210" s="246" t="s">
        <v>823</v>
      </c>
      <c r="J210" s="246">
        <v>48.7</v>
      </c>
      <c r="K210" s="250" t="s">
        <v>1502</v>
      </c>
      <c r="M210" t="str">
        <f t="shared" si="17"/>
        <v>XNYI132F1</v>
      </c>
      <c r="N210" t="str">
        <f>VLOOKUP(H210,'TNB Load'!$A$2:$F$1448,6,FALSE)</f>
        <v>MELAKA</v>
      </c>
      <c r="O210">
        <f t="shared" si="18"/>
        <v>9.9733999999999998</v>
      </c>
      <c r="R210">
        <v>63129</v>
      </c>
      <c r="S210" t="s">
        <v>1127</v>
      </c>
      <c r="T210" t="s">
        <v>808</v>
      </c>
      <c r="U210" t="str">
        <f t="shared" si="25"/>
        <v>LMUT132</v>
      </c>
      <c r="W210" t="str">
        <f t="shared" si="26"/>
        <v>LMUT132T3</v>
      </c>
      <c r="X210">
        <v>27.778300000000002</v>
      </c>
      <c r="Z210" t="s">
        <v>1127</v>
      </c>
      <c r="AA210" t="s">
        <v>808</v>
      </c>
      <c r="AB210" t="s">
        <v>1496</v>
      </c>
      <c r="AD210" t="s">
        <v>1884</v>
      </c>
      <c r="AE210">
        <v>27.778300000000002</v>
      </c>
      <c r="AF210">
        <v>63129</v>
      </c>
      <c r="AH210" t="s">
        <v>3121</v>
      </c>
    </row>
    <row r="211" spans="7:34" x14ac:dyDescent="0.25">
      <c r="G211" s="244"/>
      <c r="H211">
        <f t="shared" si="24"/>
        <v>97117</v>
      </c>
      <c r="I211" s="246" t="s">
        <v>807</v>
      </c>
      <c r="J211" s="246">
        <v>48.7</v>
      </c>
      <c r="K211" s="250" t="s">
        <v>1503</v>
      </c>
      <c r="M211" t="str">
        <f t="shared" si="17"/>
        <v>TKID132T2</v>
      </c>
      <c r="N211" t="str">
        <f>VLOOKUP(H211,'TNB Load'!$A$2:$F$1448,6,FALSE)</f>
        <v>MELAKA</v>
      </c>
      <c r="O211">
        <f t="shared" si="18"/>
        <v>8.3957999999999995</v>
      </c>
      <c r="R211">
        <v>63160</v>
      </c>
      <c r="S211" t="s">
        <v>1140</v>
      </c>
      <c r="T211" t="s">
        <v>804</v>
      </c>
      <c r="U211" t="str">
        <f t="shared" si="25"/>
        <v>MERY132</v>
      </c>
      <c r="W211" t="str">
        <f t="shared" si="26"/>
        <v>MERY132T1</v>
      </c>
      <c r="X211">
        <v>3.6345999999999998</v>
      </c>
      <c r="Z211" t="s">
        <v>1140</v>
      </c>
      <c r="AA211" t="s">
        <v>804</v>
      </c>
      <c r="AB211" t="s">
        <v>1885</v>
      </c>
      <c r="AD211" t="s">
        <v>1886</v>
      </c>
      <c r="AE211">
        <v>3.6345999999999998</v>
      </c>
      <c r="AF211">
        <v>63160</v>
      </c>
      <c r="AH211" t="s">
        <v>2580</v>
      </c>
    </row>
    <row r="212" spans="7:34" x14ac:dyDescent="0.25">
      <c r="G212" s="244"/>
      <c r="H212">
        <f t="shared" si="24"/>
        <v>97117</v>
      </c>
      <c r="I212" s="246" t="s">
        <v>804</v>
      </c>
      <c r="J212" s="246">
        <v>48.7</v>
      </c>
      <c r="K212" s="250" t="str">
        <f>K211</f>
        <v>TKID132</v>
      </c>
      <c r="M212" t="str">
        <f t="shared" si="17"/>
        <v>TKID132T1</v>
      </c>
      <c r="N212" t="str">
        <f>VLOOKUP(H212,'TNB Load'!$A$2:$F$1448,6,FALSE)</f>
        <v>MELAKA</v>
      </c>
      <c r="O212">
        <f t="shared" si="18"/>
        <v>8.4725000000000001</v>
      </c>
      <c r="R212">
        <v>63160</v>
      </c>
      <c r="S212" t="s">
        <v>1140</v>
      </c>
      <c r="T212" t="s">
        <v>807</v>
      </c>
      <c r="U212" t="str">
        <f t="shared" si="25"/>
        <v>MERY132</v>
      </c>
      <c r="W212" t="str">
        <f t="shared" si="26"/>
        <v>MERY132T2</v>
      </c>
      <c r="X212">
        <v>3.6139000000000001</v>
      </c>
      <c r="Z212" t="s">
        <v>1140</v>
      </c>
      <c r="AA212" t="s">
        <v>807</v>
      </c>
      <c r="AB212" t="s">
        <v>1885</v>
      </c>
      <c r="AD212" t="s">
        <v>1887</v>
      </c>
      <c r="AE212">
        <v>3.6139000000000001</v>
      </c>
      <c r="AF212">
        <v>63160</v>
      </c>
      <c r="AH212" t="s">
        <v>2579</v>
      </c>
    </row>
    <row r="213" spans="7:34" x14ac:dyDescent="0.25">
      <c r="G213" s="244"/>
      <c r="H213">
        <f t="shared" si="24"/>
        <v>97128</v>
      </c>
      <c r="I213" s="246" t="s">
        <v>809</v>
      </c>
      <c r="J213" s="246">
        <v>48.7</v>
      </c>
      <c r="K213" s="250" t="s">
        <v>1504</v>
      </c>
      <c r="M213" t="str">
        <f t="shared" si="17"/>
        <v>TKAK132T4</v>
      </c>
      <c r="N213" t="str">
        <f>VLOOKUP(H213,'TNB Load'!$A$2:$F$1448,6,FALSE)</f>
        <v>JOHOR</v>
      </c>
      <c r="O213">
        <f t="shared" si="18"/>
        <v>11.2041</v>
      </c>
      <c r="R213">
        <v>63146</v>
      </c>
      <c r="S213" t="s">
        <v>1150</v>
      </c>
      <c r="T213" t="s">
        <v>804</v>
      </c>
      <c r="U213" t="str">
        <f t="shared" si="25"/>
        <v>MLBU132</v>
      </c>
      <c r="W213" t="str">
        <f t="shared" si="26"/>
        <v>MLBU132T1</v>
      </c>
      <c r="X213">
        <v>8.4952000000000005</v>
      </c>
      <c r="Z213" t="s">
        <v>1150</v>
      </c>
      <c r="AA213" t="s">
        <v>804</v>
      </c>
      <c r="AB213" t="s">
        <v>1424</v>
      </c>
      <c r="AD213" t="s">
        <v>1888</v>
      </c>
      <c r="AE213">
        <v>8.4952000000000005</v>
      </c>
      <c r="AF213">
        <v>63146</v>
      </c>
      <c r="AH213" t="s">
        <v>2844</v>
      </c>
    </row>
    <row r="214" spans="7:34" x14ac:dyDescent="0.25">
      <c r="G214" s="244"/>
      <c r="H214">
        <f t="shared" si="24"/>
        <v>97128</v>
      </c>
      <c r="I214" s="246" t="s">
        <v>808</v>
      </c>
      <c r="J214" s="246">
        <v>48.7</v>
      </c>
      <c r="K214" s="250" t="str">
        <f>K213</f>
        <v>TKAK132</v>
      </c>
      <c r="M214" t="str">
        <f t="shared" si="17"/>
        <v>TKAK132T3</v>
      </c>
      <c r="N214" t="str">
        <f>VLOOKUP(H214,'TNB Load'!$A$2:$F$1448,6,FALSE)</f>
        <v>JOHOR</v>
      </c>
      <c r="O214">
        <f t="shared" si="18"/>
        <v>11.146100000000001</v>
      </c>
      <c r="R214">
        <v>63146</v>
      </c>
      <c r="S214" t="s">
        <v>1150</v>
      </c>
      <c r="T214" t="s">
        <v>807</v>
      </c>
      <c r="U214" t="str">
        <f t="shared" si="25"/>
        <v>MLBU132</v>
      </c>
      <c r="W214" t="str">
        <f t="shared" si="26"/>
        <v>MLBU132T2</v>
      </c>
      <c r="X214">
        <v>12.581300000000001</v>
      </c>
      <c r="Z214" t="s">
        <v>1150</v>
      </c>
      <c r="AA214" t="s">
        <v>807</v>
      </c>
      <c r="AB214" t="s">
        <v>1424</v>
      </c>
      <c r="AD214" t="s">
        <v>1889</v>
      </c>
      <c r="AE214">
        <v>12.581300000000001</v>
      </c>
      <c r="AF214">
        <v>63146</v>
      </c>
      <c r="AH214" t="s">
        <v>2843</v>
      </c>
    </row>
    <row r="215" spans="7:34" x14ac:dyDescent="0.25">
      <c r="G215" s="244"/>
      <c r="H215">
        <f t="shared" si="24"/>
        <v>97150</v>
      </c>
      <c r="I215" s="246" t="s">
        <v>807</v>
      </c>
      <c r="J215" s="246">
        <v>48.7</v>
      </c>
      <c r="K215" s="250" t="s">
        <v>1505</v>
      </c>
      <c r="M215" t="str">
        <f t="shared" si="17"/>
        <v>JMTH132T2</v>
      </c>
      <c r="N215" t="str">
        <f>VLOOKUP(H215,'TNB Load'!$A$2:$F$1448,6,FALSE)</f>
        <v>JOHOR</v>
      </c>
      <c r="O215">
        <f t="shared" si="18"/>
        <v>7.5384000000000002</v>
      </c>
      <c r="R215">
        <v>63146</v>
      </c>
      <c r="S215" t="s">
        <v>1150</v>
      </c>
      <c r="T215" t="s">
        <v>808</v>
      </c>
      <c r="U215" t="str">
        <f t="shared" si="25"/>
        <v>MLBU132</v>
      </c>
      <c r="W215" t="str">
        <f t="shared" si="26"/>
        <v>MLBU132T3</v>
      </c>
      <c r="X215">
        <v>34.484200000000001</v>
      </c>
      <c r="Z215" t="s">
        <v>1150</v>
      </c>
      <c r="AA215" t="s">
        <v>808</v>
      </c>
      <c r="AB215" t="s">
        <v>1424</v>
      </c>
      <c r="AD215" t="s">
        <v>1890</v>
      </c>
      <c r="AE215">
        <v>34.484200000000001</v>
      </c>
      <c r="AF215">
        <v>63146</v>
      </c>
      <c r="AH215" t="s">
        <v>2645</v>
      </c>
    </row>
    <row r="216" spans="7:34" x14ac:dyDescent="0.25">
      <c r="G216" s="244"/>
      <c r="H216">
        <f t="shared" si="24"/>
        <v>97150</v>
      </c>
      <c r="I216" s="246" t="s">
        <v>804</v>
      </c>
      <c r="J216" s="246">
        <v>48.7</v>
      </c>
      <c r="K216" s="250" t="str">
        <f>K215</f>
        <v>JMTH132</v>
      </c>
      <c r="M216" t="str">
        <f t="shared" si="17"/>
        <v>JMTH132T1</v>
      </c>
      <c r="N216" t="str">
        <f>VLOOKUP(H216,'TNB Load'!$A$2:$F$1448,6,FALSE)</f>
        <v>JOHOR</v>
      </c>
      <c r="O216">
        <f t="shared" si="18"/>
        <v>6.3890000000000002</v>
      </c>
      <c r="R216">
        <v>63146</v>
      </c>
      <c r="S216" t="s">
        <v>1150</v>
      </c>
      <c r="T216" t="s">
        <v>809</v>
      </c>
      <c r="U216" t="str">
        <f t="shared" si="25"/>
        <v>MLBU132</v>
      </c>
      <c r="W216" t="str">
        <f t="shared" si="26"/>
        <v>MLBU132T4</v>
      </c>
      <c r="X216">
        <v>34.633299999999998</v>
      </c>
      <c r="Z216" t="s">
        <v>1150</v>
      </c>
      <c r="AA216" t="s">
        <v>809</v>
      </c>
      <c r="AB216" t="s">
        <v>1424</v>
      </c>
      <c r="AD216" t="s">
        <v>1891</v>
      </c>
      <c r="AE216">
        <v>34.633299999999998</v>
      </c>
      <c r="AF216">
        <v>63146</v>
      </c>
      <c r="AH216" t="s">
        <v>2644</v>
      </c>
    </row>
    <row r="217" spans="7:34" x14ac:dyDescent="0.25">
      <c r="G217" s="244"/>
      <c r="H217">
        <f t="shared" si="24"/>
        <v>97141</v>
      </c>
      <c r="I217" s="246" t="s">
        <v>807</v>
      </c>
      <c r="J217" s="246">
        <v>48.7</v>
      </c>
      <c r="K217" s="250" t="s">
        <v>1506</v>
      </c>
      <c r="M217" t="str">
        <f t="shared" si="17"/>
        <v>SGMT132T2</v>
      </c>
      <c r="N217" t="str">
        <f>VLOOKUP(H217,'TNB Load'!$A$2:$F$1448,6,FALSE)</f>
        <v>JOHOR</v>
      </c>
      <c r="O217">
        <f t="shared" si="18"/>
        <v>9.8466000000000005</v>
      </c>
      <c r="R217">
        <v>63142</v>
      </c>
      <c r="S217" t="s">
        <v>1173</v>
      </c>
      <c r="T217" t="s">
        <v>804</v>
      </c>
      <c r="U217" t="str">
        <f t="shared" si="25"/>
        <v>NKAN132</v>
      </c>
      <c r="W217" t="str">
        <f t="shared" si="26"/>
        <v>NKAN132T1</v>
      </c>
      <c r="X217">
        <v>14.7455</v>
      </c>
      <c r="Z217" t="s">
        <v>1173</v>
      </c>
      <c r="AA217" t="s">
        <v>804</v>
      </c>
      <c r="AB217" t="s">
        <v>1436</v>
      </c>
      <c r="AD217" t="s">
        <v>1892</v>
      </c>
      <c r="AE217">
        <v>14.7455</v>
      </c>
      <c r="AF217">
        <v>63142</v>
      </c>
      <c r="AH217" t="s">
        <v>2795</v>
      </c>
    </row>
    <row r="218" spans="7:34" x14ac:dyDescent="0.25">
      <c r="G218" s="244"/>
      <c r="H218">
        <f t="shared" si="24"/>
        <v>97141</v>
      </c>
      <c r="I218" s="246" t="s">
        <v>804</v>
      </c>
      <c r="J218" s="246">
        <v>48.7</v>
      </c>
      <c r="K218" s="250" t="str">
        <f>K217</f>
        <v>SGMT132</v>
      </c>
      <c r="M218" t="str">
        <f t="shared" si="17"/>
        <v>SGMT132T1</v>
      </c>
      <c r="N218" t="str">
        <f>VLOOKUP(H218,'TNB Load'!$A$2:$F$1448,6,FALSE)</f>
        <v>JOHOR</v>
      </c>
      <c r="O218">
        <f t="shared" si="18"/>
        <v>7.9878</v>
      </c>
      <c r="R218">
        <v>63142</v>
      </c>
      <c r="S218" t="s">
        <v>1173</v>
      </c>
      <c r="T218" t="s">
        <v>807</v>
      </c>
      <c r="U218" t="str">
        <f t="shared" si="25"/>
        <v>NKAN132</v>
      </c>
      <c r="W218" t="str">
        <f t="shared" si="26"/>
        <v>NKAN132T2</v>
      </c>
      <c r="X218">
        <v>14.807600000000001</v>
      </c>
      <c r="Z218" t="s">
        <v>1173</v>
      </c>
      <c r="AA218" t="s">
        <v>807</v>
      </c>
      <c r="AB218" t="s">
        <v>1436</v>
      </c>
      <c r="AD218" t="s">
        <v>1893</v>
      </c>
      <c r="AE218">
        <v>14.807600000000001</v>
      </c>
      <c r="AF218">
        <v>63142</v>
      </c>
      <c r="AH218" t="s">
        <v>2794</v>
      </c>
    </row>
    <row r="219" spans="7:34" x14ac:dyDescent="0.25">
      <c r="G219" s="244"/>
      <c r="H219">
        <f t="shared" si="24"/>
        <v>97182</v>
      </c>
      <c r="I219" s="246" t="s">
        <v>809</v>
      </c>
      <c r="J219" s="246">
        <v>48.7</v>
      </c>
      <c r="K219" s="250" t="s">
        <v>1507</v>
      </c>
      <c r="M219" t="str">
        <f t="shared" si="17"/>
        <v>BSPT132T4</v>
      </c>
      <c r="N219" t="str">
        <f>VLOOKUP(H219,'TNB Load'!$A$2:$F$1448,6,FALSE)</f>
        <v>JOHOR</v>
      </c>
      <c r="O219">
        <f t="shared" si="18"/>
        <v>15.5418</v>
      </c>
      <c r="R219">
        <v>63118</v>
      </c>
      <c r="S219" t="s">
        <v>1191</v>
      </c>
      <c r="T219" t="s">
        <v>804</v>
      </c>
      <c r="U219" t="str">
        <f t="shared" si="25"/>
        <v>PBTR132</v>
      </c>
      <c r="W219" t="str">
        <f t="shared" si="26"/>
        <v>PBTR132T1</v>
      </c>
      <c r="X219">
        <v>19.1557</v>
      </c>
      <c r="Z219" t="s">
        <v>1191</v>
      </c>
      <c r="AA219" t="s">
        <v>804</v>
      </c>
      <c r="AB219" t="s">
        <v>1593</v>
      </c>
      <c r="AD219" t="s">
        <v>1894</v>
      </c>
      <c r="AE219">
        <v>19.1557</v>
      </c>
      <c r="AF219">
        <v>63118</v>
      </c>
      <c r="AH219" t="s">
        <v>2610</v>
      </c>
    </row>
    <row r="220" spans="7:34" x14ac:dyDescent="0.25">
      <c r="G220" s="244"/>
      <c r="H220">
        <f t="shared" si="24"/>
        <v>97182</v>
      </c>
      <c r="I220" s="246" t="s">
        <v>808</v>
      </c>
      <c r="J220" s="246">
        <v>48.7</v>
      </c>
      <c r="K220" s="250" t="str">
        <f t="shared" ref="K220:K222" si="28">K219</f>
        <v>BSPT132</v>
      </c>
      <c r="M220" t="str">
        <f t="shared" si="17"/>
        <v>BSPT132T3</v>
      </c>
      <c r="N220" t="str">
        <f>VLOOKUP(H220,'TNB Load'!$A$2:$F$1448,6,FALSE)</f>
        <v>JOHOR</v>
      </c>
      <c r="O220">
        <f t="shared" si="18"/>
        <v>15.3606</v>
      </c>
      <c r="R220">
        <v>63118</v>
      </c>
      <c r="S220" t="s">
        <v>1191</v>
      </c>
      <c r="T220" t="s">
        <v>807</v>
      </c>
      <c r="U220" t="str">
        <f t="shared" si="25"/>
        <v>PBTR132</v>
      </c>
      <c r="W220" t="str">
        <f t="shared" si="26"/>
        <v>PBTR132T2</v>
      </c>
      <c r="X220">
        <v>22.1845</v>
      </c>
      <c r="Z220" t="s">
        <v>1191</v>
      </c>
      <c r="AA220" t="s">
        <v>807</v>
      </c>
      <c r="AB220" t="s">
        <v>1593</v>
      </c>
      <c r="AD220" t="s">
        <v>1895</v>
      </c>
      <c r="AE220">
        <v>22.1845</v>
      </c>
      <c r="AF220">
        <v>63118</v>
      </c>
      <c r="AH220" t="s">
        <v>2609</v>
      </c>
    </row>
    <row r="221" spans="7:34" x14ac:dyDescent="0.25">
      <c r="G221" s="244"/>
      <c r="H221">
        <f t="shared" si="24"/>
        <v>97182</v>
      </c>
      <c r="I221" s="246" t="s">
        <v>807</v>
      </c>
      <c r="J221" s="246">
        <v>48.7</v>
      </c>
      <c r="K221" s="250" t="str">
        <f t="shared" si="28"/>
        <v>BSPT132</v>
      </c>
      <c r="M221" t="str">
        <f t="shared" si="17"/>
        <v>BSPT132T2</v>
      </c>
      <c r="N221" t="str">
        <f>VLOOKUP(H221,'TNB Load'!$A$2:$F$1448,6,FALSE)</f>
        <v>JOHOR</v>
      </c>
      <c r="O221">
        <f t="shared" si="18"/>
        <v>9.7905999999999995</v>
      </c>
      <c r="R221">
        <v>63120</v>
      </c>
      <c r="S221" t="s">
        <v>1218</v>
      </c>
      <c r="T221" t="s">
        <v>804</v>
      </c>
      <c r="U221" t="str">
        <f t="shared" si="25"/>
        <v>PKCB132</v>
      </c>
      <c r="W221" t="str">
        <f t="shared" si="26"/>
        <v>PKCB132T1</v>
      </c>
      <c r="X221">
        <v>2.4552</v>
      </c>
      <c r="Z221" t="s">
        <v>1218</v>
      </c>
      <c r="AA221" t="s">
        <v>804</v>
      </c>
      <c r="AB221" t="s">
        <v>1896</v>
      </c>
      <c r="AD221" t="s">
        <v>1897</v>
      </c>
      <c r="AE221">
        <v>2.4552</v>
      </c>
      <c r="AF221">
        <v>63120</v>
      </c>
      <c r="AH221" t="s">
        <v>2608</v>
      </c>
    </row>
    <row r="222" spans="7:34" x14ac:dyDescent="0.25">
      <c r="G222" s="244"/>
      <c r="H222">
        <f t="shared" si="24"/>
        <v>97182</v>
      </c>
      <c r="I222" s="246" t="s">
        <v>804</v>
      </c>
      <c r="J222" s="246">
        <v>48.7</v>
      </c>
      <c r="K222" s="250" t="str">
        <f t="shared" si="28"/>
        <v>BSPT132</v>
      </c>
      <c r="M222" t="str">
        <f t="shared" ref="M222:M285" si="29">K222&amp;I222</f>
        <v>BSPT132T1</v>
      </c>
      <c r="N222" t="str">
        <f>VLOOKUP(H222,'TNB Load'!$A$2:$F$1448,6,FALSE)</f>
        <v>JOHOR</v>
      </c>
      <c r="O222">
        <f t="shared" ref="O222:O285" si="30">VLOOKUP(M222,$W$3:$X$1300,2,FALSE)</f>
        <v>9.7760999999999996</v>
      </c>
      <c r="R222">
        <v>63120</v>
      </c>
      <c r="S222" t="s">
        <v>1218</v>
      </c>
      <c r="T222" t="s">
        <v>807</v>
      </c>
      <c r="U222" t="str">
        <f t="shared" si="25"/>
        <v>PKCB132</v>
      </c>
      <c r="W222" t="str">
        <f t="shared" si="26"/>
        <v>PKCB132T2</v>
      </c>
      <c r="X222">
        <v>2.4178999999999999</v>
      </c>
      <c r="Z222" t="s">
        <v>1218</v>
      </c>
      <c r="AA222" t="s">
        <v>807</v>
      </c>
      <c r="AB222" t="s">
        <v>1896</v>
      </c>
      <c r="AD222" t="s">
        <v>1898</v>
      </c>
      <c r="AE222">
        <v>2.4178999999999999</v>
      </c>
      <c r="AF222">
        <v>63120</v>
      </c>
      <c r="AH222" t="s">
        <v>2607</v>
      </c>
    </row>
    <row r="223" spans="7:34" x14ac:dyDescent="0.25">
      <c r="G223" s="244"/>
      <c r="H223">
        <f t="shared" si="24"/>
        <v>97174</v>
      </c>
      <c r="I223" s="246" t="s">
        <v>807</v>
      </c>
      <c r="J223" s="246">
        <v>48.7</v>
      </c>
      <c r="K223" s="250" t="s">
        <v>1508</v>
      </c>
      <c r="M223" t="str">
        <f t="shared" si="29"/>
        <v>BKPG132T2</v>
      </c>
      <c r="N223" t="str">
        <f>VLOOKUP(H223,'TNB Load'!$A$2:$F$1448,6,FALSE)</f>
        <v>JOHOR</v>
      </c>
      <c r="O223">
        <f t="shared" si="30"/>
        <v>3.8426999999999998</v>
      </c>
      <c r="R223">
        <v>63145</v>
      </c>
      <c r="S223" t="s">
        <v>1219</v>
      </c>
      <c r="T223" t="s">
        <v>804</v>
      </c>
      <c r="U223" t="str">
        <f t="shared" si="25"/>
        <v>PKID132</v>
      </c>
      <c r="W223" t="str">
        <f t="shared" si="26"/>
        <v>PKID132T1</v>
      </c>
      <c r="X223">
        <v>5.4146000000000001</v>
      </c>
      <c r="Z223" t="s">
        <v>1219</v>
      </c>
      <c r="AA223" t="s">
        <v>804</v>
      </c>
      <c r="AB223" t="s">
        <v>1422</v>
      </c>
      <c r="AD223" t="s">
        <v>1899</v>
      </c>
      <c r="AE223">
        <v>5.4146000000000001</v>
      </c>
      <c r="AF223">
        <v>63145</v>
      </c>
      <c r="AH223" t="s">
        <v>2598</v>
      </c>
    </row>
    <row r="224" spans="7:34" x14ac:dyDescent="0.25">
      <c r="G224" s="244"/>
      <c r="H224">
        <f t="shared" si="24"/>
        <v>97174</v>
      </c>
      <c r="I224" s="246" t="s">
        <v>804</v>
      </c>
      <c r="J224" s="246">
        <v>48.7</v>
      </c>
      <c r="K224" s="250" t="str">
        <f>K223</f>
        <v>BKPG132</v>
      </c>
      <c r="M224" t="str">
        <f t="shared" si="29"/>
        <v>BKPG132T1</v>
      </c>
      <c r="N224" t="str">
        <f>VLOOKUP(H224,'TNB Load'!$A$2:$F$1448,6,FALSE)</f>
        <v>JOHOR</v>
      </c>
      <c r="O224">
        <f t="shared" si="30"/>
        <v>3.8365</v>
      </c>
      <c r="R224">
        <v>63145</v>
      </c>
      <c r="S224" t="s">
        <v>1219</v>
      </c>
      <c r="T224" t="s">
        <v>807</v>
      </c>
      <c r="U224" t="str">
        <f t="shared" si="25"/>
        <v>PKID132</v>
      </c>
      <c r="W224" t="str">
        <f t="shared" si="26"/>
        <v>PKID132T2</v>
      </c>
      <c r="X224">
        <v>9.6611999999999991</v>
      </c>
      <c r="Z224" t="s">
        <v>1219</v>
      </c>
      <c r="AA224" t="s">
        <v>807</v>
      </c>
      <c r="AB224" t="s">
        <v>1422</v>
      </c>
      <c r="AD224" t="s">
        <v>1900</v>
      </c>
      <c r="AE224">
        <v>9.6611999999999991</v>
      </c>
      <c r="AF224">
        <v>63145</v>
      </c>
      <c r="AH224" t="s">
        <v>2597</v>
      </c>
    </row>
    <row r="225" spans="7:34" x14ac:dyDescent="0.25">
      <c r="G225" s="244"/>
      <c r="H225">
        <f t="shared" si="24"/>
        <v>97148</v>
      </c>
      <c r="I225" s="246" t="s">
        <v>809</v>
      </c>
      <c r="J225" s="246">
        <v>48.7</v>
      </c>
      <c r="K225" s="250" t="s">
        <v>1509</v>
      </c>
      <c r="M225" t="str">
        <f t="shared" si="29"/>
        <v>CAAH132T4</v>
      </c>
      <c r="N225" t="str">
        <f>VLOOKUP(H225,'TNB Load'!$A$2:$F$1448,6,FALSE)</f>
        <v>JOHOR</v>
      </c>
      <c r="O225">
        <f t="shared" si="30"/>
        <v>9.9108000000000001</v>
      </c>
      <c r="R225">
        <v>63145</v>
      </c>
      <c r="S225" t="s">
        <v>1219</v>
      </c>
      <c r="T225" t="s">
        <v>808</v>
      </c>
      <c r="U225" t="str">
        <f t="shared" si="25"/>
        <v>PKID132</v>
      </c>
      <c r="W225" t="str">
        <f t="shared" si="26"/>
        <v>PKID132T3</v>
      </c>
      <c r="X225">
        <v>12.6652</v>
      </c>
      <c r="Z225" t="s">
        <v>1219</v>
      </c>
      <c r="AA225" t="s">
        <v>808</v>
      </c>
      <c r="AB225" t="s">
        <v>1422</v>
      </c>
      <c r="AD225" t="s">
        <v>1901</v>
      </c>
      <c r="AE225">
        <v>12.6652</v>
      </c>
      <c r="AF225">
        <v>63145</v>
      </c>
      <c r="AH225" t="s">
        <v>2612</v>
      </c>
    </row>
    <row r="226" spans="7:34" x14ac:dyDescent="0.25">
      <c r="G226" s="244"/>
      <c r="H226">
        <f t="shared" si="24"/>
        <v>97148</v>
      </c>
      <c r="I226" s="246" t="s">
        <v>808</v>
      </c>
      <c r="J226" s="246">
        <v>48.7</v>
      </c>
      <c r="K226" s="250" t="str">
        <f>K225</f>
        <v>CAAH132</v>
      </c>
      <c r="M226" t="str">
        <f t="shared" si="29"/>
        <v>CAAH132T3</v>
      </c>
      <c r="N226" t="str">
        <f>VLOOKUP(H226,'TNB Load'!$A$2:$F$1448,6,FALSE)</f>
        <v>JOHOR</v>
      </c>
      <c r="O226">
        <f t="shared" si="30"/>
        <v>9.9708000000000006</v>
      </c>
      <c r="R226">
        <v>63145</v>
      </c>
      <c r="S226" t="s">
        <v>1219</v>
      </c>
      <c r="T226" t="s">
        <v>809</v>
      </c>
      <c r="U226" t="str">
        <f t="shared" si="25"/>
        <v>PKID132</v>
      </c>
      <c r="W226" t="str">
        <f t="shared" si="26"/>
        <v>PKID132T4</v>
      </c>
      <c r="X226">
        <v>12.6579</v>
      </c>
      <c r="Z226" t="s">
        <v>1219</v>
      </c>
      <c r="AA226" t="s">
        <v>809</v>
      </c>
      <c r="AB226" t="s">
        <v>1422</v>
      </c>
      <c r="AD226" t="s">
        <v>1902</v>
      </c>
      <c r="AE226">
        <v>12.6579</v>
      </c>
      <c r="AF226">
        <v>63145</v>
      </c>
      <c r="AH226" t="s">
        <v>2611</v>
      </c>
    </row>
    <row r="227" spans="7:34" x14ac:dyDescent="0.25">
      <c r="G227" s="244"/>
      <c r="H227">
        <f t="shared" si="24"/>
        <v>96138</v>
      </c>
      <c r="I227" s="246" t="s">
        <v>809</v>
      </c>
      <c r="J227" s="246">
        <v>48.7</v>
      </c>
      <c r="K227" s="250" t="s">
        <v>1510</v>
      </c>
      <c r="M227" t="str">
        <f t="shared" si="29"/>
        <v>BAHA132T4</v>
      </c>
      <c r="N227" t="str">
        <f>VLOOKUP(H227,'TNB Load'!$A$2:$F$1448,6,FALSE)</f>
        <v>NS</v>
      </c>
      <c r="O227">
        <f t="shared" si="30"/>
        <v>5.4673999999999996</v>
      </c>
      <c r="R227">
        <v>63133</v>
      </c>
      <c r="S227" t="s">
        <v>1222</v>
      </c>
      <c r="T227" t="s">
        <v>804</v>
      </c>
      <c r="U227" t="str">
        <f t="shared" si="25"/>
        <v>PKLN132</v>
      </c>
      <c r="W227" t="str">
        <f t="shared" si="26"/>
        <v>PKLN132T1</v>
      </c>
      <c r="X227">
        <v>6.7545999999999999</v>
      </c>
      <c r="Z227" t="s">
        <v>1222</v>
      </c>
      <c r="AA227" t="s">
        <v>804</v>
      </c>
      <c r="AB227" t="s">
        <v>1903</v>
      </c>
      <c r="AD227" t="s">
        <v>1904</v>
      </c>
      <c r="AE227">
        <v>6.7545999999999999</v>
      </c>
      <c r="AF227">
        <v>63133</v>
      </c>
      <c r="AH227" t="s">
        <v>2426</v>
      </c>
    </row>
    <row r="228" spans="7:34" x14ac:dyDescent="0.25">
      <c r="G228" s="244"/>
      <c r="H228">
        <f t="shared" si="24"/>
        <v>96138</v>
      </c>
      <c r="I228" s="246" t="s">
        <v>808</v>
      </c>
      <c r="J228" s="246">
        <v>48.7</v>
      </c>
      <c r="K228" s="250" t="str">
        <f t="shared" ref="K228:K230" si="31">K227</f>
        <v>BAHA132</v>
      </c>
      <c r="M228" t="str">
        <f t="shared" si="29"/>
        <v>BAHA132T3</v>
      </c>
      <c r="N228" t="str">
        <f>VLOOKUP(H228,'TNB Load'!$A$2:$F$1448,6,FALSE)</f>
        <v>NS</v>
      </c>
      <c r="O228">
        <f t="shared" si="30"/>
        <v>5.4177</v>
      </c>
      <c r="R228">
        <v>63133</v>
      </c>
      <c r="S228" t="s">
        <v>1222</v>
      </c>
      <c r="T228" t="s">
        <v>807</v>
      </c>
      <c r="U228" t="str">
        <f t="shared" si="25"/>
        <v>PKLN132</v>
      </c>
      <c r="W228" t="str">
        <f t="shared" si="26"/>
        <v>PKLN132T2</v>
      </c>
      <c r="X228">
        <v>16.7699</v>
      </c>
      <c r="Z228" t="s">
        <v>1222</v>
      </c>
      <c r="AA228" t="s">
        <v>807</v>
      </c>
      <c r="AB228" t="s">
        <v>1903</v>
      </c>
      <c r="AD228" t="s">
        <v>1905</v>
      </c>
      <c r="AE228">
        <v>16.7699</v>
      </c>
      <c r="AF228">
        <v>63133</v>
      </c>
      <c r="AH228" t="s">
        <v>2425</v>
      </c>
    </row>
    <row r="229" spans="7:34" x14ac:dyDescent="0.25">
      <c r="G229" s="244"/>
      <c r="H229">
        <f t="shared" si="24"/>
        <v>96138</v>
      </c>
      <c r="I229" s="246" t="s">
        <v>807</v>
      </c>
      <c r="J229" s="246">
        <v>48.7</v>
      </c>
      <c r="K229" s="250" t="str">
        <f t="shared" si="31"/>
        <v>BAHA132</v>
      </c>
      <c r="M229" t="str">
        <f t="shared" si="29"/>
        <v>BAHA132T2</v>
      </c>
      <c r="N229" t="str">
        <f>VLOOKUP(H229,'TNB Load'!$A$2:$F$1448,6,FALSE)</f>
        <v>NS</v>
      </c>
      <c r="O229">
        <f t="shared" si="30"/>
        <v>12.3835</v>
      </c>
      <c r="R229">
        <v>63133</v>
      </c>
      <c r="S229" t="s">
        <v>1222</v>
      </c>
      <c r="T229" t="s">
        <v>808</v>
      </c>
      <c r="U229" t="str">
        <f t="shared" si="25"/>
        <v>PKLN132</v>
      </c>
      <c r="W229" t="str">
        <f t="shared" si="26"/>
        <v>PKLN132T3</v>
      </c>
      <c r="X229">
        <v>35.492800000000003</v>
      </c>
      <c r="Z229" t="s">
        <v>1222</v>
      </c>
      <c r="AA229" t="s">
        <v>808</v>
      </c>
      <c r="AB229" t="s">
        <v>1903</v>
      </c>
      <c r="AD229" t="s">
        <v>1906</v>
      </c>
      <c r="AE229">
        <v>35.492800000000003</v>
      </c>
      <c r="AF229">
        <v>63133</v>
      </c>
      <c r="AH229" t="s">
        <v>2424</v>
      </c>
    </row>
    <row r="230" spans="7:34" x14ac:dyDescent="0.25">
      <c r="G230" s="244"/>
      <c r="H230">
        <f t="shared" si="24"/>
        <v>96138</v>
      </c>
      <c r="I230" s="246" t="s">
        <v>804</v>
      </c>
      <c r="J230" s="246">
        <v>48.7</v>
      </c>
      <c r="K230" s="250" t="str">
        <f t="shared" si="31"/>
        <v>BAHA132</v>
      </c>
      <c r="M230" t="str">
        <f t="shared" si="29"/>
        <v>BAHA132T1</v>
      </c>
      <c r="N230" t="str">
        <f>VLOOKUP(H230,'TNB Load'!$A$2:$F$1448,6,FALSE)</f>
        <v>NS</v>
      </c>
      <c r="O230">
        <f t="shared" si="30"/>
        <v>12.4001</v>
      </c>
      <c r="R230">
        <v>63133</v>
      </c>
      <c r="S230" t="s">
        <v>1222</v>
      </c>
      <c r="T230" t="s">
        <v>809</v>
      </c>
      <c r="U230" t="str">
        <f t="shared" si="25"/>
        <v>PKLN132</v>
      </c>
      <c r="W230" t="str">
        <f t="shared" si="26"/>
        <v>PKLN132T4</v>
      </c>
      <c r="X230">
        <v>35.365400000000001</v>
      </c>
      <c r="Z230" t="s">
        <v>1222</v>
      </c>
      <c r="AA230" t="s">
        <v>809</v>
      </c>
      <c r="AB230" t="s">
        <v>1903</v>
      </c>
      <c r="AD230" t="s">
        <v>1907</v>
      </c>
      <c r="AE230">
        <v>35.365400000000001</v>
      </c>
      <c r="AF230">
        <v>63133</v>
      </c>
      <c r="AH230" t="s">
        <v>2423</v>
      </c>
    </row>
    <row r="231" spans="7:34" x14ac:dyDescent="0.25">
      <c r="G231" s="244"/>
      <c r="H231">
        <f t="shared" si="24"/>
        <v>96151</v>
      </c>
      <c r="I231" s="246" t="s">
        <v>807</v>
      </c>
      <c r="J231" s="246">
        <v>48.7</v>
      </c>
      <c r="K231" s="250" t="s">
        <v>1511</v>
      </c>
      <c r="M231" t="str">
        <f t="shared" si="29"/>
        <v>NSCI132T2</v>
      </c>
      <c r="N231" t="str">
        <f>VLOOKUP(H231,'TNB Load'!$A$2:$F$1448,6,FALSE)</f>
        <v>NS</v>
      </c>
      <c r="O231">
        <f t="shared" si="30"/>
        <v>13.5692</v>
      </c>
      <c r="R231">
        <v>63147</v>
      </c>
      <c r="S231" t="s">
        <v>1269</v>
      </c>
      <c r="T231" t="s">
        <v>804</v>
      </c>
      <c r="U231" t="str">
        <f t="shared" si="25"/>
        <v>SBGS132</v>
      </c>
      <c r="W231" t="str">
        <f t="shared" si="26"/>
        <v>SBGS132T1</v>
      </c>
      <c r="X231">
        <v>6.4283999999999999</v>
      </c>
      <c r="Z231" t="s">
        <v>1269</v>
      </c>
      <c r="AA231" t="s">
        <v>804</v>
      </c>
      <c r="AB231" t="s">
        <v>1908</v>
      </c>
      <c r="AD231" t="s">
        <v>1909</v>
      </c>
      <c r="AE231">
        <v>6.4283999999999999</v>
      </c>
      <c r="AF231">
        <v>63147</v>
      </c>
      <c r="AH231" t="s">
        <v>3120</v>
      </c>
    </row>
    <row r="232" spans="7:34" x14ac:dyDescent="0.25">
      <c r="G232" s="244"/>
      <c r="H232">
        <f t="shared" si="24"/>
        <v>96151</v>
      </c>
      <c r="I232" s="246" t="s">
        <v>804</v>
      </c>
      <c r="J232" s="246">
        <v>48.7</v>
      </c>
      <c r="K232" s="250" t="str">
        <f>K231</f>
        <v>NSCI132</v>
      </c>
      <c r="M232" t="str">
        <f t="shared" si="29"/>
        <v>NSCI132T1</v>
      </c>
      <c r="N232" t="str">
        <f>VLOOKUP(H232,'TNB Load'!$A$2:$F$1448,6,FALSE)</f>
        <v>NS</v>
      </c>
      <c r="O232">
        <f t="shared" si="30"/>
        <v>12.6745</v>
      </c>
      <c r="R232">
        <v>63147</v>
      </c>
      <c r="S232" t="s">
        <v>1269</v>
      </c>
      <c r="T232" t="s">
        <v>807</v>
      </c>
      <c r="U232" t="str">
        <f t="shared" si="25"/>
        <v>SBGS132</v>
      </c>
      <c r="W232" t="str">
        <f t="shared" si="26"/>
        <v>SBGS132T2</v>
      </c>
      <c r="X232">
        <v>6.3932000000000002</v>
      </c>
      <c r="Z232" t="s">
        <v>1269</v>
      </c>
      <c r="AA232" t="s">
        <v>807</v>
      </c>
      <c r="AB232" t="s">
        <v>1908</v>
      </c>
      <c r="AD232" t="s">
        <v>1910</v>
      </c>
      <c r="AE232">
        <v>6.3932000000000002</v>
      </c>
      <c r="AF232">
        <v>63147</v>
      </c>
      <c r="AH232" t="s">
        <v>3119</v>
      </c>
    </row>
    <row r="233" spans="7:34" x14ac:dyDescent="0.25">
      <c r="G233" s="244"/>
      <c r="H233">
        <f t="shared" si="24"/>
        <v>96113</v>
      </c>
      <c r="I233" s="246" t="s">
        <v>809</v>
      </c>
      <c r="J233" s="246">
        <v>48.7</v>
      </c>
      <c r="K233" s="246" t="s">
        <v>1515</v>
      </c>
      <c r="M233" t="str">
        <f t="shared" si="29"/>
        <v>UPSR132T4</v>
      </c>
      <c r="N233" t="str">
        <f>VLOOKUP(H233,'TNB Load'!$A$2:$F$1448,6,FALSE)</f>
        <v>MELAKA</v>
      </c>
      <c r="O233">
        <f t="shared" si="30"/>
        <v>25.642099999999999</v>
      </c>
      <c r="R233">
        <v>63147</v>
      </c>
      <c r="S233" t="s">
        <v>1269</v>
      </c>
      <c r="T233" t="s">
        <v>808</v>
      </c>
      <c r="U233" t="str">
        <f t="shared" si="25"/>
        <v>SBGS132</v>
      </c>
      <c r="W233" t="str">
        <f t="shared" si="26"/>
        <v>SBGS132T3</v>
      </c>
      <c r="X233">
        <v>0</v>
      </c>
      <c r="Z233" t="s">
        <v>1269</v>
      </c>
      <c r="AA233" t="s">
        <v>808</v>
      </c>
      <c r="AB233" t="s">
        <v>1908</v>
      </c>
      <c r="AD233" t="s">
        <v>1911</v>
      </c>
      <c r="AE233">
        <v>0</v>
      </c>
      <c r="AF233">
        <v>63147</v>
      </c>
      <c r="AH233" t="s">
        <v>2587</v>
      </c>
    </row>
    <row r="234" spans="7:34" x14ac:dyDescent="0.25">
      <c r="G234" s="244"/>
      <c r="H234">
        <f t="shared" si="24"/>
        <v>96113</v>
      </c>
      <c r="I234" s="246" t="s">
        <v>808</v>
      </c>
      <c r="J234" s="246">
        <v>48.7</v>
      </c>
      <c r="K234" s="246" t="str">
        <f t="shared" ref="K234:K236" si="32">K233</f>
        <v>UPSR132</v>
      </c>
      <c r="M234" t="str">
        <f t="shared" si="29"/>
        <v>UPSR132T3</v>
      </c>
      <c r="N234" t="str">
        <f>VLOOKUP(H234,'TNB Load'!$A$2:$F$1448,6,FALSE)</f>
        <v>MELAKA</v>
      </c>
      <c r="O234">
        <f t="shared" si="30"/>
        <v>25.654499999999999</v>
      </c>
      <c r="R234">
        <v>63147</v>
      </c>
      <c r="S234" t="s">
        <v>1269</v>
      </c>
      <c r="T234" t="s">
        <v>809</v>
      </c>
      <c r="U234" t="str">
        <f t="shared" si="25"/>
        <v>SBGS132</v>
      </c>
      <c r="W234" t="str">
        <f t="shared" si="26"/>
        <v>SBGS132T4</v>
      </c>
      <c r="X234">
        <v>11.939299999999999</v>
      </c>
      <c r="Z234" t="s">
        <v>1269</v>
      </c>
      <c r="AA234" t="s">
        <v>809</v>
      </c>
      <c r="AB234" t="s">
        <v>1908</v>
      </c>
      <c r="AD234" t="s">
        <v>1912</v>
      </c>
      <c r="AE234">
        <v>11.939299999999999</v>
      </c>
      <c r="AF234">
        <v>63147</v>
      </c>
      <c r="AH234" t="s">
        <v>2586</v>
      </c>
    </row>
    <row r="235" spans="7:34" x14ac:dyDescent="0.25">
      <c r="G235" s="244"/>
      <c r="H235">
        <f t="shared" si="24"/>
        <v>96113</v>
      </c>
      <c r="I235" s="246" t="s">
        <v>807</v>
      </c>
      <c r="J235" s="246">
        <v>48.7</v>
      </c>
      <c r="K235" s="246" t="str">
        <f t="shared" si="32"/>
        <v>UPSR132</v>
      </c>
      <c r="M235" t="str">
        <f t="shared" si="29"/>
        <v>UPSR132T2</v>
      </c>
      <c r="N235" t="str">
        <f>VLOOKUP(H235,'TNB Load'!$A$2:$F$1448,6,FALSE)</f>
        <v>MELAKA</v>
      </c>
      <c r="O235">
        <f t="shared" si="30"/>
        <v>11.6318</v>
      </c>
      <c r="R235">
        <v>63125</v>
      </c>
      <c r="S235" t="s">
        <v>1294</v>
      </c>
      <c r="T235" t="s">
        <v>804</v>
      </c>
      <c r="U235" t="str">
        <f t="shared" si="25"/>
        <v>SIHY132</v>
      </c>
      <c r="W235" t="str">
        <f t="shared" si="26"/>
        <v>SIHY132T1</v>
      </c>
      <c r="X235">
        <v>0.1139</v>
      </c>
      <c r="Z235" t="s">
        <v>1294</v>
      </c>
      <c r="AA235" t="s">
        <v>804</v>
      </c>
      <c r="AB235" t="s">
        <v>1913</v>
      </c>
      <c r="AD235" t="s">
        <v>1914</v>
      </c>
      <c r="AE235">
        <v>0.1139</v>
      </c>
      <c r="AF235">
        <v>63125</v>
      </c>
      <c r="AH235" t="s">
        <v>2585</v>
      </c>
    </row>
    <row r="236" spans="7:34" x14ac:dyDescent="0.25">
      <c r="H236">
        <f t="shared" si="24"/>
        <v>96113</v>
      </c>
      <c r="I236" s="246" t="s">
        <v>804</v>
      </c>
      <c r="J236" s="246">
        <v>48.7</v>
      </c>
      <c r="K236" s="246" t="str">
        <f t="shared" si="32"/>
        <v>UPSR132</v>
      </c>
      <c r="M236" t="str">
        <f t="shared" si="29"/>
        <v>UPSR132T1</v>
      </c>
      <c r="N236" t="str">
        <f>VLOOKUP(H236,'TNB Load'!$A$2:$F$1448,6,FALSE)</f>
        <v>MELAKA</v>
      </c>
      <c r="O236">
        <f t="shared" si="30"/>
        <v>7.2423000000000002</v>
      </c>
      <c r="R236">
        <v>63125</v>
      </c>
      <c r="S236" t="s">
        <v>1294</v>
      </c>
      <c r="T236" t="s">
        <v>807</v>
      </c>
      <c r="U236" t="str">
        <f t="shared" si="25"/>
        <v>SIHY132</v>
      </c>
      <c r="W236" t="str">
        <f t="shared" si="26"/>
        <v>SIHY132T2</v>
      </c>
      <c r="X236">
        <v>0.10349999999999999</v>
      </c>
      <c r="Z236" t="s">
        <v>1294</v>
      </c>
      <c r="AA236" t="s">
        <v>807</v>
      </c>
      <c r="AB236" t="s">
        <v>1913</v>
      </c>
      <c r="AD236" t="s">
        <v>1915</v>
      </c>
      <c r="AE236">
        <v>0.10349999999999999</v>
      </c>
      <c r="AF236">
        <v>63125</v>
      </c>
      <c r="AH236" t="s">
        <v>2584</v>
      </c>
    </row>
    <row r="237" spans="7:34" x14ac:dyDescent="0.25">
      <c r="H237">
        <f t="shared" si="24"/>
        <v>96125</v>
      </c>
      <c r="I237" s="246" t="s">
        <v>807</v>
      </c>
      <c r="J237" s="246">
        <v>48.7</v>
      </c>
      <c r="K237" s="246" t="s">
        <v>1516</v>
      </c>
      <c r="M237" t="str">
        <f t="shared" si="29"/>
        <v>NLAI132T2</v>
      </c>
      <c r="N237" t="str">
        <f>VLOOKUP(H237,'TNB Load'!$A$2:$F$1448,6,FALSE)</f>
        <v>NS</v>
      </c>
      <c r="O237">
        <f t="shared" si="30"/>
        <v>5.0034999999999998</v>
      </c>
      <c r="R237">
        <v>63111</v>
      </c>
      <c r="S237" t="s">
        <v>1295</v>
      </c>
      <c r="T237" t="s">
        <v>804</v>
      </c>
      <c r="U237" t="str">
        <f t="shared" si="25"/>
        <v>SIKD132</v>
      </c>
      <c r="W237" t="str">
        <f t="shared" si="26"/>
        <v>SIKD132T1</v>
      </c>
      <c r="X237">
        <v>18.1492</v>
      </c>
      <c r="Z237" t="s">
        <v>1295</v>
      </c>
      <c r="AA237" t="s">
        <v>804</v>
      </c>
      <c r="AB237" t="s">
        <v>1612</v>
      </c>
      <c r="AD237" t="s">
        <v>1916</v>
      </c>
      <c r="AE237">
        <v>18.1492</v>
      </c>
      <c r="AF237">
        <v>63111</v>
      </c>
      <c r="AH237" t="s">
        <v>2450</v>
      </c>
    </row>
    <row r="238" spans="7:34" x14ac:dyDescent="0.25">
      <c r="H238">
        <f t="shared" si="24"/>
        <v>96125</v>
      </c>
      <c r="I238" s="246" t="s">
        <v>804</v>
      </c>
      <c r="J238" s="246">
        <v>48.7</v>
      </c>
      <c r="K238" s="246" t="str">
        <f>K237</f>
        <v>NLAI132</v>
      </c>
      <c r="M238" t="str">
        <f t="shared" si="29"/>
        <v>NLAI132T1</v>
      </c>
      <c r="N238" t="str">
        <f>VLOOKUP(H238,'TNB Load'!$A$2:$F$1448,6,FALSE)</f>
        <v>NS</v>
      </c>
      <c r="O238">
        <f t="shared" si="30"/>
        <v>9.9376999999999995</v>
      </c>
      <c r="R238">
        <v>63111</v>
      </c>
      <c r="S238" t="s">
        <v>1295</v>
      </c>
      <c r="T238" t="s">
        <v>807</v>
      </c>
      <c r="U238" t="str">
        <f t="shared" si="25"/>
        <v>SIKD132</v>
      </c>
      <c r="W238" t="str">
        <f t="shared" si="26"/>
        <v>SIKD132T2</v>
      </c>
      <c r="X238">
        <v>18.1264</v>
      </c>
      <c r="Z238" t="s">
        <v>1295</v>
      </c>
      <c r="AA238" t="s">
        <v>807</v>
      </c>
      <c r="AB238" t="s">
        <v>1612</v>
      </c>
      <c r="AD238" t="s">
        <v>1917</v>
      </c>
      <c r="AE238">
        <v>18.1264</v>
      </c>
      <c r="AF238">
        <v>63111</v>
      </c>
      <c r="AH238" t="s">
        <v>2449</v>
      </c>
    </row>
    <row r="239" spans="7:34" x14ac:dyDescent="0.25">
      <c r="H239">
        <f t="shared" si="24"/>
        <v>51048</v>
      </c>
      <c r="I239" s="246" t="s">
        <v>808</v>
      </c>
      <c r="J239" s="246">
        <v>48.7</v>
      </c>
      <c r="K239" s="246" t="s">
        <v>1517</v>
      </c>
      <c r="M239" t="str">
        <f t="shared" si="29"/>
        <v>BTGA132T3</v>
      </c>
      <c r="N239" t="str">
        <f>VLOOKUP(H239,'TNB Load'!$A$2:$F$1448,6,FALSE)</f>
        <v>SELANGOR</v>
      </c>
      <c r="O239">
        <f t="shared" si="30"/>
        <v>0</v>
      </c>
      <c r="R239">
        <v>63111</v>
      </c>
      <c r="S239" t="s">
        <v>1295</v>
      </c>
      <c r="T239" t="s">
        <v>808</v>
      </c>
      <c r="U239" t="str">
        <f t="shared" si="25"/>
        <v>SIKD132</v>
      </c>
      <c r="W239" t="str">
        <f t="shared" si="26"/>
        <v>SIKD132T3</v>
      </c>
      <c r="X239">
        <v>23.8703</v>
      </c>
      <c r="Z239" t="s">
        <v>1295</v>
      </c>
      <c r="AA239" t="s">
        <v>808</v>
      </c>
      <c r="AB239" t="s">
        <v>1612</v>
      </c>
      <c r="AD239" t="s">
        <v>1918</v>
      </c>
      <c r="AE239">
        <v>23.8703</v>
      </c>
      <c r="AF239">
        <v>63111</v>
      </c>
      <c r="AH239" t="s">
        <v>2036</v>
      </c>
    </row>
    <row r="240" spans="7:34" x14ac:dyDescent="0.25">
      <c r="H240">
        <f t="shared" si="24"/>
        <v>51048</v>
      </c>
      <c r="I240" s="246" t="s">
        <v>807</v>
      </c>
      <c r="J240" s="246">
        <v>48.7</v>
      </c>
      <c r="K240" s="246" t="str">
        <f>K239</f>
        <v>BTGA132</v>
      </c>
      <c r="M240" t="str">
        <f t="shared" si="29"/>
        <v>BTGA132T2</v>
      </c>
      <c r="N240" t="str">
        <f>VLOOKUP(H240,'TNB Load'!$A$2:$F$1448,6,FALSE)</f>
        <v>SELANGOR</v>
      </c>
      <c r="O240">
        <f t="shared" si="30"/>
        <v>19.086300000000001</v>
      </c>
      <c r="R240">
        <v>63111</v>
      </c>
      <c r="S240" t="s">
        <v>1295</v>
      </c>
      <c r="T240" t="s">
        <v>809</v>
      </c>
      <c r="U240" t="str">
        <f t="shared" si="25"/>
        <v>SIKD132</v>
      </c>
      <c r="W240" t="str">
        <f t="shared" si="26"/>
        <v>SIKD132T4</v>
      </c>
      <c r="X240">
        <v>23.921099999999999</v>
      </c>
      <c r="Z240" t="s">
        <v>1295</v>
      </c>
      <c r="AA240" t="s">
        <v>809</v>
      </c>
      <c r="AB240" t="s">
        <v>1612</v>
      </c>
      <c r="AD240" t="s">
        <v>1919</v>
      </c>
      <c r="AE240">
        <v>23.921099999999999</v>
      </c>
      <c r="AF240">
        <v>63111</v>
      </c>
      <c r="AH240" t="s">
        <v>2035</v>
      </c>
    </row>
    <row r="241" spans="8:34" x14ac:dyDescent="0.25">
      <c r="H241">
        <f t="shared" si="24"/>
        <v>51048</v>
      </c>
      <c r="I241" s="246" t="s">
        <v>804</v>
      </c>
      <c r="J241" s="246">
        <v>48.7</v>
      </c>
      <c r="K241" s="246" t="str">
        <f>K240</f>
        <v>BTGA132</v>
      </c>
      <c r="M241" t="str">
        <f t="shared" si="29"/>
        <v>BTGA132T1</v>
      </c>
      <c r="N241" t="str">
        <f>VLOOKUP(H241,'TNB Load'!$A$2:$F$1448,6,FALSE)</f>
        <v>SELANGOR</v>
      </c>
      <c r="O241">
        <f t="shared" si="30"/>
        <v>18.814</v>
      </c>
      <c r="R241">
        <v>63157</v>
      </c>
      <c r="S241" t="s">
        <v>1328</v>
      </c>
      <c r="T241" t="s">
        <v>810</v>
      </c>
      <c r="U241" t="str">
        <f t="shared" si="25"/>
        <v>SRVR132</v>
      </c>
      <c r="W241" t="str">
        <f t="shared" si="26"/>
        <v>SRVR132T5</v>
      </c>
      <c r="X241">
        <v>7.6938000000000004</v>
      </c>
      <c r="Z241" t="s">
        <v>1328</v>
      </c>
      <c r="AA241" t="s">
        <v>810</v>
      </c>
      <c r="AB241" t="s">
        <v>1920</v>
      </c>
      <c r="AD241" t="s">
        <v>1921</v>
      </c>
      <c r="AE241">
        <v>7.6938000000000004</v>
      </c>
      <c r="AF241">
        <v>63157</v>
      </c>
      <c r="AH241" t="s">
        <v>2034</v>
      </c>
    </row>
    <row r="242" spans="8:34" x14ac:dyDescent="0.25">
      <c r="H242">
        <f t="shared" si="24"/>
        <v>51035</v>
      </c>
      <c r="I242" s="246" t="s">
        <v>807</v>
      </c>
      <c r="J242" s="246">
        <v>48.7</v>
      </c>
      <c r="K242" s="246" t="s">
        <v>1518</v>
      </c>
      <c r="M242" t="str">
        <f t="shared" si="29"/>
        <v>BBDG132T2</v>
      </c>
      <c r="N242" t="str">
        <f>VLOOKUP(H242,'TNB Load'!$A$2:$F$1448,6,FALSE)</f>
        <v>SELANGOR</v>
      </c>
      <c r="O242">
        <f t="shared" si="30"/>
        <v>27.649899999999999</v>
      </c>
      <c r="R242">
        <v>63157</v>
      </c>
      <c r="S242" t="s">
        <v>1328</v>
      </c>
      <c r="T242" t="s">
        <v>812</v>
      </c>
      <c r="U242" t="str">
        <f t="shared" si="25"/>
        <v>SRVR132</v>
      </c>
      <c r="W242" t="str">
        <f t="shared" si="26"/>
        <v>SRVR132T6</v>
      </c>
      <c r="X242">
        <v>7.7031000000000001</v>
      </c>
      <c r="Z242" t="s">
        <v>1328</v>
      </c>
      <c r="AA242" t="s">
        <v>812</v>
      </c>
      <c r="AB242" t="s">
        <v>1920</v>
      </c>
      <c r="AD242" t="s">
        <v>1922</v>
      </c>
      <c r="AE242">
        <v>7.7031000000000001</v>
      </c>
      <c r="AF242">
        <v>63157</v>
      </c>
      <c r="AH242" t="s">
        <v>1978</v>
      </c>
    </row>
    <row r="243" spans="8:34" x14ac:dyDescent="0.25">
      <c r="H243">
        <f t="shared" si="24"/>
        <v>51035</v>
      </c>
      <c r="I243" s="246" t="s">
        <v>804</v>
      </c>
      <c r="J243" s="246">
        <v>48.7</v>
      </c>
      <c r="K243" s="246" t="str">
        <f>K242</f>
        <v>BBDG132</v>
      </c>
      <c r="M243" t="str">
        <f t="shared" si="29"/>
        <v>BBDG132T1</v>
      </c>
      <c r="N243" t="str">
        <f>VLOOKUP(H243,'TNB Load'!$A$2:$F$1448,6,FALSE)</f>
        <v>SELANGOR</v>
      </c>
      <c r="O243">
        <f t="shared" si="30"/>
        <v>27.732700000000001</v>
      </c>
      <c r="R243">
        <v>463159</v>
      </c>
      <c r="S243" t="s">
        <v>1331</v>
      </c>
      <c r="T243" t="s">
        <v>804</v>
      </c>
      <c r="U243" t="str">
        <f t="shared" si="25"/>
        <v>SSLS132</v>
      </c>
      <c r="W243" t="str">
        <f t="shared" si="26"/>
        <v>SSLS132T1</v>
      </c>
      <c r="X243">
        <v>15.532400000000001</v>
      </c>
      <c r="Z243" t="s">
        <v>1331</v>
      </c>
      <c r="AA243" t="s">
        <v>804</v>
      </c>
      <c r="AB243" t="s">
        <v>1923</v>
      </c>
      <c r="AD243" t="s">
        <v>1924</v>
      </c>
      <c r="AE243">
        <v>15.532400000000001</v>
      </c>
      <c r="AF243">
        <v>463159</v>
      </c>
      <c r="AH243" t="s">
        <v>1977</v>
      </c>
    </row>
    <row r="244" spans="8:34" x14ac:dyDescent="0.25">
      <c r="H244">
        <f t="shared" si="24"/>
        <v>51052</v>
      </c>
      <c r="I244" s="246" t="s">
        <v>807</v>
      </c>
      <c r="J244" s="246">
        <v>48.7</v>
      </c>
      <c r="K244" s="246" t="s">
        <v>1519</v>
      </c>
      <c r="M244" t="str">
        <f t="shared" si="29"/>
        <v>RSID132T2</v>
      </c>
      <c r="N244" t="str">
        <f>VLOOKUP(H244,'TNB Load'!$A$2:$F$1448,6,FALSE)</f>
        <v>SELANGOR</v>
      </c>
      <c r="O244">
        <f t="shared" si="30"/>
        <v>16.311199999999999</v>
      </c>
      <c r="R244">
        <v>63140</v>
      </c>
      <c r="S244" t="s">
        <v>1332</v>
      </c>
      <c r="T244" t="s">
        <v>804</v>
      </c>
      <c r="U244" t="str">
        <f t="shared" si="25"/>
        <v>SSPT132</v>
      </c>
      <c r="W244" t="str">
        <f t="shared" si="26"/>
        <v>SSPT132T1</v>
      </c>
      <c r="X244">
        <v>13.1084</v>
      </c>
      <c r="Z244" t="s">
        <v>1332</v>
      </c>
      <c r="AA244" t="s">
        <v>804</v>
      </c>
      <c r="AB244" t="s">
        <v>1925</v>
      </c>
      <c r="AD244" t="s">
        <v>1926</v>
      </c>
      <c r="AE244">
        <v>13.1084</v>
      </c>
      <c r="AF244">
        <v>63140</v>
      </c>
      <c r="AH244" t="s">
        <v>2192</v>
      </c>
    </row>
    <row r="245" spans="8:34" x14ac:dyDescent="0.25">
      <c r="H245">
        <f t="shared" si="24"/>
        <v>51052</v>
      </c>
      <c r="I245" s="246" t="s">
        <v>807</v>
      </c>
      <c r="J245" s="246">
        <v>48.7</v>
      </c>
      <c r="K245" s="246" t="s">
        <v>1519</v>
      </c>
      <c r="M245" t="str">
        <f t="shared" si="29"/>
        <v>RSID132T2</v>
      </c>
      <c r="N245" t="str">
        <f>VLOOKUP(H245,'TNB Load'!$A$2:$F$1448,6,FALSE)</f>
        <v>SELANGOR</v>
      </c>
      <c r="O245">
        <f t="shared" si="30"/>
        <v>16.311199999999999</v>
      </c>
      <c r="R245">
        <v>63140</v>
      </c>
      <c r="S245" t="s">
        <v>1332</v>
      </c>
      <c r="T245" t="s">
        <v>807</v>
      </c>
      <c r="U245" t="str">
        <f t="shared" si="25"/>
        <v>SSPT132</v>
      </c>
      <c r="W245" t="str">
        <f t="shared" si="26"/>
        <v>SSPT132T2</v>
      </c>
      <c r="X245">
        <v>13.0877</v>
      </c>
      <c r="Z245" t="s">
        <v>1332</v>
      </c>
      <c r="AA245" t="s">
        <v>807</v>
      </c>
      <c r="AB245" t="s">
        <v>1925</v>
      </c>
      <c r="AD245" t="s">
        <v>1927</v>
      </c>
      <c r="AE245">
        <v>13.0877</v>
      </c>
      <c r="AF245">
        <v>63140</v>
      </c>
      <c r="AH245" t="s">
        <v>2192</v>
      </c>
    </row>
    <row r="246" spans="8:34" x14ac:dyDescent="0.25">
      <c r="H246">
        <f t="shared" si="24"/>
        <v>97105</v>
      </c>
      <c r="I246" t="s">
        <v>807</v>
      </c>
      <c r="J246">
        <v>48.6</v>
      </c>
      <c r="K246" t="s">
        <v>1520</v>
      </c>
      <c r="M246" t="str">
        <f t="shared" si="29"/>
        <v>GRSK132T2</v>
      </c>
      <c r="N246" t="str">
        <f>VLOOKUP(H246,'TNB Load'!$A$2:$F$1448,6,FALSE)</f>
        <v>JOHOR</v>
      </c>
      <c r="O246">
        <f t="shared" si="30"/>
        <v>11.980700000000001</v>
      </c>
      <c r="R246">
        <v>63126</v>
      </c>
      <c r="S246" t="s">
        <v>1342</v>
      </c>
      <c r="T246" t="s">
        <v>804</v>
      </c>
      <c r="U246" t="str">
        <f t="shared" si="25"/>
        <v>SYPS132</v>
      </c>
      <c r="W246" t="str">
        <f t="shared" si="26"/>
        <v>SYPS132T1</v>
      </c>
      <c r="X246">
        <v>0.35520000000000002</v>
      </c>
      <c r="Z246" t="s">
        <v>1342</v>
      </c>
      <c r="AA246" t="s">
        <v>804</v>
      </c>
      <c r="AB246" t="s">
        <v>1928</v>
      </c>
      <c r="AD246" t="s">
        <v>1929</v>
      </c>
      <c r="AE246">
        <v>0.35520000000000002</v>
      </c>
      <c r="AF246">
        <v>63126</v>
      </c>
      <c r="AH246" t="s">
        <v>2632</v>
      </c>
    </row>
    <row r="247" spans="8:34" x14ac:dyDescent="0.25">
      <c r="H247">
        <f t="shared" si="24"/>
        <v>97105</v>
      </c>
      <c r="I247" t="s">
        <v>804</v>
      </c>
      <c r="J247">
        <v>48.6</v>
      </c>
      <c r="K247" t="str">
        <f>K246</f>
        <v>GRSK132</v>
      </c>
      <c r="M247" t="str">
        <f t="shared" si="29"/>
        <v>GRSK132T1</v>
      </c>
      <c r="N247" t="str">
        <f>VLOOKUP(H247,'TNB Load'!$A$2:$F$1448,6,FALSE)</f>
        <v>JOHOR</v>
      </c>
      <c r="O247">
        <f t="shared" si="30"/>
        <v>12.008699999999999</v>
      </c>
      <c r="R247">
        <v>63126</v>
      </c>
      <c r="S247" t="s">
        <v>1342</v>
      </c>
      <c r="T247" t="s">
        <v>807</v>
      </c>
      <c r="U247" t="str">
        <f t="shared" si="25"/>
        <v>SYPS132</v>
      </c>
      <c r="W247" t="str">
        <f t="shared" si="26"/>
        <v>SYPS132T2</v>
      </c>
      <c r="X247">
        <v>0.35720000000000002</v>
      </c>
      <c r="Z247" t="s">
        <v>1342</v>
      </c>
      <c r="AA247" t="s">
        <v>807</v>
      </c>
      <c r="AB247" t="s">
        <v>1928</v>
      </c>
      <c r="AD247" t="s">
        <v>1930</v>
      </c>
      <c r="AE247">
        <v>0.35720000000000002</v>
      </c>
      <c r="AF247">
        <v>63126</v>
      </c>
      <c r="AH247" t="s">
        <v>2631</v>
      </c>
    </row>
    <row r="248" spans="8:34" x14ac:dyDescent="0.25">
      <c r="H248">
        <f t="shared" si="24"/>
        <v>97132</v>
      </c>
      <c r="I248" t="s">
        <v>807</v>
      </c>
      <c r="J248">
        <v>48.6</v>
      </c>
      <c r="K248" t="s">
        <v>1521</v>
      </c>
      <c r="M248" t="str">
        <f t="shared" si="29"/>
        <v>KPTR132T2</v>
      </c>
      <c r="N248" t="str">
        <f>VLOOKUP(H248,'TNB Load'!$A$2:$F$1448,6,FALSE)</f>
        <v>JOHOR</v>
      </c>
      <c r="O248">
        <f t="shared" si="30"/>
        <v>11.748799999999999</v>
      </c>
      <c r="R248">
        <v>63134</v>
      </c>
      <c r="S248" t="s">
        <v>1345</v>
      </c>
      <c r="T248" t="s">
        <v>804</v>
      </c>
      <c r="U248" t="str">
        <f t="shared" si="25"/>
        <v>TASK132</v>
      </c>
      <c r="W248" t="str">
        <f t="shared" si="26"/>
        <v>TASK132T1</v>
      </c>
      <c r="X248">
        <v>4.8460999999999999</v>
      </c>
      <c r="Z248" t="s">
        <v>1345</v>
      </c>
      <c r="AA248" t="s">
        <v>804</v>
      </c>
      <c r="AB248" t="s">
        <v>1437</v>
      </c>
      <c r="AD248" t="s">
        <v>1931</v>
      </c>
      <c r="AE248">
        <v>4.8460999999999999</v>
      </c>
      <c r="AF248">
        <v>63134</v>
      </c>
      <c r="AH248" t="s">
        <v>2664</v>
      </c>
    </row>
    <row r="249" spans="8:34" x14ac:dyDescent="0.25">
      <c r="H249">
        <f t="shared" si="24"/>
        <v>97132</v>
      </c>
      <c r="I249" t="s">
        <v>804</v>
      </c>
      <c r="J249">
        <v>48.6</v>
      </c>
      <c r="K249" t="str">
        <f>K248</f>
        <v>KPTR132</v>
      </c>
      <c r="M249" t="str">
        <f t="shared" si="29"/>
        <v>KPTR132T1</v>
      </c>
      <c r="N249" t="str">
        <f>VLOOKUP(H249,'TNB Load'!$A$2:$F$1448,6,FALSE)</f>
        <v>JOHOR</v>
      </c>
      <c r="O249">
        <f t="shared" si="30"/>
        <v>11.7539</v>
      </c>
      <c r="R249">
        <v>63134</v>
      </c>
      <c r="S249" t="s">
        <v>1345</v>
      </c>
      <c r="T249" t="s">
        <v>807</v>
      </c>
      <c r="U249" t="str">
        <f t="shared" si="25"/>
        <v>TASK132</v>
      </c>
      <c r="W249" t="str">
        <f t="shared" si="26"/>
        <v>TASK132T2</v>
      </c>
      <c r="X249">
        <v>4.7218999999999998</v>
      </c>
      <c r="Z249" t="s">
        <v>1345</v>
      </c>
      <c r="AA249" t="s">
        <v>807</v>
      </c>
      <c r="AB249" t="s">
        <v>1437</v>
      </c>
      <c r="AD249" t="s">
        <v>1932</v>
      </c>
      <c r="AE249">
        <v>4.7218999999999998</v>
      </c>
      <c r="AF249">
        <v>63134</v>
      </c>
      <c r="AH249" t="s">
        <v>2663</v>
      </c>
    </row>
    <row r="250" spans="8:34" x14ac:dyDescent="0.25">
      <c r="H250">
        <f t="shared" si="24"/>
        <v>97113</v>
      </c>
      <c r="I250" t="s">
        <v>860</v>
      </c>
      <c r="J250">
        <v>48.6</v>
      </c>
      <c r="K250" t="s">
        <v>1522</v>
      </c>
      <c r="M250" t="str">
        <f t="shared" si="29"/>
        <v>SDAI132T8</v>
      </c>
      <c r="N250" t="str">
        <f>VLOOKUP(H250,'TNB Load'!$A$2:$F$1448,6,FALSE)</f>
        <v>JOHOR</v>
      </c>
      <c r="O250">
        <f t="shared" si="30"/>
        <v>0.67410000000000003</v>
      </c>
      <c r="R250">
        <v>63134</v>
      </c>
      <c r="S250" t="s">
        <v>1345</v>
      </c>
      <c r="T250" t="s">
        <v>808</v>
      </c>
      <c r="U250" t="str">
        <f t="shared" si="25"/>
        <v>TASK132</v>
      </c>
      <c r="W250" t="str">
        <f t="shared" si="26"/>
        <v>TASK132T3</v>
      </c>
      <c r="X250">
        <v>9.4603000000000002</v>
      </c>
      <c r="Z250" t="s">
        <v>1345</v>
      </c>
      <c r="AA250" t="s">
        <v>808</v>
      </c>
      <c r="AB250" t="s">
        <v>1437</v>
      </c>
      <c r="AD250" t="s">
        <v>1933</v>
      </c>
      <c r="AE250">
        <v>9.4603000000000002</v>
      </c>
      <c r="AF250">
        <v>63134</v>
      </c>
      <c r="AH250" t="s">
        <v>2783</v>
      </c>
    </row>
    <row r="251" spans="8:34" x14ac:dyDescent="0.25">
      <c r="H251">
        <f t="shared" si="24"/>
        <v>97113</v>
      </c>
      <c r="I251" t="s">
        <v>848</v>
      </c>
      <c r="J251">
        <v>48.6</v>
      </c>
      <c r="K251" t="str">
        <f>K250</f>
        <v>SDAI132</v>
      </c>
      <c r="M251" t="str">
        <f t="shared" si="29"/>
        <v>SDAI132T7</v>
      </c>
      <c r="N251" t="str">
        <f>VLOOKUP(H251,'TNB Load'!$A$2:$F$1448,6,FALSE)</f>
        <v>JOHOR</v>
      </c>
      <c r="O251">
        <f t="shared" si="30"/>
        <v>0.62749999999999995</v>
      </c>
      <c r="R251">
        <v>63134</v>
      </c>
      <c r="S251" t="s">
        <v>1345</v>
      </c>
      <c r="T251" t="s">
        <v>809</v>
      </c>
      <c r="U251" t="str">
        <f t="shared" si="25"/>
        <v>TASK132</v>
      </c>
      <c r="W251" t="str">
        <f t="shared" si="26"/>
        <v>TASK132T4</v>
      </c>
      <c r="X251">
        <v>11.7529</v>
      </c>
      <c r="Z251" t="s">
        <v>1345</v>
      </c>
      <c r="AA251" t="s">
        <v>809</v>
      </c>
      <c r="AB251" t="s">
        <v>1437</v>
      </c>
      <c r="AD251" t="s">
        <v>1934</v>
      </c>
      <c r="AE251">
        <v>11.7529</v>
      </c>
      <c r="AF251">
        <v>63134</v>
      </c>
      <c r="AH251" t="s">
        <v>2782</v>
      </c>
    </row>
    <row r="252" spans="8:34" x14ac:dyDescent="0.25">
      <c r="H252">
        <f t="shared" si="24"/>
        <v>97185</v>
      </c>
      <c r="I252" t="s">
        <v>807</v>
      </c>
      <c r="J252">
        <v>48.6</v>
      </c>
      <c r="K252" t="s">
        <v>1523</v>
      </c>
      <c r="M252" t="str">
        <f t="shared" si="29"/>
        <v>LKIN132T2</v>
      </c>
      <c r="N252" t="str">
        <f>VLOOKUP(H252,'TNB Load'!$A$2:$F$1448,6,FALSE)</f>
        <v>JOHOR</v>
      </c>
      <c r="O252">
        <f t="shared" si="30"/>
        <v>11.7995</v>
      </c>
      <c r="R252">
        <v>63135</v>
      </c>
      <c r="S252" t="s">
        <v>1348</v>
      </c>
      <c r="T252" t="s">
        <v>804</v>
      </c>
      <c r="U252" t="str">
        <f t="shared" si="25"/>
        <v>TCMT132</v>
      </c>
      <c r="W252" t="str">
        <f t="shared" si="26"/>
        <v>TCMT132T1</v>
      </c>
      <c r="X252">
        <v>6.5629999999999997</v>
      </c>
      <c r="Z252" t="s">
        <v>1348</v>
      </c>
      <c r="AA252" t="s">
        <v>804</v>
      </c>
      <c r="AB252" t="s">
        <v>1935</v>
      </c>
      <c r="AD252" t="s">
        <v>1936</v>
      </c>
      <c r="AE252">
        <v>6.5629999999999997</v>
      </c>
      <c r="AF252">
        <v>63135</v>
      </c>
      <c r="AH252" t="s">
        <v>2681</v>
      </c>
    </row>
    <row r="253" spans="8:34" x14ac:dyDescent="0.25">
      <c r="H253">
        <f t="shared" si="24"/>
        <v>97185</v>
      </c>
      <c r="I253" t="s">
        <v>804</v>
      </c>
      <c r="J253">
        <v>48.6</v>
      </c>
      <c r="K253" t="str">
        <f>K252</f>
        <v>LKIN132</v>
      </c>
      <c r="M253" t="str">
        <f t="shared" si="29"/>
        <v>LKIN132T1</v>
      </c>
      <c r="N253" t="str">
        <f>VLOOKUP(H253,'TNB Load'!$A$2:$F$1448,6,FALSE)</f>
        <v>JOHOR</v>
      </c>
      <c r="O253">
        <f t="shared" si="30"/>
        <v>11.7415</v>
      </c>
      <c r="R253">
        <v>63135</v>
      </c>
      <c r="S253" t="s">
        <v>1348</v>
      </c>
      <c r="T253" t="s">
        <v>807</v>
      </c>
      <c r="U253" t="str">
        <f t="shared" si="25"/>
        <v>TCMT132</v>
      </c>
      <c r="W253" t="str">
        <f t="shared" si="26"/>
        <v>TCMT132T2</v>
      </c>
      <c r="X253">
        <v>9.9169999999999998</v>
      </c>
      <c r="Z253" t="s">
        <v>1348</v>
      </c>
      <c r="AA253" t="s">
        <v>807</v>
      </c>
      <c r="AB253" t="s">
        <v>1935</v>
      </c>
      <c r="AD253" t="s">
        <v>1937</v>
      </c>
      <c r="AE253">
        <v>9.9169999999999998</v>
      </c>
      <c r="AF253">
        <v>63135</v>
      </c>
      <c r="AH253" t="s">
        <v>2680</v>
      </c>
    </row>
    <row r="254" spans="8:34" x14ac:dyDescent="0.25">
      <c r="H254">
        <f t="shared" si="24"/>
        <v>74127</v>
      </c>
      <c r="I254" t="s">
        <v>807</v>
      </c>
      <c r="J254">
        <v>48.6</v>
      </c>
      <c r="K254" t="s">
        <v>1524</v>
      </c>
      <c r="M254" t="str">
        <f t="shared" si="29"/>
        <v>SONG132T2</v>
      </c>
      <c r="N254" t="str">
        <f>VLOOKUP(H254,'TNB Load'!$A$2:$F$1448,6,FALSE)</f>
        <v>PAHANG</v>
      </c>
      <c r="O254">
        <f t="shared" si="30"/>
        <v>7.6120000000000001</v>
      </c>
      <c r="R254">
        <v>63135</v>
      </c>
      <c r="S254" t="s">
        <v>1348</v>
      </c>
      <c r="T254" t="s">
        <v>808</v>
      </c>
      <c r="U254" t="str">
        <f t="shared" si="25"/>
        <v>TCMT132</v>
      </c>
      <c r="W254" t="str">
        <f t="shared" si="26"/>
        <v>TCMT132T3</v>
      </c>
      <c r="X254">
        <v>2.5068999999999999</v>
      </c>
      <c r="Z254" t="s">
        <v>1348</v>
      </c>
      <c r="AA254" t="s">
        <v>808</v>
      </c>
      <c r="AB254" t="s">
        <v>1935</v>
      </c>
      <c r="AD254" t="s">
        <v>1938</v>
      </c>
      <c r="AE254">
        <v>2.5068999999999999</v>
      </c>
      <c r="AF254">
        <v>63135</v>
      </c>
      <c r="AH254" t="s">
        <v>2976</v>
      </c>
    </row>
    <row r="255" spans="8:34" x14ac:dyDescent="0.25">
      <c r="H255">
        <f t="shared" si="24"/>
        <v>74127</v>
      </c>
      <c r="I255" t="s">
        <v>804</v>
      </c>
      <c r="J255">
        <v>48.6</v>
      </c>
      <c r="K255" t="str">
        <f>K254</f>
        <v>SONG132</v>
      </c>
      <c r="M255" t="str">
        <f t="shared" si="29"/>
        <v>SONG132T1</v>
      </c>
      <c r="N255" t="str">
        <f>VLOOKUP(H255,'TNB Load'!$A$2:$F$1448,6,FALSE)</f>
        <v>PAHANG</v>
      </c>
      <c r="O255">
        <f t="shared" si="30"/>
        <v>14.467000000000001</v>
      </c>
      <c r="R255">
        <v>63135</v>
      </c>
      <c r="S255" t="s">
        <v>1348</v>
      </c>
      <c r="T255" t="s">
        <v>809</v>
      </c>
      <c r="U255" t="str">
        <f t="shared" si="25"/>
        <v>TCMT132</v>
      </c>
      <c r="W255" t="str">
        <f t="shared" si="26"/>
        <v>TCMT132T4</v>
      </c>
      <c r="X255">
        <v>2.5173000000000001</v>
      </c>
      <c r="Z255" t="s">
        <v>1348</v>
      </c>
      <c r="AA255" t="s">
        <v>809</v>
      </c>
      <c r="AB255" t="s">
        <v>1935</v>
      </c>
      <c r="AD255" t="s">
        <v>1939</v>
      </c>
      <c r="AE255">
        <v>2.5173000000000001</v>
      </c>
      <c r="AF255">
        <v>63135</v>
      </c>
      <c r="AH255" t="s">
        <v>2975</v>
      </c>
    </row>
    <row r="256" spans="8:34" x14ac:dyDescent="0.25">
      <c r="H256">
        <f t="shared" si="24"/>
        <v>74117</v>
      </c>
      <c r="I256" t="s">
        <v>807</v>
      </c>
      <c r="J256">
        <v>48.6</v>
      </c>
      <c r="K256" t="s">
        <v>1525</v>
      </c>
      <c r="M256" t="str">
        <f t="shared" si="29"/>
        <v>MTKB132T2</v>
      </c>
      <c r="N256" t="str">
        <f>VLOOKUP(H256,'TNB Load'!$A$2:$F$1448,6,FALSE)</f>
        <v>PAHANG</v>
      </c>
      <c r="O256">
        <f t="shared" si="30"/>
        <v>22.577999999999999</v>
      </c>
      <c r="R256">
        <v>63150</v>
      </c>
      <c r="S256" t="s">
        <v>1357</v>
      </c>
      <c r="T256" t="s">
        <v>804</v>
      </c>
      <c r="U256" t="str">
        <f t="shared" si="25"/>
        <v>TINE132</v>
      </c>
      <c r="W256" t="str">
        <f t="shared" si="26"/>
        <v>TINE132T1</v>
      </c>
      <c r="X256">
        <v>8.6288</v>
      </c>
      <c r="Z256" t="s">
        <v>1357</v>
      </c>
      <c r="AA256" t="s">
        <v>804</v>
      </c>
      <c r="AB256" t="s">
        <v>1940</v>
      </c>
      <c r="AD256" t="s">
        <v>1941</v>
      </c>
      <c r="AE256">
        <v>8.6288</v>
      </c>
      <c r="AF256">
        <v>63150</v>
      </c>
      <c r="AH256" t="s">
        <v>2959</v>
      </c>
    </row>
    <row r="257" spans="8:34" x14ac:dyDescent="0.25">
      <c r="H257">
        <f t="shared" si="24"/>
        <v>74117</v>
      </c>
      <c r="I257" t="s">
        <v>804</v>
      </c>
      <c r="J257">
        <v>48.6</v>
      </c>
      <c r="K257" t="str">
        <f>K256</f>
        <v>MTKB132</v>
      </c>
      <c r="M257" t="str">
        <f t="shared" si="29"/>
        <v>MTKB132T1</v>
      </c>
      <c r="N257" t="str">
        <f>VLOOKUP(H257,'TNB Load'!$A$2:$F$1448,6,FALSE)</f>
        <v>PAHANG</v>
      </c>
      <c r="O257">
        <f t="shared" si="30"/>
        <v>0</v>
      </c>
      <c r="R257">
        <v>63150</v>
      </c>
      <c r="S257" t="s">
        <v>1357</v>
      </c>
      <c r="T257" t="s">
        <v>807</v>
      </c>
      <c r="U257" t="str">
        <f t="shared" si="25"/>
        <v>TINE132</v>
      </c>
      <c r="W257" t="str">
        <f t="shared" si="26"/>
        <v>TINE132T2</v>
      </c>
      <c r="X257">
        <v>8.5884</v>
      </c>
      <c r="Z257" t="s">
        <v>1357</v>
      </c>
      <c r="AA257" t="s">
        <v>807</v>
      </c>
      <c r="AB257" t="s">
        <v>1940</v>
      </c>
      <c r="AD257" t="s">
        <v>1942</v>
      </c>
      <c r="AE257">
        <v>8.5884</v>
      </c>
      <c r="AF257">
        <v>63150</v>
      </c>
      <c r="AH257" t="s">
        <v>2958</v>
      </c>
    </row>
    <row r="258" spans="8:34" x14ac:dyDescent="0.25">
      <c r="H258">
        <f t="shared" si="24"/>
        <v>74144</v>
      </c>
      <c r="I258" t="s">
        <v>809</v>
      </c>
      <c r="J258">
        <v>48.6</v>
      </c>
      <c r="K258" t="s">
        <v>1526</v>
      </c>
      <c r="M258" t="str">
        <f t="shared" si="29"/>
        <v>TMID132T4</v>
      </c>
      <c r="N258" t="str">
        <f>VLOOKUP(H258,'TNB Load'!$A$2:$F$1448,6,FALSE)</f>
        <v>PAHANG</v>
      </c>
      <c r="O258">
        <f t="shared" si="30"/>
        <v>0</v>
      </c>
      <c r="R258">
        <v>63130</v>
      </c>
      <c r="S258" t="s">
        <v>1358</v>
      </c>
      <c r="T258" t="s">
        <v>804</v>
      </c>
      <c r="U258" t="str">
        <f t="shared" si="25"/>
        <v>TINT132</v>
      </c>
      <c r="W258" t="str">
        <f t="shared" si="26"/>
        <v>TINT132T1</v>
      </c>
      <c r="X258">
        <v>10.6242</v>
      </c>
      <c r="Z258" t="s">
        <v>1358</v>
      </c>
      <c r="AA258" t="s">
        <v>804</v>
      </c>
      <c r="AB258" t="s">
        <v>1943</v>
      </c>
      <c r="AD258" t="s">
        <v>1944</v>
      </c>
      <c r="AE258">
        <v>10.6242</v>
      </c>
      <c r="AF258">
        <v>63130</v>
      </c>
      <c r="AH258" t="s">
        <v>2990</v>
      </c>
    </row>
    <row r="259" spans="8:34" x14ac:dyDescent="0.25">
      <c r="H259">
        <f t="shared" ref="H259:H322" si="33">VLOOKUP(AH259,$AD$3:$AF$1300,3,FALSE)</f>
        <v>74144</v>
      </c>
      <c r="I259" t="s">
        <v>808</v>
      </c>
      <c r="J259">
        <v>48.6</v>
      </c>
      <c r="K259" t="str">
        <f t="shared" ref="K259:K261" si="34">K258</f>
        <v>TMID132</v>
      </c>
      <c r="M259" t="str">
        <f t="shared" si="29"/>
        <v>TMID132T3</v>
      </c>
      <c r="N259" t="str">
        <f>VLOOKUP(H259,'TNB Load'!$A$2:$F$1448,6,FALSE)</f>
        <v>PAHANG</v>
      </c>
      <c r="O259">
        <f t="shared" si="30"/>
        <v>0</v>
      </c>
      <c r="R259">
        <v>63130</v>
      </c>
      <c r="S259" t="s">
        <v>1358</v>
      </c>
      <c r="T259" t="s">
        <v>807</v>
      </c>
      <c r="U259" t="str">
        <f t="shared" si="25"/>
        <v>TINT132</v>
      </c>
      <c r="W259" t="str">
        <f t="shared" si="26"/>
        <v>TINT132T2</v>
      </c>
      <c r="X259">
        <v>10.4544</v>
      </c>
      <c r="Z259" t="s">
        <v>1358</v>
      </c>
      <c r="AA259" t="s">
        <v>807</v>
      </c>
      <c r="AB259" t="s">
        <v>1943</v>
      </c>
      <c r="AD259" t="s">
        <v>1945</v>
      </c>
      <c r="AE259">
        <v>10.4544</v>
      </c>
      <c r="AF259">
        <v>63130</v>
      </c>
      <c r="AH259" t="s">
        <v>2989</v>
      </c>
    </row>
    <row r="260" spans="8:34" x14ac:dyDescent="0.25">
      <c r="H260">
        <f t="shared" si="33"/>
        <v>74144</v>
      </c>
      <c r="I260" t="s">
        <v>807</v>
      </c>
      <c r="J260">
        <v>48.6</v>
      </c>
      <c r="K260" t="str">
        <f t="shared" si="34"/>
        <v>TMID132</v>
      </c>
      <c r="M260" t="str">
        <f t="shared" si="29"/>
        <v>TMID132T2</v>
      </c>
      <c r="N260" t="str">
        <f>VLOOKUP(H260,'TNB Load'!$A$2:$F$1448,6,FALSE)</f>
        <v>PAHANG</v>
      </c>
      <c r="O260">
        <f t="shared" si="30"/>
        <v>9.1155000000000008</v>
      </c>
      <c r="R260">
        <v>563130</v>
      </c>
      <c r="S260" t="s">
        <v>1359</v>
      </c>
      <c r="T260" t="s">
        <v>808</v>
      </c>
      <c r="U260" t="str">
        <f t="shared" ref="U260:U323" si="35">LEFT(S260,7)</f>
        <v>TINT132</v>
      </c>
      <c r="W260" t="str">
        <f t="shared" ref="W260:W323" si="36">U260&amp;T260</f>
        <v>TINT132T3</v>
      </c>
      <c r="X260">
        <v>6.4718999999999998</v>
      </c>
      <c r="Z260" t="s">
        <v>1359</v>
      </c>
      <c r="AA260" t="s">
        <v>808</v>
      </c>
      <c r="AB260" t="s">
        <v>1943</v>
      </c>
      <c r="AD260" t="s">
        <v>1946</v>
      </c>
      <c r="AE260">
        <v>6.4718999999999998</v>
      </c>
      <c r="AF260">
        <v>563130</v>
      </c>
      <c r="AH260" t="s">
        <v>2988</v>
      </c>
    </row>
    <row r="261" spans="8:34" x14ac:dyDescent="0.25">
      <c r="H261">
        <f t="shared" si="33"/>
        <v>74144</v>
      </c>
      <c r="I261" t="s">
        <v>804</v>
      </c>
      <c r="J261">
        <v>48.6</v>
      </c>
      <c r="K261" t="str">
        <f t="shared" si="34"/>
        <v>TMID132</v>
      </c>
      <c r="M261" t="str">
        <f t="shared" si="29"/>
        <v>TMID132T1</v>
      </c>
      <c r="N261" t="str">
        <f>VLOOKUP(H261,'TNB Load'!$A$2:$F$1448,6,FALSE)</f>
        <v>PAHANG</v>
      </c>
      <c r="O261">
        <f t="shared" si="30"/>
        <v>9.0398999999999994</v>
      </c>
      <c r="R261">
        <v>63206</v>
      </c>
      <c r="S261" t="s">
        <v>1376</v>
      </c>
      <c r="T261" t="s">
        <v>804</v>
      </c>
      <c r="U261" t="str">
        <f t="shared" si="35"/>
        <v>TMGR275</v>
      </c>
      <c r="W261" t="str">
        <f t="shared" si="36"/>
        <v>TMGR275T1</v>
      </c>
      <c r="X261">
        <v>6.0472999999999999</v>
      </c>
      <c r="Z261" t="s">
        <v>1376</v>
      </c>
      <c r="AA261" t="s">
        <v>804</v>
      </c>
      <c r="AB261" t="s">
        <v>1947</v>
      </c>
      <c r="AD261" t="s">
        <v>1948</v>
      </c>
      <c r="AE261">
        <v>6.0472999999999999</v>
      </c>
      <c r="AF261">
        <v>63206</v>
      </c>
      <c r="AH261" t="s">
        <v>2987</v>
      </c>
    </row>
    <row r="262" spans="8:34" x14ac:dyDescent="0.25">
      <c r="H262">
        <f t="shared" si="33"/>
        <v>74147</v>
      </c>
      <c r="I262" t="s">
        <v>823</v>
      </c>
      <c r="J262">
        <v>48.6</v>
      </c>
      <c r="K262" t="s">
        <v>1527</v>
      </c>
      <c r="M262" t="str">
        <f t="shared" si="29"/>
        <v>MNID132F1</v>
      </c>
      <c r="N262" t="str">
        <f>VLOOKUP(H262,'TNB Load'!$A$2:$F$1448,6,FALSE)</f>
        <v>PAHANG</v>
      </c>
      <c r="O262">
        <f t="shared" si="30"/>
        <v>0.32100000000000001</v>
      </c>
      <c r="R262">
        <v>63127</v>
      </c>
      <c r="S262" t="s">
        <v>1378</v>
      </c>
      <c r="T262" t="s">
        <v>808</v>
      </c>
      <c r="U262" t="str">
        <f t="shared" si="35"/>
        <v>TMOH132</v>
      </c>
      <c r="W262" t="str">
        <f t="shared" si="36"/>
        <v>TMOH132T3</v>
      </c>
      <c r="X262">
        <v>11.390499999999999</v>
      </c>
      <c r="Z262" t="s">
        <v>1378</v>
      </c>
      <c r="AA262" t="s">
        <v>808</v>
      </c>
      <c r="AB262" t="s">
        <v>1434</v>
      </c>
      <c r="AD262" t="s">
        <v>1949</v>
      </c>
      <c r="AE262">
        <v>11.390499999999999</v>
      </c>
      <c r="AF262">
        <v>63127</v>
      </c>
      <c r="AH262" t="s">
        <v>3126</v>
      </c>
    </row>
    <row r="263" spans="8:34" x14ac:dyDescent="0.25">
      <c r="H263">
        <f t="shared" si="33"/>
        <v>62118</v>
      </c>
      <c r="I263" t="s">
        <v>808</v>
      </c>
      <c r="J263">
        <v>48.6</v>
      </c>
      <c r="K263" t="s">
        <v>1528</v>
      </c>
      <c r="M263" t="str">
        <f t="shared" si="29"/>
        <v>GLGR132T3</v>
      </c>
      <c r="N263" t="str">
        <f>VLOOKUP(H263,'TNB Load'!$A$2:$F$1448,6,FALSE)</f>
        <v>P PINANG</v>
      </c>
      <c r="O263">
        <f t="shared" si="30"/>
        <v>21.4069</v>
      </c>
      <c r="R263">
        <v>63127</v>
      </c>
      <c r="S263" t="s">
        <v>1378</v>
      </c>
      <c r="T263" t="s">
        <v>809</v>
      </c>
      <c r="U263" t="str">
        <f t="shared" si="35"/>
        <v>TMOH132</v>
      </c>
      <c r="W263" t="str">
        <f t="shared" si="36"/>
        <v>TMOH132T4</v>
      </c>
      <c r="X263">
        <v>11.214399999999999</v>
      </c>
      <c r="Z263" t="s">
        <v>1378</v>
      </c>
      <c r="AA263" t="s">
        <v>809</v>
      </c>
      <c r="AB263" t="s">
        <v>1434</v>
      </c>
      <c r="AD263" t="s">
        <v>1950</v>
      </c>
      <c r="AE263">
        <v>11.214399999999999</v>
      </c>
      <c r="AF263">
        <v>63127</v>
      </c>
      <c r="AH263" t="s">
        <v>1778</v>
      </c>
    </row>
    <row r="264" spans="8:34" x14ac:dyDescent="0.25">
      <c r="H264">
        <f t="shared" si="33"/>
        <v>62118</v>
      </c>
      <c r="I264" t="s">
        <v>807</v>
      </c>
      <c r="J264">
        <v>48.6</v>
      </c>
      <c r="K264" t="str">
        <f t="shared" ref="K264:K265" si="37">K263</f>
        <v>GLGR132</v>
      </c>
      <c r="M264" t="str">
        <f t="shared" si="29"/>
        <v>GLGR132T2</v>
      </c>
      <c r="N264" t="str">
        <f>VLOOKUP(H264,'TNB Load'!$A$2:$F$1448,6,FALSE)</f>
        <v>P PINANG</v>
      </c>
      <c r="O264">
        <f t="shared" si="30"/>
        <v>21.373699999999999</v>
      </c>
      <c r="R264">
        <v>63154</v>
      </c>
      <c r="S264" t="s">
        <v>1386</v>
      </c>
      <c r="T264" t="s">
        <v>804</v>
      </c>
      <c r="U264" t="str">
        <f t="shared" si="35"/>
        <v>TPID132</v>
      </c>
      <c r="W264" t="str">
        <f t="shared" si="36"/>
        <v>TPID132T1</v>
      </c>
      <c r="X264">
        <v>12.5244</v>
      </c>
      <c r="Z264" t="s">
        <v>1386</v>
      </c>
      <c r="AA264" t="s">
        <v>804</v>
      </c>
      <c r="AB264" t="s">
        <v>1951</v>
      </c>
      <c r="AD264" t="s">
        <v>1952</v>
      </c>
      <c r="AE264">
        <v>12.5244</v>
      </c>
      <c r="AF264">
        <v>63154</v>
      </c>
      <c r="AH264" t="s">
        <v>1777</v>
      </c>
    </row>
    <row r="265" spans="8:34" x14ac:dyDescent="0.25">
      <c r="H265">
        <f t="shared" si="33"/>
        <v>62118</v>
      </c>
      <c r="I265" t="s">
        <v>804</v>
      </c>
      <c r="J265">
        <v>48.6</v>
      </c>
      <c r="K265" t="str">
        <f t="shared" si="37"/>
        <v>GLGR132</v>
      </c>
      <c r="M265" t="str">
        <f t="shared" si="29"/>
        <v>GLGR132T1</v>
      </c>
      <c r="N265" t="str">
        <f>VLOOKUP(H265,'TNB Load'!$A$2:$F$1448,6,FALSE)</f>
        <v>P PINANG</v>
      </c>
      <c r="O265">
        <f t="shared" si="30"/>
        <v>19.196100000000001</v>
      </c>
      <c r="R265">
        <v>63154</v>
      </c>
      <c r="S265" t="s">
        <v>1386</v>
      </c>
      <c r="T265" t="s">
        <v>807</v>
      </c>
      <c r="U265" t="str">
        <f t="shared" si="35"/>
        <v>TPID132</v>
      </c>
      <c r="W265" t="str">
        <f t="shared" si="36"/>
        <v>TPID132T2</v>
      </c>
      <c r="X265">
        <v>12.6248</v>
      </c>
      <c r="Z265" t="s">
        <v>1386</v>
      </c>
      <c r="AA265" t="s">
        <v>807</v>
      </c>
      <c r="AB265" t="s">
        <v>1951</v>
      </c>
      <c r="AD265" t="s">
        <v>1953</v>
      </c>
      <c r="AE265">
        <v>12.6248</v>
      </c>
      <c r="AF265">
        <v>63154</v>
      </c>
      <c r="AH265" t="s">
        <v>1776</v>
      </c>
    </row>
    <row r="266" spans="8:34" x14ac:dyDescent="0.25">
      <c r="H266">
        <f t="shared" si="33"/>
        <v>62110</v>
      </c>
      <c r="I266" t="s">
        <v>807</v>
      </c>
      <c r="J266">
        <v>48.6</v>
      </c>
      <c r="K266" t="s">
        <v>1529</v>
      </c>
      <c r="M266" t="str">
        <f t="shared" si="29"/>
        <v>BMTR132T2</v>
      </c>
      <c r="N266" t="str">
        <f>VLOOKUP(H266,'TNB Load'!$A$2:$F$1448,6,FALSE)</f>
        <v>P PINANG</v>
      </c>
      <c r="O266">
        <f t="shared" si="30"/>
        <v>57.494</v>
      </c>
      <c r="R266">
        <v>63154</v>
      </c>
      <c r="S266" t="s">
        <v>1386</v>
      </c>
      <c r="T266" t="s">
        <v>808</v>
      </c>
      <c r="U266" t="str">
        <f t="shared" si="35"/>
        <v>TPID132</v>
      </c>
      <c r="W266" t="str">
        <f t="shared" si="36"/>
        <v>TPID132T3</v>
      </c>
      <c r="X266">
        <v>34.218000000000004</v>
      </c>
      <c r="Z266" t="s">
        <v>1386</v>
      </c>
      <c r="AA266" t="s">
        <v>808</v>
      </c>
      <c r="AB266" t="s">
        <v>1951</v>
      </c>
      <c r="AD266" t="s">
        <v>1954</v>
      </c>
      <c r="AE266">
        <v>34.218000000000004</v>
      </c>
      <c r="AF266">
        <v>63154</v>
      </c>
      <c r="AH266" t="s">
        <v>1751</v>
      </c>
    </row>
    <row r="267" spans="8:34" x14ac:dyDescent="0.25">
      <c r="H267">
        <f t="shared" si="33"/>
        <v>62110</v>
      </c>
      <c r="I267" t="s">
        <v>804</v>
      </c>
      <c r="J267">
        <v>48.6</v>
      </c>
      <c r="K267" t="str">
        <f>K266</f>
        <v>BMTR132</v>
      </c>
      <c r="M267" t="str">
        <f t="shared" si="29"/>
        <v>BMTR132T1</v>
      </c>
      <c r="N267" t="str">
        <f>VLOOKUP(H267,'TNB Load'!$A$2:$F$1448,6,FALSE)</f>
        <v>P PINANG</v>
      </c>
      <c r="O267">
        <f t="shared" si="30"/>
        <v>62.741900000000001</v>
      </c>
      <c r="R267">
        <v>63154</v>
      </c>
      <c r="S267" t="s">
        <v>1386</v>
      </c>
      <c r="T267" t="s">
        <v>809</v>
      </c>
      <c r="U267" t="str">
        <f t="shared" si="35"/>
        <v>TPID132</v>
      </c>
      <c r="W267" t="str">
        <f t="shared" si="36"/>
        <v>TPID132T4</v>
      </c>
      <c r="X267">
        <v>33.971600000000002</v>
      </c>
      <c r="Z267" t="s">
        <v>1386</v>
      </c>
      <c r="AA267" t="s">
        <v>809</v>
      </c>
      <c r="AB267" t="s">
        <v>1951</v>
      </c>
      <c r="AD267" t="s">
        <v>1955</v>
      </c>
      <c r="AE267">
        <v>33.971600000000002</v>
      </c>
      <c r="AF267">
        <v>63154</v>
      </c>
      <c r="AH267" t="s">
        <v>1750</v>
      </c>
    </row>
    <row r="268" spans="8:34" x14ac:dyDescent="0.25">
      <c r="H268">
        <f t="shared" si="33"/>
        <v>62120</v>
      </c>
      <c r="I268" t="s">
        <v>807</v>
      </c>
      <c r="J268">
        <v>48.6</v>
      </c>
      <c r="K268" t="s">
        <v>1530</v>
      </c>
      <c r="M268" t="str">
        <f t="shared" si="29"/>
        <v>BKWS132T2</v>
      </c>
      <c r="N268" t="str">
        <f>VLOOKUP(H268,'TNB Load'!$A$2:$F$1448,6,FALSE)</f>
        <v>P PINANG</v>
      </c>
      <c r="O268">
        <f t="shared" si="30"/>
        <v>54.365699999999997</v>
      </c>
      <c r="R268">
        <v>63121</v>
      </c>
      <c r="S268" t="s">
        <v>1387</v>
      </c>
      <c r="T268" t="s">
        <v>804</v>
      </c>
      <c r="U268" t="str">
        <f t="shared" si="35"/>
        <v>TPNG132</v>
      </c>
      <c r="W268" t="str">
        <f t="shared" si="36"/>
        <v>TPNG132T1</v>
      </c>
      <c r="X268">
        <v>9.5306999999999995</v>
      </c>
      <c r="Z268" t="s">
        <v>1387</v>
      </c>
      <c r="AA268" t="s">
        <v>804</v>
      </c>
      <c r="AB268" t="s">
        <v>1956</v>
      </c>
      <c r="AD268" t="s">
        <v>1957</v>
      </c>
      <c r="AE268">
        <v>9.5306999999999995</v>
      </c>
      <c r="AF268">
        <v>63121</v>
      </c>
      <c r="AH268" t="s">
        <v>1735</v>
      </c>
    </row>
    <row r="269" spans="8:34" x14ac:dyDescent="0.25">
      <c r="H269">
        <f t="shared" si="33"/>
        <v>62120</v>
      </c>
      <c r="I269" t="s">
        <v>804</v>
      </c>
      <c r="J269">
        <v>48.6</v>
      </c>
      <c r="K269" t="str">
        <f>K268</f>
        <v>BKWS132</v>
      </c>
      <c r="M269" t="str">
        <f t="shared" si="29"/>
        <v>BKWS132T1</v>
      </c>
      <c r="N269" t="str">
        <f>VLOOKUP(H269,'TNB Load'!$A$2:$F$1448,6,FALSE)</f>
        <v>P PINANG</v>
      </c>
      <c r="O269">
        <f t="shared" si="30"/>
        <v>55.877600000000001</v>
      </c>
      <c r="R269">
        <v>563121</v>
      </c>
      <c r="S269" t="s">
        <v>1388</v>
      </c>
      <c r="T269" t="s">
        <v>807</v>
      </c>
      <c r="U269" t="str">
        <f t="shared" si="35"/>
        <v>TPNG132</v>
      </c>
      <c r="W269" t="str">
        <f t="shared" si="36"/>
        <v>TPNG132T2</v>
      </c>
      <c r="X269">
        <v>15.5169</v>
      </c>
      <c r="Z269" t="s">
        <v>1388</v>
      </c>
      <c r="AA269" t="s">
        <v>807</v>
      </c>
      <c r="AB269" t="s">
        <v>1956</v>
      </c>
      <c r="AD269" t="s">
        <v>1958</v>
      </c>
      <c r="AE269">
        <v>15.5169</v>
      </c>
      <c r="AF269">
        <v>563121</v>
      </c>
      <c r="AH269" t="s">
        <v>1734</v>
      </c>
    </row>
    <row r="270" spans="8:34" x14ac:dyDescent="0.25">
      <c r="H270">
        <f t="shared" si="33"/>
        <v>61137</v>
      </c>
      <c r="I270" t="s">
        <v>809</v>
      </c>
      <c r="J270">
        <v>48.6</v>
      </c>
      <c r="K270" t="s">
        <v>1531</v>
      </c>
      <c r="M270" t="str">
        <f t="shared" si="29"/>
        <v>KGAR132T4</v>
      </c>
      <c r="N270" t="str">
        <f>VLOOKUP(H270,'TNB Load'!$A$2:$F$1448,6,FALSE)</f>
        <v>PERLIS</v>
      </c>
      <c r="O270">
        <f t="shared" si="30"/>
        <v>10.9504</v>
      </c>
      <c r="R270">
        <v>74212</v>
      </c>
      <c r="S270" t="s">
        <v>1397</v>
      </c>
      <c r="T270" t="s">
        <v>804</v>
      </c>
      <c r="U270" t="str">
        <f t="shared" si="35"/>
        <v>UJLI275</v>
      </c>
      <c r="W270" t="str">
        <f t="shared" si="36"/>
        <v>UJLI275T1</v>
      </c>
      <c r="X270">
        <v>0.83050000000000002</v>
      </c>
      <c r="Z270" t="s">
        <v>1397</v>
      </c>
      <c r="AA270" t="s">
        <v>804</v>
      </c>
      <c r="AB270" t="s">
        <v>1959</v>
      </c>
      <c r="AD270" t="s">
        <v>1960</v>
      </c>
      <c r="AE270">
        <v>0.83050000000000002</v>
      </c>
      <c r="AF270">
        <v>74212</v>
      </c>
      <c r="AH270" t="s">
        <v>1644</v>
      </c>
    </row>
    <row r="271" spans="8:34" x14ac:dyDescent="0.25">
      <c r="H271">
        <f t="shared" si="33"/>
        <v>61137</v>
      </c>
      <c r="I271" t="s">
        <v>808</v>
      </c>
      <c r="J271">
        <v>48.6</v>
      </c>
      <c r="K271" t="str">
        <f>K270</f>
        <v>KGAR132</v>
      </c>
      <c r="M271" t="str">
        <f t="shared" si="29"/>
        <v>KGAR132T3</v>
      </c>
      <c r="N271" t="str">
        <f>VLOOKUP(H271,'TNB Load'!$A$2:$F$1448,6,FALSE)</f>
        <v>PERLIS</v>
      </c>
      <c r="O271">
        <f t="shared" si="30"/>
        <v>7.4080000000000004</v>
      </c>
      <c r="R271">
        <v>74212</v>
      </c>
      <c r="S271" t="s">
        <v>1397</v>
      </c>
      <c r="T271" t="s">
        <v>807</v>
      </c>
      <c r="U271" t="str">
        <f t="shared" si="35"/>
        <v>UJLI275</v>
      </c>
      <c r="W271" t="str">
        <f t="shared" si="36"/>
        <v>UJLI275T2</v>
      </c>
      <c r="X271">
        <v>0.83979999999999999</v>
      </c>
      <c r="Z271" t="s">
        <v>1397</v>
      </c>
      <c r="AA271" t="s">
        <v>807</v>
      </c>
      <c r="AB271" t="s">
        <v>1959</v>
      </c>
      <c r="AD271" t="s">
        <v>1961</v>
      </c>
      <c r="AE271">
        <v>0.83979999999999999</v>
      </c>
      <c r="AF271">
        <v>74212</v>
      </c>
      <c r="AH271" t="s">
        <v>1643</v>
      </c>
    </row>
    <row r="272" spans="8:34" x14ac:dyDescent="0.25">
      <c r="H272">
        <f t="shared" si="33"/>
        <v>51041</v>
      </c>
      <c r="I272" t="s">
        <v>809</v>
      </c>
      <c r="J272">
        <v>48.6</v>
      </c>
      <c r="K272" t="s">
        <v>1532</v>
      </c>
      <c r="M272" t="str">
        <f t="shared" si="29"/>
        <v>SHAW132T4</v>
      </c>
      <c r="N272" t="str">
        <f>VLOOKUP(H272,'TNB Load'!$A$2:$F$1448,6,FALSE)</f>
        <v>SELANGOR</v>
      </c>
      <c r="O272">
        <f t="shared" si="30"/>
        <v>28.456499999999998</v>
      </c>
      <c r="R272">
        <v>51061</v>
      </c>
      <c r="S272" t="s">
        <v>803</v>
      </c>
      <c r="T272" t="s">
        <v>804</v>
      </c>
      <c r="U272" t="str">
        <f t="shared" si="35"/>
        <v>ABBA132</v>
      </c>
      <c r="W272" t="str">
        <f t="shared" si="36"/>
        <v>ABBA132T1</v>
      </c>
      <c r="X272">
        <v>3.6852999999999998</v>
      </c>
      <c r="Z272" t="s">
        <v>803</v>
      </c>
      <c r="AA272" t="s">
        <v>804</v>
      </c>
      <c r="AB272" t="s">
        <v>1962</v>
      </c>
      <c r="AD272" t="s">
        <v>1963</v>
      </c>
      <c r="AE272">
        <v>3.6852999999999998</v>
      </c>
      <c r="AF272">
        <v>51061</v>
      </c>
      <c r="AH272" t="s">
        <v>2218</v>
      </c>
    </row>
    <row r="273" spans="8:34" x14ac:dyDescent="0.25">
      <c r="H273">
        <f t="shared" si="33"/>
        <v>51041</v>
      </c>
      <c r="I273" t="s">
        <v>808</v>
      </c>
      <c r="J273">
        <v>48.6</v>
      </c>
      <c r="K273" t="str">
        <f t="shared" ref="K273:K275" si="38">K272</f>
        <v>SHAW132</v>
      </c>
      <c r="M273" t="str">
        <f t="shared" si="29"/>
        <v>SHAW132T3</v>
      </c>
      <c r="N273" t="str">
        <f>VLOOKUP(H273,'TNB Load'!$A$2:$F$1448,6,FALSE)</f>
        <v>SELANGOR</v>
      </c>
      <c r="O273">
        <f t="shared" si="30"/>
        <v>28.591100000000001</v>
      </c>
      <c r="R273">
        <v>51061</v>
      </c>
      <c r="S273" t="s">
        <v>803</v>
      </c>
      <c r="T273" t="s">
        <v>807</v>
      </c>
      <c r="U273" t="str">
        <f t="shared" si="35"/>
        <v>ABBA132</v>
      </c>
      <c r="W273" t="str">
        <f t="shared" si="36"/>
        <v>ABBA132T2</v>
      </c>
      <c r="X273">
        <v>9.9542000000000002</v>
      </c>
      <c r="Z273" t="s">
        <v>803</v>
      </c>
      <c r="AA273" t="s">
        <v>807</v>
      </c>
      <c r="AB273" t="s">
        <v>1962</v>
      </c>
      <c r="AD273" t="s">
        <v>1964</v>
      </c>
      <c r="AE273">
        <v>9.9542000000000002</v>
      </c>
      <c r="AF273">
        <v>51061</v>
      </c>
      <c r="AH273" t="s">
        <v>2217</v>
      </c>
    </row>
    <row r="274" spans="8:34" x14ac:dyDescent="0.25">
      <c r="H274">
        <f t="shared" si="33"/>
        <v>51041</v>
      </c>
      <c r="I274" t="s">
        <v>807</v>
      </c>
      <c r="J274">
        <v>48.6</v>
      </c>
      <c r="K274" t="str">
        <f t="shared" si="38"/>
        <v>SHAW132</v>
      </c>
      <c r="M274" t="str">
        <f t="shared" si="29"/>
        <v>SHAW132T2</v>
      </c>
      <c r="N274" t="str">
        <f>VLOOKUP(H274,'TNB Load'!$A$2:$F$1448,6,FALSE)</f>
        <v>SELANGOR</v>
      </c>
      <c r="O274">
        <f t="shared" si="30"/>
        <v>5.8288000000000002</v>
      </c>
      <c r="R274">
        <v>51061</v>
      </c>
      <c r="S274" t="s">
        <v>803</v>
      </c>
      <c r="T274" t="s">
        <v>808</v>
      </c>
      <c r="U274" t="str">
        <f t="shared" si="35"/>
        <v>ABBA132</v>
      </c>
      <c r="W274" t="str">
        <f t="shared" si="36"/>
        <v>ABBA132T3</v>
      </c>
      <c r="X274">
        <v>27.825900000000001</v>
      </c>
      <c r="Z274" t="s">
        <v>803</v>
      </c>
      <c r="AA274" t="s">
        <v>808</v>
      </c>
      <c r="AB274" t="s">
        <v>1962</v>
      </c>
      <c r="AD274" t="s">
        <v>1965</v>
      </c>
      <c r="AE274">
        <v>27.825900000000001</v>
      </c>
      <c r="AF274">
        <v>51061</v>
      </c>
      <c r="AH274" t="s">
        <v>2216</v>
      </c>
    </row>
    <row r="275" spans="8:34" x14ac:dyDescent="0.25">
      <c r="H275">
        <f t="shared" si="33"/>
        <v>51041</v>
      </c>
      <c r="I275" t="s">
        <v>804</v>
      </c>
      <c r="J275">
        <v>48.6</v>
      </c>
      <c r="K275" t="str">
        <f t="shared" si="38"/>
        <v>SHAW132</v>
      </c>
      <c r="M275" t="str">
        <f t="shared" si="29"/>
        <v>SHAW132T1</v>
      </c>
      <c r="N275" t="str">
        <f>VLOOKUP(H275,'TNB Load'!$A$2:$F$1448,6,FALSE)</f>
        <v>SELANGOR</v>
      </c>
      <c r="O275">
        <f t="shared" si="30"/>
        <v>9.2294</v>
      </c>
      <c r="R275">
        <v>51061</v>
      </c>
      <c r="S275" t="s">
        <v>803</v>
      </c>
      <c r="T275" t="s">
        <v>809</v>
      </c>
      <c r="U275" t="str">
        <f t="shared" si="35"/>
        <v>ABBA132</v>
      </c>
      <c r="W275" t="str">
        <f t="shared" si="36"/>
        <v>ABBA132T4</v>
      </c>
      <c r="X275">
        <v>27.548400000000001</v>
      </c>
      <c r="Z275" t="s">
        <v>803</v>
      </c>
      <c r="AA275" t="s">
        <v>809</v>
      </c>
      <c r="AB275" t="s">
        <v>1962</v>
      </c>
      <c r="AD275" t="s">
        <v>1966</v>
      </c>
      <c r="AE275">
        <v>27.548400000000001</v>
      </c>
      <c r="AF275">
        <v>51061</v>
      </c>
      <c r="AH275" t="s">
        <v>2215</v>
      </c>
    </row>
    <row r="276" spans="8:34" x14ac:dyDescent="0.25">
      <c r="H276">
        <f t="shared" si="33"/>
        <v>51051</v>
      </c>
      <c r="I276" t="s">
        <v>809</v>
      </c>
      <c r="J276">
        <v>48.6</v>
      </c>
      <c r="K276" t="s">
        <v>1533</v>
      </c>
      <c r="M276" t="str">
        <f t="shared" si="29"/>
        <v>TPGR132T4</v>
      </c>
      <c r="N276" t="str">
        <f>VLOOKUP(H276,'TNB Load'!$A$2:$F$1448,6,FALSE)</f>
        <v>SELANGOR</v>
      </c>
      <c r="O276">
        <f t="shared" si="30"/>
        <v>45.545400000000001</v>
      </c>
      <c r="R276">
        <v>51019</v>
      </c>
      <c r="S276" t="s">
        <v>813</v>
      </c>
      <c r="T276" t="s">
        <v>804</v>
      </c>
      <c r="U276" t="str">
        <f t="shared" si="35"/>
        <v>ADAM132</v>
      </c>
      <c r="W276" t="str">
        <f t="shared" si="36"/>
        <v>ADAM132T1</v>
      </c>
      <c r="X276">
        <v>12.933400000000001</v>
      </c>
      <c r="Z276" t="s">
        <v>813</v>
      </c>
      <c r="AA276" t="s">
        <v>804</v>
      </c>
      <c r="AB276" t="s">
        <v>1967</v>
      </c>
      <c r="AD276" t="s">
        <v>1968</v>
      </c>
      <c r="AE276">
        <v>12.933400000000001</v>
      </c>
      <c r="AF276">
        <v>51019</v>
      </c>
      <c r="AH276" t="s">
        <v>2244</v>
      </c>
    </row>
    <row r="277" spans="8:34" x14ac:dyDescent="0.25">
      <c r="H277">
        <f t="shared" si="33"/>
        <v>51051</v>
      </c>
      <c r="I277" t="s">
        <v>808</v>
      </c>
      <c r="J277">
        <v>48.6</v>
      </c>
      <c r="K277" t="str">
        <f>K276</f>
        <v>TPGR132</v>
      </c>
      <c r="M277" t="str">
        <f t="shared" si="29"/>
        <v>TPGR132T3</v>
      </c>
      <c r="N277" t="str">
        <f>VLOOKUP(H277,'TNB Load'!$A$2:$F$1448,6,FALSE)</f>
        <v>SELANGOR</v>
      </c>
      <c r="O277">
        <f t="shared" si="30"/>
        <v>45.288600000000002</v>
      </c>
      <c r="R277">
        <v>51019</v>
      </c>
      <c r="S277" t="s">
        <v>813</v>
      </c>
      <c r="T277" t="s">
        <v>807</v>
      </c>
      <c r="U277" t="str">
        <f t="shared" si="35"/>
        <v>ADAM132</v>
      </c>
      <c r="W277" t="str">
        <f t="shared" si="36"/>
        <v>ADAM132T2</v>
      </c>
      <c r="X277">
        <v>12.4084</v>
      </c>
      <c r="Z277" t="s">
        <v>813</v>
      </c>
      <c r="AA277" t="s">
        <v>807</v>
      </c>
      <c r="AB277" t="s">
        <v>1967</v>
      </c>
      <c r="AD277" t="s">
        <v>1969</v>
      </c>
      <c r="AE277">
        <v>12.4084</v>
      </c>
      <c r="AF277">
        <v>51019</v>
      </c>
      <c r="AH277" t="s">
        <v>2243</v>
      </c>
    </row>
    <row r="278" spans="8:34" x14ac:dyDescent="0.25">
      <c r="H278">
        <f t="shared" si="33"/>
        <v>51003</v>
      </c>
      <c r="I278" t="s">
        <v>808</v>
      </c>
      <c r="J278">
        <v>48.6</v>
      </c>
      <c r="K278" t="s">
        <v>1534</v>
      </c>
      <c r="M278" t="str">
        <f t="shared" si="29"/>
        <v>SHAN132T3</v>
      </c>
      <c r="N278" t="str">
        <f>VLOOKUP(H278,'TNB Load'!$A$2:$F$1448,6,FALSE)</f>
        <v>SELANGOR</v>
      </c>
      <c r="O278">
        <f t="shared" si="30"/>
        <v>0</v>
      </c>
      <c r="R278">
        <v>51028</v>
      </c>
      <c r="S278" t="s">
        <v>818</v>
      </c>
      <c r="T278" t="s">
        <v>804</v>
      </c>
      <c r="U278" t="str">
        <f t="shared" si="35"/>
        <v>AHTM132</v>
      </c>
      <c r="W278" t="str">
        <f t="shared" si="36"/>
        <v>AHTM132T1</v>
      </c>
      <c r="X278">
        <v>43.490900000000003</v>
      </c>
      <c r="Z278" t="s">
        <v>818</v>
      </c>
      <c r="AA278" t="s">
        <v>804</v>
      </c>
      <c r="AB278" t="s">
        <v>1462</v>
      </c>
      <c r="AD278" t="s">
        <v>1970</v>
      </c>
      <c r="AE278">
        <v>43.490900000000003</v>
      </c>
      <c r="AF278">
        <v>51028</v>
      </c>
      <c r="AH278" t="s">
        <v>2212</v>
      </c>
    </row>
    <row r="279" spans="8:34" x14ac:dyDescent="0.25">
      <c r="H279">
        <f t="shared" si="33"/>
        <v>51003</v>
      </c>
      <c r="I279" t="s">
        <v>807</v>
      </c>
      <c r="J279">
        <v>48.6</v>
      </c>
      <c r="K279" t="str">
        <f t="shared" ref="K279:K280" si="39">K278</f>
        <v>SHAN132</v>
      </c>
      <c r="M279" t="str">
        <f t="shared" si="29"/>
        <v>SHAN132T2</v>
      </c>
      <c r="N279" t="str">
        <f>VLOOKUP(H279,'TNB Load'!$A$2:$F$1448,6,FALSE)</f>
        <v>SELANGOR</v>
      </c>
      <c r="O279">
        <f t="shared" si="30"/>
        <v>7.0000000000000001E-3</v>
      </c>
      <c r="R279">
        <v>51028</v>
      </c>
      <c r="S279" t="s">
        <v>818</v>
      </c>
      <c r="T279" t="s">
        <v>807</v>
      </c>
      <c r="U279" t="str">
        <f t="shared" si="35"/>
        <v>AHTM132</v>
      </c>
      <c r="W279" t="str">
        <f t="shared" si="36"/>
        <v>AHTM132T2</v>
      </c>
      <c r="X279">
        <v>44.326599999999999</v>
      </c>
      <c r="Z279" t="s">
        <v>818</v>
      </c>
      <c r="AA279" t="s">
        <v>807</v>
      </c>
      <c r="AB279" t="s">
        <v>1462</v>
      </c>
      <c r="AD279" t="s">
        <v>1971</v>
      </c>
      <c r="AE279">
        <v>44.326599999999999</v>
      </c>
      <c r="AF279">
        <v>51028</v>
      </c>
      <c r="AH279" t="s">
        <v>2211</v>
      </c>
    </row>
    <row r="280" spans="8:34" x14ac:dyDescent="0.25">
      <c r="H280">
        <f t="shared" si="33"/>
        <v>51003</v>
      </c>
      <c r="I280" t="s">
        <v>804</v>
      </c>
      <c r="J280">
        <v>48.6</v>
      </c>
      <c r="K280" t="str">
        <f t="shared" si="39"/>
        <v>SHAN132</v>
      </c>
      <c r="M280" t="str">
        <f t="shared" si="29"/>
        <v>SHAN132T1</v>
      </c>
      <c r="N280" t="str">
        <f>VLOOKUP(H280,'TNB Load'!$A$2:$F$1448,6,FALSE)</f>
        <v>SELANGOR</v>
      </c>
      <c r="O280">
        <f t="shared" si="30"/>
        <v>0</v>
      </c>
      <c r="R280">
        <v>51043</v>
      </c>
      <c r="S280" t="s">
        <v>851</v>
      </c>
      <c r="T280" t="s">
        <v>804</v>
      </c>
      <c r="U280" t="str">
        <f t="shared" si="35"/>
        <v>BARG132</v>
      </c>
      <c r="W280" t="str">
        <f t="shared" si="36"/>
        <v>BARG132T1</v>
      </c>
      <c r="X280">
        <v>12.2593</v>
      </c>
      <c r="Z280" t="s">
        <v>851</v>
      </c>
      <c r="AA280" t="s">
        <v>804</v>
      </c>
      <c r="AB280" t="s">
        <v>1972</v>
      </c>
      <c r="AD280" t="s">
        <v>1973</v>
      </c>
      <c r="AE280">
        <v>12.2593</v>
      </c>
      <c r="AF280">
        <v>51043</v>
      </c>
      <c r="AH280" t="s">
        <v>2210</v>
      </c>
    </row>
    <row r="281" spans="8:34" x14ac:dyDescent="0.25">
      <c r="H281">
        <f t="shared" si="33"/>
        <v>51002</v>
      </c>
      <c r="I281" t="s">
        <v>807</v>
      </c>
      <c r="J281">
        <v>48.6</v>
      </c>
      <c r="K281" t="s">
        <v>1535</v>
      </c>
      <c r="M281" t="str">
        <f t="shared" si="29"/>
        <v>SHLB132T2</v>
      </c>
      <c r="N281" t="str">
        <f>VLOOKUP(H281,'TNB Load'!$A$2:$F$1448,6,FALSE)</f>
        <v>SELANGOR</v>
      </c>
      <c r="O281">
        <f t="shared" si="30"/>
        <v>27.513200000000001</v>
      </c>
      <c r="R281">
        <v>51043</v>
      </c>
      <c r="S281" t="s">
        <v>851</v>
      </c>
      <c r="T281" t="s">
        <v>807</v>
      </c>
      <c r="U281" t="str">
        <f t="shared" si="35"/>
        <v>BARG132</v>
      </c>
      <c r="W281" t="str">
        <f t="shared" si="36"/>
        <v>BARG132T2</v>
      </c>
      <c r="X281">
        <v>5.7460000000000004</v>
      </c>
      <c r="Z281" t="s">
        <v>851</v>
      </c>
      <c r="AA281" t="s">
        <v>807</v>
      </c>
      <c r="AB281" t="s">
        <v>1972</v>
      </c>
      <c r="AD281" t="s">
        <v>1974</v>
      </c>
      <c r="AE281">
        <v>5.7460000000000004</v>
      </c>
      <c r="AF281">
        <v>51043</v>
      </c>
      <c r="AH281" t="s">
        <v>2220</v>
      </c>
    </row>
    <row r="282" spans="8:34" x14ac:dyDescent="0.25">
      <c r="H282">
        <f t="shared" si="33"/>
        <v>51002</v>
      </c>
      <c r="I282" t="s">
        <v>804</v>
      </c>
      <c r="J282">
        <v>48.6</v>
      </c>
      <c r="K282" t="str">
        <f>K281</f>
        <v>SHLB132</v>
      </c>
      <c r="M282" t="str">
        <f t="shared" si="29"/>
        <v>SHLB132T1</v>
      </c>
      <c r="N282" t="str">
        <f>VLOOKUP(H282,'TNB Load'!$A$2:$F$1448,6,FALSE)</f>
        <v>SELANGOR</v>
      </c>
      <c r="O282">
        <f t="shared" si="30"/>
        <v>27.409600000000001</v>
      </c>
      <c r="R282">
        <v>51043</v>
      </c>
      <c r="S282" t="s">
        <v>851</v>
      </c>
      <c r="T282" t="s">
        <v>808</v>
      </c>
      <c r="U282" t="str">
        <f t="shared" si="35"/>
        <v>BARG132</v>
      </c>
      <c r="W282" t="str">
        <f t="shared" si="36"/>
        <v>BARG132T3</v>
      </c>
      <c r="X282">
        <v>18.202000000000002</v>
      </c>
      <c r="Z282" t="s">
        <v>851</v>
      </c>
      <c r="AA282" t="s">
        <v>808</v>
      </c>
      <c r="AB282" t="s">
        <v>1972</v>
      </c>
      <c r="AD282" t="s">
        <v>1975</v>
      </c>
      <c r="AE282">
        <v>18.202000000000002</v>
      </c>
      <c r="AF282">
        <v>51043</v>
      </c>
      <c r="AH282" t="s">
        <v>2219</v>
      </c>
    </row>
    <row r="283" spans="8:34" x14ac:dyDescent="0.25">
      <c r="H283">
        <f t="shared" si="33"/>
        <v>51037</v>
      </c>
      <c r="I283" t="s">
        <v>807</v>
      </c>
      <c r="J283">
        <v>48.6</v>
      </c>
      <c r="K283" t="s">
        <v>1536</v>
      </c>
      <c r="M283" t="str">
        <f t="shared" si="29"/>
        <v>BBTC132T2</v>
      </c>
      <c r="N283" t="str">
        <f>VLOOKUP(H283,'TNB Load'!$A$2:$F$1448,6,FALSE)</f>
        <v>SELANGOR</v>
      </c>
      <c r="O283">
        <f t="shared" si="30"/>
        <v>38.075299999999999</v>
      </c>
      <c r="R283">
        <v>51043</v>
      </c>
      <c r="S283" t="s">
        <v>851</v>
      </c>
      <c r="T283" t="s">
        <v>809</v>
      </c>
      <c r="U283" t="str">
        <f t="shared" si="35"/>
        <v>BARG132</v>
      </c>
      <c r="W283" t="str">
        <f t="shared" si="36"/>
        <v>BARG132T4</v>
      </c>
      <c r="X283">
        <v>17.998000000000001</v>
      </c>
      <c r="Z283" t="s">
        <v>851</v>
      </c>
      <c r="AA283" t="s">
        <v>809</v>
      </c>
      <c r="AB283" t="s">
        <v>1972</v>
      </c>
      <c r="AD283" t="s">
        <v>1976</v>
      </c>
      <c r="AE283">
        <v>17.998000000000001</v>
      </c>
      <c r="AF283">
        <v>51043</v>
      </c>
      <c r="AH283" t="s">
        <v>1986</v>
      </c>
    </row>
    <row r="284" spans="8:34" x14ac:dyDescent="0.25">
      <c r="H284">
        <f t="shared" si="33"/>
        <v>51037</v>
      </c>
      <c r="I284" t="s">
        <v>804</v>
      </c>
      <c r="J284">
        <v>48.6</v>
      </c>
      <c r="K284" t="str">
        <f>K283</f>
        <v>BBTC132</v>
      </c>
      <c r="M284" t="str">
        <f t="shared" si="29"/>
        <v>BBTC132T1</v>
      </c>
      <c r="N284" t="str">
        <f>VLOOKUP(H284,'TNB Load'!$A$2:$F$1448,6,FALSE)</f>
        <v>SELANGOR</v>
      </c>
      <c r="O284">
        <f t="shared" si="30"/>
        <v>38.707999999999998</v>
      </c>
      <c r="R284">
        <v>51035</v>
      </c>
      <c r="S284" t="s">
        <v>853</v>
      </c>
      <c r="T284" t="s">
        <v>804</v>
      </c>
      <c r="U284" t="str">
        <f t="shared" si="35"/>
        <v>BBDG132</v>
      </c>
      <c r="W284" t="str">
        <f t="shared" si="36"/>
        <v>BBDG132T1</v>
      </c>
      <c r="X284">
        <v>27.732700000000001</v>
      </c>
      <c r="Z284" t="s">
        <v>853</v>
      </c>
      <c r="AA284" t="s">
        <v>804</v>
      </c>
      <c r="AB284" t="s">
        <v>1518</v>
      </c>
      <c r="AD284" t="s">
        <v>1977</v>
      </c>
      <c r="AE284">
        <v>27.732700000000001</v>
      </c>
      <c r="AF284">
        <v>51035</v>
      </c>
      <c r="AH284" t="s">
        <v>1985</v>
      </c>
    </row>
    <row r="285" spans="8:34" x14ac:dyDescent="0.25">
      <c r="H285">
        <f t="shared" si="33"/>
        <v>61115</v>
      </c>
      <c r="I285" t="s">
        <v>807</v>
      </c>
      <c r="J285">
        <v>48.6</v>
      </c>
      <c r="K285" t="s">
        <v>1537</v>
      </c>
      <c r="M285" t="str">
        <f t="shared" si="29"/>
        <v>BDNG132T2</v>
      </c>
      <c r="N285" t="str">
        <f>VLOOKUP(H285,'TNB Load'!$A$2:$F$1448,6,FALSE)</f>
        <v>KEDAH</v>
      </c>
      <c r="O285">
        <f t="shared" si="30"/>
        <v>18.748699999999999</v>
      </c>
      <c r="R285">
        <v>51035</v>
      </c>
      <c r="S285" t="s">
        <v>853</v>
      </c>
      <c r="T285" t="s">
        <v>807</v>
      </c>
      <c r="U285" t="str">
        <f t="shared" si="35"/>
        <v>BBDG132</v>
      </c>
      <c r="W285" t="str">
        <f t="shared" si="36"/>
        <v>BBDG132T2</v>
      </c>
      <c r="X285">
        <v>27.649899999999999</v>
      </c>
      <c r="Z285" t="s">
        <v>853</v>
      </c>
      <c r="AA285" t="s">
        <v>807</v>
      </c>
      <c r="AB285" t="s">
        <v>1518</v>
      </c>
      <c r="AD285" t="s">
        <v>1978</v>
      </c>
      <c r="AE285">
        <v>27.649899999999999</v>
      </c>
      <c r="AF285">
        <v>51035</v>
      </c>
      <c r="AH285" t="s">
        <v>1662</v>
      </c>
    </row>
    <row r="286" spans="8:34" x14ac:dyDescent="0.25">
      <c r="H286">
        <f t="shared" si="33"/>
        <v>61115</v>
      </c>
      <c r="I286" t="s">
        <v>804</v>
      </c>
      <c r="J286">
        <v>48.6</v>
      </c>
      <c r="K286" t="str">
        <f>K285</f>
        <v>BDNG132</v>
      </c>
      <c r="M286" t="str">
        <f t="shared" ref="M286:M349" si="40">K286&amp;I286</f>
        <v>BDNG132T1</v>
      </c>
      <c r="N286" t="str">
        <f>VLOOKUP(H286,'TNB Load'!$A$2:$F$1448,6,FALSE)</f>
        <v>KEDAH</v>
      </c>
      <c r="O286">
        <f t="shared" ref="O286:O349" si="41">VLOOKUP(M286,$W$3:$X$1300,2,FALSE)</f>
        <v>21.702999999999999</v>
      </c>
      <c r="R286">
        <v>551035</v>
      </c>
      <c r="S286" t="s">
        <v>854</v>
      </c>
      <c r="T286" t="s">
        <v>848</v>
      </c>
      <c r="U286" t="str">
        <f t="shared" si="35"/>
        <v>BBDG132</v>
      </c>
      <c r="W286" t="str">
        <f t="shared" si="36"/>
        <v>BBDG132T7</v>
      </c>
      <c r="X286">
        <v>18.338699999999999</v>
      </c>
      <c r="Z286" t="s">
        <v>854</v>
      </c>
      <c r="AA286" t="s">
        <v>848</v>
      </c>
      <c r="AB286" t="s">
        <v>1518</v>
      </c>
      <c r="AD286" t="s">
        <v>1979</v>
      </c>
      <c r="AE286">
        <v>18.338699999999999</v>
      </c>
      <c r="AF286">
        <v>551035</v>
      </c>
      <c r="AH286" t="s">
        <v>1661</v>
      </c>
    </row>
    <row r="287" spans="8:34" x14ac:dyDescent="0.25">
      <c r="H287">
        <f t="shared" si="33"/>
        <v>88111</v>
      </c>
      <c r="I287" t="s">
        <v>807</v>
      </c>
      <c r="J287">
        <v>48.6</v>
      </c>
      <c r="K287" t="s">
        <v>1538</v>
      </c>
      <c r="M287" t="str">
        <f t="shared" si="40"/>
        <v>KULN132T2</v>
      </c>
      <c r="N287" t="str">
        <f>VLOOKUP(H287,'TNB Load'!$A$2:$F$1448,6,FALSE)</f>
        <v>WPKL</v>
      </c>
      <c r="O287">
        <f t="shared" si="41"/>
        <v>38.202599999999997</v>
      </c>
      <c r="R287">
        <v>51071</v>
      </c>
      <c r="S287" t="s">
        <v>861</v>
      </c>
      <c r="T287" t="s">
        <v>804</v>
      </c>
      <c r="U287" t="str">
        <f t="shared" si="35"/>
        <v>BBST132</v>
      </c>
      <c r="W287" t="str">
        <f t="shared" si="36"/>
        <v>BBST132T1</v>
      </c>
      <c r="X287">
        <v>5.5305999999999997</v>
      </c>
      <c r="Z287" t="s">
        <v>861</v>
      </c>
      <c r="AA287" t="s">
        <v>804</v>
      </c>
      <c r="AB287" t="s">
        <v>1980</v>
      </c>
      <c r="AD287" t="s">
        <v>1981</v>
      </c>
      <c r="AE287">
        <v>5.5305999999999997</v>
      </c>
      <c r="AF287">
        <v>51071</v>
      </c>
      <c r="AH287" t="s">
        <v>2337</v>
      </c>
    </row>
    <row r="288" spans="8:34" x14ac:dyDescent="0.25">
      <c r="H288">
        <f t="shared" si="33"/>
        <v>88111</v>
      </c>
      <c r="I288" t="s">
        <v>804</v>
      </c>
      <c r="J288">
        <v>48.6</v>
      </c>
      <c r="K288" t="str">
        <f>K287</f>
        <v>KULN132</v>
      </c>
      <c r="M288" t="str">
        <f t="shared" si="40"/>
        <v>KULN132T1</v>
      </c>
      <c r="N288" t="str">
        <f>VLOOKUP(H288,'TNB Load'!$A$2:$F$1448,6,FALSE)</f>
        <v>WPKL</v>
      </c>
      <c r="O288">
        <f t="shared" si="41"/>
        <v>38.271999999999998</v>
      </c>
      <c r="R288">
        <v>51071</v>
      </c>
      <c r="S288" t="s">
        <v>861</v>
      </c>
      <c r="T288" t="s">
        <v>807</v>
      </c>
      <c r="U288" t="str">
        <f t="shared" si="35"/>
        <v>BBST132</v>
      </c>
      <c r="W288" t="str">
        <f t="shared" si="36"/>
        <v>BBST132T2</v>
      </c>
      <c r="X288">
        <v>3.9287000000000001</v>
      </c>
      <c r="Z288" t="s">
        <v>861</v>
      </c>
      <c r="AA288" t="s">
        <v>807</v>
      </c>
      <c r="AB288" t="s">
        <v>1980</v>
      </c>
      <c r="AD288" t="s">
        <v>1982</v>
      </c>
      <c r="AE288">
        <v>3.9287000000000001</v>
      </c>
      <c r="AF288">
        <v>51071</v>
      </c>
      <c r="AH288" t="s">
        <v>2336</v>
      </c>
    </row>
    <row r="289" spans="8:34" x14ac:dyDescent="0.25">
      <c r="H289">
        <f t="shared" si="33"/>
        <v>75103</v>
      </c>
      <c r="I289" t="s">
        <v>807</v>
      </c>
      <c r="J289">
        <v>48.6</v>
      </c>
      <c r="K289" t="s">
        <v>1539</v>
      </c>
      <c r="M289" t="str">
        <f t="shared" si="40"/>
        <v>DGUN132T2</v>
      </c>
      <c r="N289" t="str">
        <f>VLOOKUP(H289,'TNB Load'!$A$2:$F$1448,6,FALSE)</f>
        <v>TGANU</v>
      </c>
      <c r="O289">
        <f t="shared" si="41"/>
        <v>5.1722999999999999</v>
      </c>
      <c r="R289">
        <v>51071</v>
      </c>
      <c r="S289" t="s">
        <v>861</v>
      </c>
      <c r="T289" t="s">
        <v>808</v>
      </c>
      <c r="U289" t="str">
        <f t="shared" si="35"/>
        <v>BBST132</v>
      </c>
      <c r="W289" t="str">
        <f t="shared" si="36"/>
        <v>BBST132T3</v>
      </c>
      <c r="X289">
        <v>20.209800000000001</v>
      </c>
      <c r="Z289" t="s">
        <v>861</v>
      </c>
      <c r="AA289" t="s">
        <v>808</v>
      </c>
      <c r="AB289" t="s">
        <v>1980</v>
      </c>
      <c r="AD289" t="s">
        <v>1983</v>
      </c>
      <c r="AE289">
        <v>20.209800000000001</v>
      </c>
      <c r="AF289">
        <v>51071</v>
      </c>
      <c r="AH289" t="s">
        <v>3008</v>
      </c>
    </row>
    <row r="290" spans="8:34" x14ac:dyDescent="0.25">
      <c r="H290">
        <f t="shared" si="33"/>
        <v>75103</v>
      </c>
      <c r="I290" t="s">
        <v>804</v>
      </c>
      <c r="J290">
        <v>48.6</v>
      </c>
      <c r="K290" t="str">
        <f>K289</f>
        <v>DGUN132</v>
      </c>
      <c r="M290" t="str">
        <f t="shared" si="40"/>
        <v>DGUN132T1</v>
      </c>
      <c r="N290" t="str">
        <f>VLOOKUP(H290,'TNB Load'!$A$2:$F$1448,6,FALSE)</f>
        <v>TGANU</v>
      </c>
      <c r="O290">
        <f t="shared" si="41"/>
        <v>5.2179000000000002</v>
      </c>
      <c r="R290">
        <v>51071</v>
      </c>
      <c r="S290" t="s">
        <v>861</v>
      </c>
      <c r="T290" t="s">
        <v>809</v>
      </c>
      <c r="U290" t="str">
        <f t="shared" si="35"/>
        <v>BBST132</v>
      </c>
      <c r="W290" t="str">
        <f t="shared" si="36"/>
        <v>BBST132T4</v>
      </c>
      <c r="X290">
        <v>20.123899999999999</v>
      </c>
      <c r="Z290" t="s">
        <v>861</v>
      </c>
      <c r="AA290" t="s">
        <v>809</v>
      </c>
      <c r="AB290" t="s">
        <v>1980</v>
      </c>
      <c r="AD290" t="s">
        <v>1984</v>
      </c>
      <c r="AE290">
        <v>20.123899999999999</v>
      </c>
      <c r="AF290">
        <v>51071</v>
      </c>
      <c r="AH290" t="s">
        <v>3007</v>
      </c>
    </row>
    <row r="291" spans="8:34" x14ac:dyDescent="0.25">
      <c r="H291">
        <f t="shared" si="33"/>
        <v>75109</v>
      </c>
      <c r="I291" t="s">
        <v>807</v>
      </c>
      <c r="J291">
        <v>48.6</v>
      </c>
      <c r="K291" t="s">
        <v>1540</v>
      </c>
      <c r="M291" t="str">
        <f t="shared" si="40"/>
        <v>CHRG132T2</v>
      </c>
      <c r="N291" t="str">
        <f>VLOOKUP(H291,'TNB Load'!$A$2:$F$1448,6,FALSE)</f>
        <v>TGANU</v>
      </c>
      <c r="O291">
        <f t="shared" si="41"/>
        <v>14.3209</v>
      </c>
      <c r="R291">
        <v>51037</v>
      </c>
      <c r="S291" t="s">
        <v>862</v>
      </c>
      <c r="T291" t="s">
        <v>804</v>
      </c>
      <c r="U291" t="str">
        <f t="shared" si="35"/>
        <v>BBTC132</v>
      </c>
      <c r="W291" t="str">
        <f t="shared" si="36"/>
        <v>BBTC132T1</v>
      </c>
      <c r="X291">
        <v>38.707999999999998</v>
      </c>
      <c r="Z291" t="s">
        <v>862</v>
      </c>
      <c r="AA291" t="s">
        <v>804</v>
      </c>
      <c r="AB291" t="s">
        <v>1536</v>
      </c>
      <c r="AD291" t="s">
        <v>1985</v>
      </c>
      <c r="AE291">
        <v>38.707999999999998</v>
      </c>
      <c r="AF291">
        <v>51037</v>
      </c>
      <c r="AH291" t="s">
        <v>2998</v>
      </c>
    </row>
    <row r="292" spans="8:34" x14ac:dyDescent="0.25">
      <c r="H292">
        <f t="shared" si="33"/>
        <v>75109</v>
      </c>
      <c r="I292" t="s">
        <v>804</v>
      </c>
      <c r="J292">
        <v>48.6</v>
      </c>
      <c r="K292" t="str">
        <f>K291</f>
        <v>CHRG132</v>
      </c>
      <c r="M292" t="str">
        <f t="shared" si="40"/>
        <v>CHRG132T1</v>
      </c>
      <c r="N292" t="str">
        <f>VLOOKUP(H292,'TNB Load'!$A$2:$F$1448,6,FALSE)</f>
        <v>TGANU</v>
      </c>
      <c r="O292">
        <f t="shared" si="41"/>
        <v>17.8064</v>
      </c>
      <c r="R292">
        <v>51037</v>
      </c>
      <c r="S292" t="s">
        <v>862</v>
      </c>
      <c r="T292" t="s">
        <v>807</v>
      </c>
      <c r="U292" t="str">
        <f t="shared" si="35"/>
        <v>BBTC132</v>
      </c>
      <c r="W292" t="str">
        <f t="shared" si="36"/>
        <v>BBTC132T2</v>
      </c>
      <c r="X292">
        <v>38.075299999999999</v>
      </c>
      <c r="Z292" t="s">
        <v>862</v>
      </c>
      <c r="AA292" t="s">
        <v>807</v>
      </c>
      <c r="AB292" t="s">
        <v>1536</v>
      </c>
      <c r="AD292" t="s">
        <v>1986</v>
      </c>
      <c r="AE292">
        <v>38.075299999999999</v>
      </c>
      <c r="AF292">
        <v>51037</v>
      </c>
      <c r="AH292" t="s">
        <v>2997</v>
      </c>
    </row>
    <row r="293" spans="8:34" x14ac:dyDescent="0.25">
      <c r="H293">
        <f t="shared" si="33"/>
        <v>97109</v>
      </c>
      <c r="I293" s="246" t="s">
        <v>807</v>
      </c>
      <c r="J293" s="246">
        <v>48.5</v>
      </c>
      <c r="K293" s="246" t="s">
        <v>1541</v>
      </c>
      <c r="M293" t="str">
        <f t="shared" si="40"/>
        <v>KLUG132T2</v>
      </c>
      <c r="N293" t="str">
        <f>VLOOKUP(H293,'TNB Load'!$A$2:$F$1448,6,FALSE)</f>
        <v>JOHOR</v>
      </c>
      <c r="O293">
        <f t="shared" si="41"/>
        <v>8.2529000000000003</v>
      </c>
      <c r="R293">
        <v>51087</v>
      </c>
      <c r="S293" t="s">
        <v>863</v>
      </c>
      <c r="T293" t="s">
        <v>804</v>
      </c>
      <c r="U293" t="str">
        <f t="shared" si="35"/>
        <v>BBTG132</v>
      </c>
      <c r="W293" t="str">
        <f t="shared" si="36"/>
        <v>BBTG132T1</v>
      </c>
      <c r="X293">
        <v>6.3124000000000002</v>
      </c>
      <c r="Z293" t="s">
        <v>863</v>
      </c>
      <c r="AA293" t="s">
        <v>804</v>
      </c>
      <c r="AB293" t="s">
        <v>1455</v>
      </c>
      <c r="AD293" t="s">
        <v>1987</v>
      </c>
      <c r="AE293">
        <v>6.3124000000000002</v>
      </c>
      <c r="AF293">
        <v>51087</v>
      </c>
      <c r="AH293" t="s">
        <v>2660</v>
      </c>
    </row>
    <row r="294" spans="8:34" x14ac:dyDescent="0.25">
      <c r="H294">
        <f t="shared" si="33"/>
        <v>97109</v>
      </c>
      <c r="I294" s="246" t="s">
        <v>804</v>
      </c>
      <c r="J294" s="246">
        <v>48.5</v>
      </c>
      <c r="K294" s="246" t="str">
        <f>K293</f>
        <v>KLUG132</v>
      </c>
      <c r="M294" t="str">
        <f t="shared" si="40"/>
        <v>KLUG132T1</v>
      </c>
      <c r="N294" t="str">
        <f>VLOOKUP(H294,'TNB Load'!$A$2:$F$1448,6,FALSE)</f>
        <v>JOHOR</v>
      </c>
      <c r="O294">
        <f t="shared" si="41"/>
        <v>8.5646000000000004</v>
      </c>
      <c r="R294">
        <v>51087</v>
      </c>
      <c r="S294" t="s">
        <v>863</v>
      </c>
      <c r="T294" t="s">
        <v>807</v>
      </c>
      <c r="U294" t="str">
        <f t="shared" si="35"/>
        <v>BBTG132</v>
      </c>
      <c r="W294" t="str">
        <f t="shared" si="36"/>
        <v>BBTG132T2</v>
      </c>
      <c r="X294">
        <v>6.4698000000000002</v>
      </c>
      <c r="Z294" t="s">
        <v>863</v>
      </c>
      <c r="AA294" t="s">
        <v>807</v>
      </c>
      <c r="AB294" t="s">
        <v>1455</v>
      </c>
      <c r="AD294" t="s">
        <v>1988</v>
      </c>
      <c r="AE294">
        <v>6.4698000000000002</v>
      </c>
      <c r="AF294">
        <v>51087</v>
      </c>
      <c r="AH294" t="s">
        <v>2659</v>
      </c>
    </row>
    <row r="295" spans="8:34" x14ac:dyDescent="0.25">
      <c r="H295">
        <f t="shared" si="33"/>
        <v>97115</v>
      </c>
      <c r="I295" s="246" t="s">
        <v>807</v>
      </c>
      <c r="J295" s="246">
        <v>48.5</v>
      </c>
      <c r="K295" s="246" t="s">
        <v>1542</v>
      </c>
      <c r="M295" t="str">
        <f t="shared" si="40"/>
        <v>MAJD132T2</v>
      </c>
      <c r="N295" t="str">
        <f>VLOOKUP(H295,'TNB Load'!$A$2:$F$1448,6,FALSE)</f>
        <v>JOHOR</v>
      </c>
      <c r="O295">
        <f t="shared" si="41"/>
        <v>6.2512999999999996</v>
      </c>
      <c r="R295">
        <v>51087</v>
      </c>
      <c r="S295" t="s">
        <v>863</v>
      </c>
      <c r="T295" t="s">
        <v>808</v>
      </c>
      <c r="U295" t="str">
        <f t="shared" si="35"/>
        <v>BBTG132</v>
      </c>
      <c r="W295" t="str">
        <f t="shared" si="36"/>
        <v>BBTG132T3</v>
      </c>
      <c r="X295">
        <v>20.0307</v>
      </c>
      <c r="Z295" t="s">
        <v>863</v>
      </c>
      <c r="AA295" t="s">
        <v>808</v>
      </c>
      <c r="AB295" t="s">
        <v>1455</v>
      </c>
      <c r="AD295" t="s">
        <v>1989</v>
      </c>
      <c r="AE295">
        <v>20.0307</v>
      </c>
      <c r="AF295">
        <v>51087</v>
      </c>
      <c r="AH295" t="s">
        <v>2685</v>
      </c>
    </row>
    <row r="296" spans="8:34" x14ac:dyDescent="0.25">
      <c r="H296">
        <f t="shared" si="33"/>
        <v>97115</v>
      </c>
      <c r="I296" s="246" t="s">
        <v>804</v>
      </c>
      <c r="J296" s="246">
        <v>48.5</v>
      </c>
      <c r="K296" s="246" t="str">
        <f>K295</f>
        <v>MAJD132</v>
      </c>
      <c r="M296" t="str">
        <f t="shared" si="40"/>
        <v>MAJD132T1</v>
      </c>
      <c r="N296" t="str">
        <f>VLOOKUP(H296,'TNB Load'!$A$2:$F$1448,6,FALSE)</f>
        <v>JOHOR</v>
      </c>
      <c r="O296">
        <f t="shared" si="41"/>
        <v>6.5547000000000004</v>
      </c>
      <c r="R296">
        <v>51087</v>
      </c>
      <c r="S296" t="s">
        <v>863</v>
      </c>
      <c r="T296" t="s">
        <v>809</v>
      </c>
      <c r="U296" t="str">
        <f t="shared" si="35"/>
        <v>BBTG132</v>
      </c>
      <c r="W296" t="str">
        <f t="shared" si="36"/>
        <v>BBTG132T4</v>
      </c>
      <c r="X296">
        <v>19.868099999999998</v>
      </c>
      <c r="Z296" t="s">
        <v>863</v>
      </c>
      <c r="AA296" t="s">
        <v>809</v>
      </c>
      <c r="AB296" t="s">
        <v>1455</v>
      </c>
      <c r="AD296" t="s">
        <v>1990</v>
      </c>
      <c r="AE296">
        <v>19.868099999999998</v>
      </c>
      <c r="AF296">
        <v>51087</v>
      </c>
      <c r="AH296" t="s">
        <v>2684</v>
      </c>
    </row>
    <row r="297" spans="8:34" x14ac:dyDescent="0.25">
      <c r="H297">
        <f t="shared" si="33"/>
        <v>75118</v>
      </c>
      <c r="I297" s="246" t="s">
        <v>807</v>
      </c>
      <c r="J297" s="246">
        <v>48.5</v>
      </c>
      <c r="K297" s="246" t="s">
        <v>1543</v>
      </c>
      <c r="M297" t="str">
        <f t="shared" si="40"/>
        <v>DGID132T2</v>
      </c>
      <c r="N297" t="str">
        <f>VLOOKUP(H297,'TNB Load'!$A$2:$F$1448,6,FALSE)</f>
        <v>TGANU</v>
      </c>
      <c r="O297">
        <f t="shared" si="41"/>
        <v>25.8719</v>
      </c>
      <c r="R297">
        <v>51078</v>
      </c>
      <c r="S297" t="s">
        <v>867</v>
      </c>
      <c r="T297" t="s">
        <v>804</v>
      </c>
      <c r="U297" t="str">
        <f t="shared" si="35"/>
        <v>BCHG132</v>
      </c>
      <c r="W297" t="str">
        <f t="shared" si="36"/>
        <v>BCHG132T1</v>
      </c>
      <c r="X297">
        <v>16.828900000000001</v>
      </c>
      <c r="Z297" t="s">
        <v>867</v>
      </c>
      <c r="AA297" t="s">
        <v>804</v>
      </c>
      <c r="AB297" t="s">
        <v>1991</v>
      </c>
      <c r="AD297" t="s">
        <v>1992</v>
      </c>
      <c r="AE297">
        <v>16.828900000000001</v>
      </c>
      <c r="AF297">
        <v>51078</v>
      </c>
      <c r="AH297" t="s">
        <v>3006</v>
      </c>
    </row>
    <row r="298" spans="8:34" x14ac:dyDescent="0.25">
      <c r="H298">
        <f t="shared" si="33"/>
        <v>75118</v>
      </c>
      <c r="I298" s="246" t="s">
        <v>804</v>
      </c>
      <c r="J298" s="246">
        <v>48.5</v>
      </c>
      <c r="K298" s="246" t="str">
        <f>K297</f>
        <v>DGID132</v>
      </c>
      <c r="M298" t="str">
        <f t="shared" si="40"/>
        <v>DGID132T1</v>
      </c>
      <c r="N298" t="str">
        <f>VLOOKUP(H298,'TNB Load'!$A$2:$F$1448,6,FALSE)</f>
        <v>TGANU</v>
      </c>
      <c r="O298">
        <f t="shared" si="41"/>
        <v>0</v>
      </c>
      <c r="R298">
        <v>51078</v>
      </c>
      <c r="S298" t="s">
        <v>867</v>
      </c>
      <c r="T298" t="s">
        <v>807</v>
      </c>
      <c r="U298" t="str">
        <f t="shared" si="35"/>
        <v>BCHG132</v>
      </c>
      <c r="W298" t="str">
        <f t="shared" si="36"/>
        <v>BCHG132T2</v>
      </c>
      <c r="X298">
        <v>11.6928</v>
      </c>
      <c r="Z298" t="s">
        <v>867</v>
      </c>
      <c r="AA298" t="s">
        <v>807</v>
      </c>
      <c r="AB298" t="s">
        <v>1991</v>
      </c>
      <c r="AD298" t="s">
        <v>1993</v>
      </c>
      <c r="AE298">
        <v>11.6928</v>
      </c>
      <c r="AF298">
        <v>51078</v>
      </c>
      <c r="AH298" t="s">
        <v>3005</v>
      </c>
    </row>
    <row r="299" spans="8:34" x14ac:dyDescent="0.25">
      <c r="H299">
        <f t="shared" si="33"/>
        <v>75144</v>
      </c>
      <c r="I299" s="246" t="s">
        <v>807</v>
      </c>
      <c r="J299" s="246">
        <v>48.5</v>
      </c>
      <c r="K299" s="246" t="s">
        <v>1544</v>
      </c>
      <c r="M299" t="str">
        <f t="shared" si="40"/>
        <v>CKAI132T2</v>
      </c>
      <c r="N299" t="str">
        <f>VLOOKUP(H299,'TNB Load'!$A$2:$F$1448,6,FALSE)</f>
        <v>TGANU</v>
      </c>
      <c r="O299">
        <f t="shared" si="41"/>
        <v>12.759399999999999</v>
      </c>
      <c r="R299">
        <v>51078</v>
      </c>
      <c r="S299" t="s">
        <v>867</v>
      </c>
      <c r="T299" t="s">
        <v>808</v>
      </c>
      <c r="U299" t="str">
        <f t="shared" si="35"/>
        <v>BCHG132</v>
      </c>
      <c r="W299" t="str">
        <f t="shared" si="36"/>
        <v>BCHG132T3</v>
      </c>
      <c r="X299">
        <v>26.453900000000001</v>
      </c>
      <c r="Z299" t="s">
        <v>867</v>
      </c>
      <c r="AA299" t="s">
        <v>808</v>
      </c>
      <c r="AB299" t="s">
        <v>1991</v>
      </c>
      <c r="AD299" t="s">
        <v>1994</v>
      </c>
      <c r="AE299">
        <v>26.453900000000001</v>
      </c>
      <c r="AF299">
        <v>51078</v>
      </c>
      <c r="AH299" t="s">
        <v>3002</v>
      </c>
    </row>
    <row r="300" spans="8:34" x14ac:dyDescent="0.25">
      <c r="H300">
        <f t="shared" si="33"/>
        <v>75144</v>
      </c>
      <c r="I300" s="246" t="s">
        <v>804</v>
      </c>
      <c r="J300" s="246">
        <v>48.5</v>
      </c>
      <c r="K300" s="246" t="str">
        <f>K299</f>
        <v>CKAI132</v>
      </c>
      <c r="M300" t="str">
        <f t="shared" si="40"/>
        <v>CKAI132T1</v>
      </c>
      <c r="N300" t="str">
        <f>VLOOKUP(H300,'TNB Load'!$A$2:$F$1448,6,FALSE)</f>
        <v>TGANU</v>
      </c>
      <c r="O300">
        <f t="shared" si="41"/>
        <v>12.7325</v>
      </c>
      <c r="R300">
        <v>51078</v>
      </c>
      <c r="S300" t="s">
        <v>867</v>
      </c>
      <c r="T300" t="s">
        <v>809</v>
      </c>
      <c r="U300" t="str">
        <f t="shared" si="35"/>
        <v>BCHG132</v>
      </c>
      <c r="W300" t="str">
        <f t="shared" si="36"/>
        <v>BCHG132T4</v>
      </c>
      <c r="X300">
        <v>26.1008</v>
      </c>
      <c r="Z300" t="s">
        <v>867</v>
      </c>
      <c r="AA300" t="s">
        <v>809</v>
      </c>
      <c r="AB300" t="s">
        <v>1991</v>
      </c>
      <c r="AD300" t="s">
        <v>1995</v>
      </c>
      <c r="AE300">
        <v>26.1008</v>
      </c>
      <c r="AF300">
        <v>51078</v>
      </c>
      <c r="AH300" t="s">
        <v>3001</v>
      </c>
    </row>
    <row r="301" spans="8:34" x14ac:dyDescent="0.25">
      <c r="H301">
        <f t="shared" si="33"/>
        <v>61132</v>
      </c>
      <c r="I301" s="246" t="s">
        <v>809</v>
      </c>
      <c r="J301" s="246">
        <v>48.5</v>
      </c>
      <c r="K301" s="246" t="s">
        <v>1433</v>
      </c>
      <c r="M301" t="str">
        <f t="shared" si="40"/>
        <v>PAUH132T4</v>
      </c>
      <c r="N301" t="str">
        <f>VLOOKUP(H301,'TNB Load'!$A$2:$F$1448,6,FALSE)</f>
        <v>KEDAH</v>
      </c>
      <c r="O301">
        <f t="shared" si="41"/>
        <v>10.8261</v>
      </c>
      <c r="R301">
        <v>88194</v>
      </c>
      <c r="S301" t="s">
        <v>868</v>
      </c>
      <c r="T301" t="s">
        <v>804</v>
      </c>
      <c r="U301" t="str">
        <f t="shared" si="35"/>
        <v>BCVS132</v>
      </c>
      <c r="W301" t="str">
        <f t="shared" si="36"/>
        <v>BCVS132T1</v>
      </c>
      <c r="X301">
        <v>7.5726000000000004</v>
      </c>
      <c r="Z301" t="s">
        <v>868</v>
      </c>
      <c r="AA301" t="s">
        <v>804</v>
      </c>
      <c r="AB301" t="s">
        <v>1499</v>
      </c>
      <c r="AD301" t="s">
        <v>1996</v>
      </c>
      <c r="AE301">
        <v>7.5726000000000004</v>
      </c>
      <c r="AF301">
        <v>88194</v>
      </c>
      <c r="AH301" t="s">
        <v>1716</v>
      </c>
    </row>
    <row r="302" spans="8:34" x14ac:dyDescent="0.25">
      <c r="H302">
        <f t="shared" si="33"/>
        <v>61132</v>
      </c>
      <c r="I302" s="246" t="s">
        <v>808</v>
      </c>
      <c r="J302" s="246">
        <v>48.5</v>
      </c>
      <c r="K302" s="246" t="str">
        <f>K301</f>
        <v>PAUH132</v>
      </c>
      <c r="M302" t="str">
        <f t="shared" si="40"/>
        <v>PAUH132T3</v>
      </c>
      <c r="N302" t="str">
        <f>VLOOKUP(H302,'TNB Load'!$A$2:$F$1448,6,FALSE)</f>
        <v>KEDAH</v>
      </c>
      <c r="O302">
        <f t="shared" si="41"/>
        <v>10.7723</v>
      </c>
      <c r="R302">
        <v>88194</v>
      </c>
      <c r="S302" t="s">
        <v>868</v>
      </c>
      <c r="T302" t="s">
        <v>807</v>
      </c>
      <c r="U302" t="str">
        <f t="shared" si="35"/>
        <v>BCVS132</v>
      </c>
      <c r="W302" t="str">
        <f t="shared" si="36"/>
        <v>BCVS132T2</v>
      </c>
      <c r="X302">
        <v>11.0084</v>
      </c>
      <c r="Z302" t="s">
        <v>868</v>
      </c>
      <c r="AA302" t="s">
        <v>807</v>
      </c>
      <c r="AB302" t="s">
        <v>1499</v>
      </c>
      <c r="AD302" t="s">
        <v>1997</v>
      </c>
      <c r="AE302">
        <v>11.0084</v>
      </c>
      <c r="AF302">
        <v>88194</v>
      </c>
      <c r="AH302" t="s">
        <v>1715</v>
      </c>
    </row>
    <row r="303" spans="8:34" x14ac:dyDescent="0.25">
      <c r="H303">
        <f t="shared" si="33"/>
        <v>62108</v>
      </c>
      <c r="I303" s="246" t="s">
        <v>809</v>
      </c>
      <c r="J303" s="246">
        <v>48.5</v>
      </c>
      <c r="K303" s="246" t="s">
        <v>1545</v>
      </c>
      <c r="M303" t="str">
        <f t="shared" si="40"/>
        <v>BMYK132T4</v>
      </c>
      <c r="N303" t="str">
        <f>VLOOKUP(H303,'TNB Load'!$A$2:$F$1448,6,FALSE)</f>
        <v>P PINANG</v>
      </c>
      <c r="O303">
        <f t="shared" si="41"/>
        <v>48.297699999999999</v>
      </c>
      <c r="R303">
        <v>88194</v>
      </c>
      <c r="S303" t="s">
        <v>868</v>
      </c>
      <c r="T303" t="s">
        <v>808</v>
      </c>
      <c r="U303" t="str">
        <f t="shared" si="35"/>
        <v>BCVS132</v>
      </c>
      <c r="W303" t="str">
        <f t="shared" si="36"/>
        <v>BCVS132T3</v>
      </c>
      <c r="X303">
        <v>43.401899999999998</v>
      </c>
      <c r="Z303" t="s">
        <v>868</v>
      </c>
      <c r="AA303" t="s">
        <v>808</v>
      </c>
      <c r="AB303" t="s">
        <v>1499</v>
      </c>
      <c r="AD303" t="s">
        <v>1998</v>
      </c>
      <c r="AE303">
        <v>43.401899999999998</v>
      </c>
      <c r="AF303">
        <v>88194</v>
      </c>
      <c r="AH303" t="s">
        <v>1755</v>
      </c>
    </row>
    <row r="304" spans="8:34" x14ac:dyDescent="0.25">
      <c r="H304">
        <f t="shared" si="33"/>
        <v>62108</v>
      </c>
      <c r="I304" s="246" t="s">
        <v>808</v>
      </c>
      <c r="J304" s="246">
        <v>48.5</v>
      </c>
      <c r="K304" s="246" t="str">
        <f t="shared" ref="K304:K306" si="42">K303</f>
        <v>BMYK132</v>
      </c>
      <c r="M304" t="str">
        <f t="shared" si="40"/>
        <v>BMYK132T3</v>
      </c>
      <c r="N304" t="str">
        <f>VLOOKUP(H304,'TNB Load'!$A$2:$F$1448,6,FALSE)</f>
        <v>P PINANG</v>
      </c>
      <c r="O304">
        <f t="shared" si="41"/>
        <v>49.206899999999997</v>
      </c>
      <c r="R304">
        <v>88194</v>
      </c>
      <c r="S304" t="s">
        <v>868</v>
      </c>
      <c r="T304" t="s">
        <v>809</v>
      </c>
      <c r="U304" t="str">
        <f t="shared" si="35"/>
        <v>BCVS132</v>
      </c>
      <c r="W304" t="str">
        <f t="shared" si="36"/>
        <v>BCVS132T4</v>
      </c>
      <c r="X304">
        <v>43.893700000000003</v>
      </c>
      <c r="Z304" t="s">
        <v>868</v>
      </c>
      <c r="AA304" t="s">
        <v>809</v>
      </c>
      <c r="AB304" t="s">
        <v>1499</v>
      </c>
      <c r="AD304" t="s">
        <v>1999</v>
      </c>
      <c r="AE304">
        <v>43.893700000000003</v>
      </c>
      <c r="AF304">
        <v>88194</v>
      </c>
      <c r="AH304" t="s">
        <v>1754</v>
      </c>
    </row>
    <row r="305" spans="8:34" x14ac:dyDescent="0.25">
      <c r="H305">
        <f t="shared" si="33"/>
        <v>62108</v>
      </c>
      <c r="I305" s="246" t="s">
        <v>807</v>
      </c>
      <c r="J305" s="246">
        <v>48.5</v>
      </c>
      <c r="K305" s="246" t="str">
        <f t="shared" si="42"/>
        <v>BMYK132</v>
      </c>
      <c r="M305" t="str">
        <f t="shared" si="40"/>
        <v>BMYK132T2</v>
      </c>
      <c r="N305" t="str">
        <f>VLOOKUP(H305,'TNB Load'!$A$2:$F$1448,6,FALSE)</f>
        <v>P PINANG</v>
      </c>
      <c r="O305">
        <f t="shared" si="41"/>
        <v>14.630599999999999</v>
      </c>
      <c r="R305">
        <v>51060</v>
      </c>
      <c r="S305" t="s">
        <v>873</v>
      </c>
      <c r="T305" t="s">
        <v>804</v>
      </c>
      <c r="U305" t="str">
        <f t="shared" si="35"/>
        <v>BHGT132</v>
      </c>
      <c r="W305" t="str">
        <f t="shared" si="36"/>
        <v>BHGT132T1</v>
      </c>
      <c r="X305">
        <v>5.6238000000000001</v>
      </c>
      <c r="Z305" t="s">
        <v>873</v>
      </c>
      <c r="AA305" t="s">
        <v>804</v>
      </c>
      <c r="AB305" t="s">
        <v>1595</v>
      </c>
      <c r="AD305" t="s">
        <v>2000</v>
      </c>
      <c r="AE305">
        <v>5.6238000000000001</v>
      </c>
      <c r="AF305">
        <v>51060</v>
      </c>
      <c r="AH305" t="s">
        <v>1753</v>
      </c>
    </row>
    <row r="306" spans="8:34" x14ac:dyDescent="0.25">
      <c r="H306">
        <f t="shared" si="33"/>
        <v>62108</v>
      </c>
      <c r="I306" s="246" t="s">
        <v>804</v>
      </c>
      <c r="J306" s="246">
        <v>48.5</v>
      </c>
      <c r="K306" s="246" t="str">
        <f t="shared" si="42"/>
        <v>BMYK132</v>
      </c>
      <c r="M306" t="str">
        <f t="shared" si="40"/>
        <v>BMYK132T1</v>
      </c>
      <c r="N306" t="str">
        <f>VLOOKUP(H306,'TNB Load'!$A$2:$F$1448,6,FALSE)</f>
        <v>P PINANG</v>
      </c>
      <c r="O306">
        <f t="shared" si="41"/>
        <v>11.951700000000001</v>
      </c>
      <c r="R306">
        <v>51060</v>
      </c>
      <c r="S306" t="s">
        <v>873</v>
      </c>
      <c r="T306" t="s">
        <v>807</v>
      </c>
      <c r="U306" t="str">
        <f t="shared" si="35"/>
        <v>BHGT132</v>
      </c>
      <c r="W306" t="str">
        <f t="shared" si="36"/>
        <v>BHGT132T2</v>
      </c>
      <c r="X306">
        <v>9.6270000000000007</v>
      </c>
      <c r="Z306" t="s">
        <v>873</v>
      </c>
      <c r="AA306" t="s">
        <v>807</v>
      </c>
      <c r="AB306" t="s">
        <v>1595</v>
      </c>
      <c r="AD306" t="s">
        <v>2001</v>
      </c>
      <c r="AE306">
        <v>9.6270000000000007</v>
      </c>
      <c r="AF306">
        <v>51060</v>
      </c>
      <c r="AH306" t="s">
        <v>1752</v>
      </c>
    </row>
    <row r="307" spans="8:34" x14ac:dyDescent="0.25">
      <c r="H307">
        <f t="shared" si="33"/>
        <v>62155</v>
      </c>
      <c r="I307" s="246" t="s">
        <v>809</v>
      </c>
      <c r="J307" s="246">
        <v>48.5</v>
      </c>
      <c r="K307" s="246" t="s">
        <v>1546</v>
      </c>
      <c r="M307" t="str">
        <f t="shared" si="40"/>
        <v>PRID132T4</v>
      </c>
      <c r="N307" t="str">
        <f>VLOOKUP(H307,'TNB Load'!$A$2:$F$1448,6,FALSE)</f>
        <v>P PINANG</v>
      </c>
      <c r="O307">
        <f t="shared" si="41"/>
        <v>36.909300000000002</v>
      </c>
      <c r="R307">
        <v>88177</v>
      </c>
      <c r="S307" t="s">
        <v>875</v>
      </c>
      <c r="T307" t="s">
        <v>804</v>
      </c>
      <c r="U307" t="str">
        <f t="shared" si="35"/>
        <v>BJLL132</v>
      </c>
      <c r="W307" t="str">
        <f t="shared" si="36"/>
        <v>BJLL132T1</v>
      </c>
      <c r="X307">
        <v>39.424500000000002</v>
      </c>
      <c r="Z307" t="s">
        <v>875</v>
      </c>
      <c r="AA307" t="s">
        <v>804</v>
      </c>
      <c r="AB307" t="s">
        <v>1463</v>
      </c>
      <c r="AD307" t="s">
        <v>2002</v>
      </c>
      <c r="AE307">
        <v>39.424500000000002</v>
      </c>
      <c r="AF307">
        <v>88177</v>
      </c>
      <c r="AH307" t="s">
        <v>1791</v>
      </c>
    </row>
    <row r="308" spans="8:34" x14ac:dyDescent="0.25">
      <c r="H308">
        <f t="shared" si="33"/>
        <v>62155</v>
      </c>
      <c r="I308" s="246" t="s">
        <v>808</v>
      </c>
      <c r="J308" s="246">
        <v>48.5</v>
      </c>
      <c r="K308" s="246" t="str">
        <f t="shared" ref="K308:K310" si="43">K307</f>
        <v>PRID132</v>
      </c>
      <c r="M308" t="str">
        <f t="shared" si="40"/>
        <v>PRID132T3</v>
      </c>
      <c r="N308" t="str">
        <f>VLOOKUP(H308,'TNB Load'!$A$2:$F$1448,6,FALSE)</f>
        <v>P PINANG</v>
      </c>
      <c r="O308">
        <f t="shared" si="41"/>
        <v>36.820300000000003</v>
      </c>
      <c r="R308">
        <v>88177</v>
      </c>
      <c r="S308" t="s">
        <v>875</v>
      </c>
      <c r="T308" t="s">
        <v>807</v>
      </c>
      <c r="U308" t="str">
        <f t="shared" si="35"/>
        <v>BJLL132</v>
      </c>
      <c r="W308" t="str">
        <f t="shared" si="36"/>
        <v>BJLL132T2</v>
      </c>
      <c r="X308">
        <v>39.480400000000003</v>
      </c>
      <c r="Z308" t="s">
        <v>875</v>
      </c>
      <c r="AA308" t="s">
        <v>807</v>
      </c>
      <c r="AB308" t="s">
        <v>1463</v>
      </c>
      <c r="AD308" t="s">
        <v>2003</v>
      </c>
      <c r="AE308">
        <v>39.480400000000003</v>
      </c>
      <c r="AF308">
        <v>88177</v>
      </c>
      <c r="AH308" t="s">
        <v>1790</v>
      </c>
    </row>
    <row r="309" spans="8:34" x14ac:dyDescent="0.25">
      <c r="H309">
        <f t="shared" si="33"/>
        <v>62155</v>
      </c>
      <c r="I309" s="246" t="s">
        <v>807</v>
      </c>
      <c r="J309" s="246">
        <v>48.5</v>
      </c>
      <c r="K309" s="246" t="str">
        <f t="shared" si="43"/>
        <v>PRID132</v>
      </c>
      <c r="M309" t="str">
        <f t="shared" si="40"/>
        <v>PRID132T2</v>
      </c>
      <c r="N309" t="str">
        <f>VLOOKUP(H309,'TNB Load'!$A$2:$F$1448,6,FALSE)</f>
        <v>P PINANG</v>
      </c>
      <c r="O309">
        <f t="shared" si="41"/>
        <v>23.4313</v>
      </c>
      <c r="R309">
        <v>88177</v>
      </c>
      <c r="S309" t="s">
        <v>875</v>
      </c>
      <c r="T309" t="s">
        <v>808</v>
      </c>
      <c r="U309" t="str">
        <f t="shared" si="35"/>
        <v>BJLL132</v>
      </c>
      <c r="W309" t="str">
        <f t="shared" si="36"/>
        <v>BJLL132T3</v>
      </c>
      <c r="X309">
        <v>8.0167999999999999</v>
      </c>
      <c r="Z309" t="s">
        <v>875</v>
      </c>
      <c r="AA309" t="s">
        <v>808</v>
      </c>
      <c r="AB309" t="s">
        <v>1463</v>
      </c>
      <c r="AD309" t="s">
        <v>2004</v>
      </c>
      <c r="AE309">
        <v>8.0167999999999999</v>
      </c>
      <c r="AF309">
        <v>88177</v>
      </c>
      <c r="AH309" t="s">
        <v>1789</v>
      </c>
    </row>
    <row r="310" spans="8:34" x14ac:dyDescent="0.25">
      <c r="H310">
        <f t="shared" si="33"/>
        <v>62155</v>
      </c>
      <c r="I310" s="246" t="s">
        <v>804</v>
      </c>
      <c r="J310" s="246">
        <v>48.5</v>
      </c>
      <c r="K310" s="246" t="str">
        <f t="shared" si="43"/>
        <v>PRID132</v>
      </c>
      <c r="M310" t="str">
        <f t="shared" si="40"/>
        <v>PRID132T1</v>
      </c>
      <c r="N310" t="str">
        <f>VLOOKUP(H310,'TNB Load'!$A$2:$F$1448,6,FALSE)</f>
        <v>P PINANG</v>
      </c>
      <c r="O310">
        <f t="shared" si="41"/>
        <v>23.613499999999998</v>
      </c>
      <c r="R310">
        <v>88177</v>
      </c>
      <c r="S310" t="s">
        <v>875</v>
      </c>
      <c r="T310" t="s">
        <v>809</v>
      </c>
      <c r="U310" t="str">
        <f t="shared" si="35"/>
        <v>BJLL132</v>
      </c>
      <c r="W310" t="str">
        <f t="shared" si="36"/>
        <v>BJLL132T4</v>
      </c>
      <c r="X310">
        <v>9.4023000000000003</v>
      </c>
      <c r="Z310" t="s">
        <v>875</v>
      </c>
      <c r="AA310" t="s">
        <v>809</v>
      </c>
      <c r="AB310" t="s">
        <v>1463</v>
      </c>
      <c r="AD310" t="s">
        <v>2005</v>
      </c>
      <c r="AE310">
        <v>9.4023000000000003</v>
      </c>
      <c r="AF310">
        <v>88177</v>
      </c>
      <c r="AH310" t="s">
        <v>1788</v>
      </c>
    </row>
    <row r="311" spans="8:34" x14ac:dyDescent="0.25">
      <c r="H311">
        <f t="shared" si="33"/>
        <v>51103</v>
      </c>
      <c r="I311" s="246" t="s">
        <v>808</v>
      </c>
      <c r="J311" s="246">
        <v>48.5</v>
      </c>
      <c r="K311" s="246" t="s">
        <v>1547</v>
      </c>
      <c r="M311" t="str">
        <f t="shared" si="40"/>
        <v>PCHP132T3</v>
      </c>
      <c r="N311" t="str">
        <f>VLOOKUP(H311,'TNB Load'!$A$2:$F$1448,6,FALSE)</f>
        <v>SELANGOR</v>
      </c>
      <c r="O311">
        <f t="shared" si="41"/>
        <v>25.645199999999999</v>
      </c>
      <c r="R311">
        <v>51083</v>
      </c>
      <c r="S311" t="s">
        <v>876</v>
      </c>
      <c r="T311" t="s">
        <v>804</v>
      </c>
      <c r="U311" t="str">
        <f t="shared" si="35"/>
        <v>BJTG132</v>
      </c>
      <c r="W311" t="str">
        <f t="shared" si="36"/>
        <v>BJTG132T1</v>
      </c>
      <c r="X311">
        <v>8.1742000000000008</v>
      </c>
      <c r="Z311" t="s">
        <v>876</v>
      </c>
      <c r="AA311" t="s">
        <v>804</v>
      </c>
      <c r="AB311" t="s">
        <v>2006</v>
      </c>
      <c r="AD311" t="s">
        <v>2007</v>
      </c>
      <c r="AE311">
        <v>8.1742000000000008</v>
      </c>
      <c r="AF311">
        <v>51083</v>
      </c>
      <c r="AH311" t="s">
        <v>2150</v>
      </c>
    </row>
    <row r="312" spans="8:34" x14ac:dyDescent="0.25">
      <c r="H312">
        <f t="shared" si="33"/>
        <v>551103</v>
      </c>
      <c r="I312" s="246" t="s">
        <v>807</v>
      </c>
      <c r="J312" s="246">
        <v>48.5</v>
      </c>
      <c r="K312" s="246" t="str">
        <f t="shared" ref="K312:K313" si="44">K311</f>
        <v>PCHP132</v>
      </c>
      <c r="M312" t="str">
        <f t="shared" si="40"/>
        <v>PCHP132T2</v>
      </c>
      <c r="N312" t="str">
        <f>VLOOKUP(H312,'TNB Load'!$A$2:$F$1448,6,FALSE)</f>
        <v>SELANGOR</v>
      </c>
      <c r="O312">
        <f t="shared" si="41"/>
        <v>46.370699999999999</v>
      </c>
      <c r="R312">
        <v>51083</v>
      </c>
      <c r="S312" t="s">
        <v>876</v>
      </c>
      <c r="T312" t="s">
        <v>807</v>
      </c>
      <c r="U312" t="str">
        <f t="shared" si="35"/>
        <v>BJTG132</v>
      </c>
      <c r="W312" t="str">
        <f t="shared" si="36"/>
        <v>BJTG132T2</v>
      </c>
      <c r="X312">
        <v>5.6818</v>
      </c>
      <c r="Z312" t="s">
        <v>876</v>
      </c>
      <c r="AA312" t="s">
        <v>807</v>
      </c>
      <c r="AB312" t="s">
        <v>2006</v>
      </c>
      <c r="AD312" t="s">
        <v>2008</v>
      </c>
      <c r="AE312">
        <v>5.6818</v>
      </c>
      <c r="AF312">
        <v>51083</v>
      </c>
      <c r="AH312" t="s">
        <v>2152</v>
      </c>
    </row>
    <row r="313" spans="8:34" x14ac:dyDescent="0.25">
      <c r="H313">
        <f t="shared" si="33"/>
        <v>551103</v>
      </c>
      <c r="I313" s="246" t="s">
        <v>804</v>
      </c>
      <c r="J313" s="246">
        <v>48.5</v>
      </c>
      <c r="K313" s="246" t="str">
        <f t="shared" si="44"/>
        <v>PCHP132</v>
      </c>
      <c r="M313" t="str">
        <f t="shared" si="40"/>
        <v>PCHP132T1</v>
      </c>
      <c r="N313" t="str">
        <f>VLOOKUP(H313,'TNB Load'!$A$2:$F$1448,6,FALSE)</f>
        <v>SELANGOR</v>
      </c>
      <c r="O313">
        <f t="shared" si="41"/>
        <v>46.198799999999999</v>
      </c>
      <c r="R313">
        <v>51083</v>
      </c>
      <c r="S313" t="s">
        <v>876</v>
      </c>
      <c r="T313" t="s">
        <v>808</v>
      </c>
      <c r="U313" t="str">
        <f t="shared" si="35"/>
        <v>BJTG132</v>
      </c>
      <c r="W313" t="str">
        <f t="shared" si="36"/>
        <v>BJTG132T3</v>
      </c>
      <c r="X313">
        <v>35.82</v>
      </c>
      <c r="Z313" t="s">
        <v>876</v>
      </c>
      <c r="AA313" t="s">
        <v>808</v>
      </c>
      <c r="AB313" t="s">
        <v>2006</v>
      </c>
      <c r="AD313" t="s">
        <v>2009</v>
      </c>
      <c r="AE313">
        <v>35.82</v>
      </c>
      <c r="AF313">
        <v>51083</v>
      </c>
      <c r="AH313" t="s">
        <v>2151</v>
      </c>
    </row>
    <row r="314" spans="8:34" x14ac:dyDescent="0.25">
      <c r="H314">
        <f t="shared" si="33"/>
        <v>51006</v>
      </c>
      <c r="I314" s="246" t="s">
        <v>809</v>
      </c>
      <c r="J314" s="246">
        <v>48.5</v>
      </c>
      <c r="K314" s="246" t="s">
        <v>1548</v>
      </c>
      <c r="M314" t="str">
        <f t="shared" si="40"/>
        <v>CBPS132T4</v>
      </c>
      <c r="N314" t="str">
        <f>VLOOKUP(H314,'TNB Load'!$A$2:$F$1448,6,FALSE)</f>
        <v>SELANGOR</v>
      </c>
      <c r="O314">
        <f t="shared" si="41"/>
        <v>44.174399999999999</v>
      </c>
      <c r="R314">
        <v>51083</v>
      </c>
      <c r="S314" t="s">
        <v>876</v>
      </c>
      <c r="T314" t="s">
        <v>809</v>
      </c>
      <c r="U314" t="str">
        <f t="shared" si="35"/>
        <v>BJTG132</v>
      </c>
      <c r="W314" t="str">
        <f t="shared" si="36"/>
        <v>BJTG132T4</v>
      </c>
      <c r="X314">
        <v>35.181100000000001</v>
      </c>
      <c r="Z314" t="s">
        <v>876</v>
      </c>
      <c r="AA314" t="s">
        <v>809</v>
      </c>
      <c r="AB314" t="s">
        <v>2006</v>
      </c>
      <c r="AD314" t="s">
        <v>2010</v>
      </c>
      <c r="AE314">
        <v>35.181100000000001</v>
      </c>
      <c r="AF314">
        <v>51083</v>
      </c>
      <c r="AH314" t="s">
        <v>2052</v>
      </c>
    </row>
    <row r="315" spans="8:34" x14ac:dyDescent="0.25">
      <c r="H315">
        <f t="shared" si="33"/>
        <v>51006</v>
      </c>
      <c r="I315" s="246" t="s">
        <v>808</v>
      </c>
      <c r="J315" s="246">
        <v>48.5</v>
      </c>
      <c r="K315" s="246" t="str">
        <f>K314</f>
        <v>CBPS132</v>
      </c>
      <c r="M315" t="str">
        <f t="shared" si="40"/>
        <v>CBPS132T3</v>
      </c>
      <c r="N315" t="str">
        <f>VLOOKUP(H315,'TNB Load'!$A$2:$F$1448,6,FALSE)</f>
        <v>SELANGOR</v>
      </c>
      <c r="O315">
        <f t="shared" si="41"/>
        <v>44.967599999999997</v>
      </c>
      <c r="R315">
        <v>51045</v>
      </c>
      <c r="S315" t="s">
        <v>879</v>
      </c>
      <c r="T315" t="s">
        <v>804</v>
      </c>
      <c r="U315" t="str">
        <f t="shared" si="35"/>
        <v>BKPR132</v>
      </c>
      <c r="W315" t="str">
        <f t="shared" si="36"/>
        <v>BKPR132T1</v>
      </c>
      <c r="X315">
        <v>14.6699</v>
      </c>
      <c r="Z315" t="s">
        <v>879</v>
      </c>
      <c r="AA315" t="s">
        <v>804</v>
      </c>
      <c r="AB315" t="s">
        <v>1479</v>
      </c>
      <c r="AD315" t="s">
        <v>2011</v>
      </c>
      <c r="AE315">
        <v>14.6699</v>
      </c>
      <c r="AF315">
        <v>51045</v>
      </c>
      <c r="AH315" t="s">
        <v>2051</v>
      </c>
    </row>
    <row r="316" spans="8:34" x14ac:dyDescent="0.25">
      <c r="H316">
        <f t="shared" si="33"/>
        <v>51027</v>
      </c>
      <c r="I316" s="246" t="s">
        <v>807</v>
      </c>
      <c r="J316" s="246">
        <v>48.5</v>
      </c>
      <c r="K316" s="246" t="s">
        <v>1549</v>
      </c>
      <c r="M316" t="str">
        <f t="shared" si="40"/>
        <v>SHAB132T2</v>
      </c>
      <c r="N316" t="str">
        <f>VLOOKUP(H316,'TNB Load'!$A$2:$F$1448,6,FALSE)</f>
        <v>SELANGOR</v>
      </c>
      <c r="O316">
        <f t="shared" si="41"/>
        <v>26.025200000000002</v>
      </c>
      <c r="R316">
        <v>51045</v>
      </c>
      <c r="S316" t="s">
        <v>879</v>
      </c>
      <c r="T316" t="s">
        <v>807</v>
      </c>
      <c r="U316" t="str">
        <f t="shared" si="35"/>
        <v>BKPR132</v>
      </c>
      <c r="W316" t="str">
        <f t="shared" si="36"/>
        <v>BKPR132T2</v>
      </c>
      <c r="X316">
        <v>16.306999999999999</v>
      </c>
      <c r="Z316" t="s">
        <v>879</v>
      </c>
      <c r="AA316" t="s">
        <v>807</v>
      </c>
      <c r="AB316" t="s">
        <v>1479</v>
      </c>
      <c r="AD316" t="s">
        <v>2012</v>
      </c>
      <c r="AE316">
        <v>16.306999999999999</v>
      </c>
      <c r="AF316">
        <v>51045</v>
      </c>
      <c r="AH316" t="s">
        <v>2204</v>
      </c>
    </row>
    <row r="317" spans="8:34" x14ac:dyDescent="0.25">
      <c r="H317">
        <f t="shared" si="33"/>
        <v>51027</v>
      </c>
      <c r="I317" s="246" t="s">
        <v>804</v>
      </c>
      <c r="J317" s="246">
        <v>48.5</v>
      </c>
      <c r="K317" s="246" t="str">
        <f>K316</f>
        <v>SHAB132</v>
      </c>
      <c r="M317" t="str">
        <f t="shared" si="40"/>
        <v>SHAB132T1</v>
      </c>
      <c r="N317" t="str">
        <f>VLOOKUP(H317,'TNB Load'!$A$2:$F$1448,6,FALSE)</f>
        <v>SELANGOR</v>
      </c>
      <c r="O317">
        <f t="shared" si="41"/>
        <v>25.234100000000002</v>
      </c>
      <c r="R317">
        <v>51045</v>
      </c>
      <c r="S317" t="s">
        <v>879</v>
      </c>
      <c r="T317" t="s">
        <v>808</v>
      </c>
      <c r="U317" t="str">
        <f t="shared" si="35"/>
        <v>BKPR132</v>
      </c>
      <c r="W317" t="str">
        <f t="shared" si="36"/>
        <v>BKPR132T3</v>
      </c>
      <c r="X317">
        <v>38.734900000000003</v>
      </c>
      <c r="Z317" t="s">
        <v>879</v>
      </c>
      <c r="AA317" t="s">
        <v>808</v>
      </c>
      <c r="AB317" t="s">
        <v>1479</v>
      </c>
      <c r="AD317" t="s">
        <v>2013</v>
      </c>
      <c r="AE317">
        <v>38.734900000000003</v>
      </c>
      <c r="AF317">
        <v>51045</v>
      </c>
      <c r="AH317" t="s">
        <v>2203</v>
      </c>
    </row>
    <row r="318" spans="8:34" x14ac:dyDescent="0.25">
      <c r="H318">
        <f t="shared" si="33"/>
        <v>88122</v>
      </c>
      <c r="I318" s="246" t="s">
        <v>807</v>
      </c>
      <c r="J318" s="246">
        <v>48.5</v>
      </c>
      <c r="K318" s="246" t="s">
        <v>1550</v>
      </c>
      <c r="M318" t="str">
        <f t="shared" si="40"/>
        <v>SGBT132T2</v>
      </c>
      <c r="N318" t="str">
        <f>VLOOKUP(H318,'TNB Load'!$A$2:$F$1448,6,FALSE)</f>
        <v>WPKL</v>
      </c>
      <c r="O318">
        <f t="shared" si="41"/>
        <v>39.647199999999998</v>
      </c>
      <c r="R318">
        <v>51045</v>
      </c>
      <c r="S318" t="s">
        <v>879</v>
      </c>
      <c r="T318" t="s">
        <v>809</v>
      </c>
      <c r="U318" t="str">
        <f t="shared" si="35"/>
        <v>BKPR132</v>
      </c>
      <c r="W318" t="str">
        <f t="shared" si="36"/>
        <v>BKPR132T4</v>
      </c>
      <c r="X318">
        <v>38.743200000000002</v>
      </c>
      <c r="Z318" t="s">
        <v>879</v>
      </c>
      <c r="AA318" t="s">
        <v>809</v>
      </c>
      <c r="AB318" t="s">
        <v>1479</v>
      </c>
      <c r="AD318" t="s">
        <v>2014</v>
      </c>
      <c r="AE318">
        <v>38.743200000000002</v>
      </c>
      <c r="AF318">
        <v>51045</v>
      </c>
      <c r="AH318" t="s">
        <v>2384</v>
      </c>
    </row>
    <row r="319" spans="8:34" x14ac:dyDescent="0.25">
      <c r="H319">
        <f t="shared" si="33"/>
        <v>88122</v>
      </c>
      <c r="I319" s="246" t="s">
        <v>804</v>
      </c>
      <c r="J319" s="246">
        <v>48.5</v>
      </c>
      <c r="K319" s="246" t="str">
        <f>K318</f>
        <v>SGBT132</v>
      </c>
      <c r="M319" t="str">
        <f t="shared" si="40"/>
        <v>SGBT132T1</v>
      </c>
      <c r="N319" t="str">
        <f>VLOOKUP(H319,'TNB Load'!$A$2:$F$1448,6,FALSE)</f>
        <v>WPKL</v>
      </c>
      <c r="O319">
        <f t="shared" si="41"/>
        <v>40.1111</v>
      </c>
      <c r="R319">
        <v>51062</v>
      </c>
      <c r="S319" t="s">
        <v>885</v>
      </c>
      <c r="T319" t="s">
        <v>804</v>
      </c>
      <c r="U319" t="str">
        <f t="shared" si="35"/>
        <v>BLKG132</v>
      </c>
      <c r="W319" t="str">
        <f t="shared" si="36"/>
        <v>BLKG132T1</v>
      </c>
      <c r="X319">
        <v>8.6506000000000007</v>
      </c>
      <c r="Z319" t="s">
        <v>885</v>
      </c>
      <c r="AA319" t="s">
        <v>804</v>
      </c>
      <c r="AB319" t="s">
        <v>1464</v>
      </c>
      <c r="AD319" t="s">
        <v>2015</v>
      </c>
      <c r="AE319">
        <v>8.6506000000000007</v>
      </c>
      <c r="AF319">
        <v>51062</v>
      </c>
      <c r="AH319" t="s">
        <v>2383</v>
      </c>
    </row>
    <row r="320" spans="8:34" x14ac:dyDescent="0.25">
      <c r="H320">
        <f t="shared" si="33"/>
        <v>75206</v>
      </c>
      <c r="I320" s="246" t="s">
        <v>807</v>
      </c>
      <c r="J320" s="246">
        <v>48.5</v>
      </c>
      <c r="K320" s="246" t="s">
        <v>3067</v>
      </c>
      <c r="M320" t="str">
        <f t="shared" si="40"/>
        <v>JELI275T2</v>
      </c>
      <c r="N320" t="str">
        <f>VLOOKUP(H320,'TNB Load'!$A$2:$F$1448,6,FALSE)</f>
        <v>KELANTAN</v>
      </c>
      <c r="O320">
        <f t="shared" si="41"/>
        <v>6.1704999999999997</v>
      </c>
      <c r="R320">
        <v>51062</v>
      </c>
      <c r="S320" t="s">
        <v>885</v>
      </c>
      <c r="T320" t="s">
        <v>807</v>
      </c>
      <c r="U320" t="str">
        <f t="shared" si="35"/>
        <v>BLKG132</v>
      </c>
      <c r="W320" t="str">
        <f t="shared" si="36"/>
        <v>BLKG132T2</v>
      </c>
      <c r="X320">
        <v>5.0605000000000002</v>
      </c>
      <c r="Z320" t="s">
        <v>885</v>
      </c>
      <c r="AA320" t="s">
        <v>807</v>
      </c>
      <c r="AB320" t="s">
        <v>1464</v>
      </c>
      <c r="AD320" t="s">
        <v>2016</v>
      </c>
      <c r="AE320">
        <v>5.0605000000000002</v>
      </c>
      <c r="AF320">
        <v>51062</v>
      </c>
      <c r="AH320" t="s">
        <v>3069</v>
      </c>
    </row>
    <row r="321" spans="8:34" x14ac:dyDescent="0.25">
      <c r="H321">
        <f t="shared" si="33"/>
        <v>75206</v>
      </c>
      <c r="I321" s="246" t="s">
        <v>804</v>
      </c>
      <c r="J321" s="246">
        <v>48.5</v>
      </c>
      <c r="K321" s="246" t="str">
        <f>K320</f>
        <v>JELI275</v>
      </c>
      <c r="M321" t="str">
        <f t="shared" si="40"/>
        <v>JELI275T1</v>
      </c>
      <c r="N321" t="str">
        <f>VLOOKUP(H321,'TNB Load'!$A$2:$F$1448,6,FALSE)</f>
        <v>KELANTAN</v>
      </c>
      <c r="O321">
        <f t="shared" si="41"/>
        <v>6.3818000000000001</v>
      </c>
      <c r="R321">
        <v>51062</v>
      </c>
      <c r="S321" t="s">
        <v>885</v>
      </c>
      <c r="T321" t="s">
        <v>808</v>
      </c>
      <c r="U321" t="str">
        <f t="shared" si="35"/>
        <v>BLKG132</v>
      </c>
      <c r="W321" t="str">
        <f t="shared" si="36"/>
        <v>BLKG132T3</v>
      </c>
      <c r="X321">
        <v>42.693600000000004</v>
      </c>
      <c r="Z321" t="s">
        <v>885</v>
      </c>
      <c r="AA321" t="s">
        <v>808</v>
      </c>
      <c r="AB321" t="s">
        <v>1464</v>
      </c>
      <c r="AD321" t="s">
        <v>2017</v>
      </c>
      <c r="AE321">
        <v>42.693600000000004</v>
      </c>
      <c r="AF321">
        <v>51062</v>
      </c>
      <c r="AH321" t="s">
        <v>3068</v>
      </c>
    </row>
    <row r="322" spans="8:34" x14ac:dyDescent="0.25">
      <c r="H322">
        <f t="shared" si="33"/>
        <v>75114</v>
      </c>
      <c r="I322" s="246" t="s">
        <v>807</v>
      </c>
      <c r="J322" s="246">
        <v>48.5</v>
      </c>
      <c r="K322" s="246" t="s">
        <v>1551</v>
      </c>
      <c r="M322" t="str">
        <f t="shared" si="40"/>
        <v>PPTH132T2</v>
      </c>
      <c r="N322" t="str">
        <f>VLOOKUP(H322,'TNB Load'!$A$2:$F$1448,6,FALSE)</f>
        <v>KELANTAN</v>
      </c>
      <c r="O322">
        <f t="shared" si="41"/>
        <v>19.122599999999998</v>
      </c>
      <c r="R322">
        <v>51062</v>
      </c>
      <c r="S322" t="s">
        <v>885</v>
      </c>
      <c r="T322" t="s">
        <v>809</v>
      </c>
      <c r="U322" t="str">
        <f t="shared" si="35"/>
        <v>BLKG132</v>
      </c>
      <c r="W322" t="str">
        <f t="shared" si="36"/>
        <v>BLKG132T4</v>
      </c>
      <c r="X322">
        <v>41.913899999999998</v>
      </c>
      <c r="Z322" t="s">
        <v>885</v>
      </c>
      <c r="AA322" t="s">
        <v>809</v>
      </c>
      <c r="AB322" t="s">
        <v>1464</v>
      </c>
      <c r="AD322" t="s">
        <v>2018</v>
      </c>
      <c r="AE322">
        <v>41.913899999999998</v>
      </c>
      <c r="AF322">
        <v>51062</v>
      </c>
      <c r="AH322" t="s">
        <v>3093</v>
      </c>
    </row>
    <row r="323" spans="8:34" x14ac:dyDescent="0.25">
      <c r="H323">
        <f t="shared" ref="H323:H386" si="45">VLOOKUP(AH323,$AD$3:$AF$1300,3,FALSE)</f>
        <v>75114</v>
      </c>
      <c r="I323" s="246" t="s">
        <v>804</v>
      </c>
      <c r="J323" s="246">
        <v>48.5</v>
      </c>
      <c r="K323" s="246" t="str">
        <f>K322</f>
        <v>PPTH132</v>
      </c>
      <c r="M323" t="str">
        <f t="shared" si="40"/>
        <v>PPTH132T1</v>
      </c>
      <c r="N323" t="str">
        <f>VLOOKUP(H323,'TNB Load'!$A$2:$F$1448,6,FALSE)</f>
        <v>KELANTAN</v>
      </c>
      <c r="O323">
        <f t="shared" si="41"/>
        <v>19.610299999999999</v>
      </c>
      <c r="R323">
        <v>51004</v>
      </c>
      <c r="S323" t="s">
        <v>901</v>
      </c>
      <c r="T323" t="s">
        <v>804</v>
      </c>
      <c r="U323" t="str">
        <f t="shared" si="35"/>
        <v>BRGS132</v>
      </c>
      <c r="W323" t="str">
        <f t="shared" si="36"/>
        <v>BRGS132T1</v>
      </c>
      <c r="X323">
        <v>8.0602999999999998</v>
      </c>
      <c r="Z323" t="s">
        <v>901</v>
      </c>
      <c r="AA323" t="s">
        <v>804</v>
      </c>
      <c r="AB323" t="s">
        <v>1453</v>
      </c>
      <c r="AD323" t="s">
        <v>2019</v>
      </c>
      <c r="AE323">
        <v>8.0602999999999998</v>
      </c>
      <c r="AF323">
        <v>51004</v>
      </c>
      <c r="AH323" t="s">
        <v>3092</v>
      </c>
    </row>
    <row r="324" spans="8:34" x14ac:dyDescent="0.25">
      <c r="H324">
        <f t="shared" si="45"/>
        <v>75106</v>
      </c>
      <c r="I324" s="246" t="s">
        <v>810</v>
      </c>
      <c r="J324" s="246">
        <v>48.5</v>
      </c>
      <c r="K324" s="246" t="s">
        <v>1552</v>
      </c>
      <c r="M324" t="str">
        <f t="shared" si="40"/>
        <v>SJTH132T5</v>
      </c>
      <c r="N324" t="str">
        <f>VLOOKUP(H324,'TNB Load'!$A$2:$F$1448,6,FALSE)</f>
        <v>KELANTAN</v>
      </c>
      <c r="O324">
        <f t="shared" si="41"/>
        <v>14.891500000000001</v>
      </c>
      <c r="R324">
        <v>51004</v>
      </c>
      <c r="S324" t="s">
        <v>901</v>
      </c>
      <c r="T324" t="s">
        <v>807</v>
      </c>
      <c r="U324" t="str">
        <f t="shared" ref="U324:U387" si="46">LEFT(S324,7)</f>
        <v>BRGS132</v>
      </c>
      <c r="W324" t="str">
        <f t="shared" ref="W324:W387" si="47">U324&amp;T324</f>
        <v>BRGS132T2</v>
      </c>
      <c r="X324">
        <v>10.8178</v>
      </c>
      <c r="Z324" t="s">
        <v>901</v>
      </c>
      <c r="AA324" t="s">
        <v>807</v>
      </c>
      <c r="AB324" t="s">
        <v>1453</v>
      </c>
      <c r="AD324" t="s">
        <v>2020</v>
      </c>
      <c r="AE324">
        <v>10.8178</v>
      </c>
      <c r="AF324">
        <v>51004</v>
      </c>
      <c r="AH324" t="s">
        <v>3099</v>
      </c>
    </row>
    <row r="325" spans="8:34" x14ac:dyDescent="0.25">
      <c r="H325">
        <f t="shared" si="45"/>
        <v>75106</v>
      </c>
      <c r="I325" s="246" t="s">
        <v>807</v>
      </c>
      <c r="J325" s="246">
        <v>48.5</v>
      </c>
      <c r="K325" s="246" t="str">
        <f>K324</f>
        <v>SJTH132</v>
      </c>
      <c r="M325" t="str">
        <f t="shared" si="40"/>
        <v>SJTH132T2</v>
      </c>
      <c r="N325" t="str">
        <f>VLOOKUP(H325,'TNB Load'!$A$2:$F$1448,6,FALSE)</f>
        <v>KELANTAN</v>
      </c>
      <c r="O325">
        <f t="shared" si="41"/>
        <v>21.5291</v>
      </c>
      <c r="R325">
        <v>51004</v>
      </c>
      <c r="S325" t="s">
        <v>901</v>
      </c>
      <c r="T325" t="s">
        <v>808</v>
      </c>
      <c r="U325" t="str">
        <f t="shared" si="46"/>
        <v>BRGS132</v>
      </c>
      <c r="W325" t="str">
        <f t="shared" si="47"/>
        <v>BRGS132T3</v>
      </c>
      <c r="X325">
        <v>0</v>
      </c>
      <c r="Z325" t="s">
        <v>901</v>
      </c>
      <c r="AA325" t="s">
        <v>808</v>
      </c>
      <c r="AB325" t="s">
        <v>1453</v>
      </c>
      <c r="AD325" t="s">
        <v>2021</v>
      </c>
      <c r="AE325">
        <v>0</v>
      </c>
      <c r="AF325">
        <v>51004</v>
      </c>
      <c r="AH325" t="s">
        <v>3098</v>
      </c>
    </row>
    <row r="326" spans="8:34" x14ac:dyDescent="0.25">
      <c r="H326">
        <f t="shared" si="45"/>
        <v>75106</v>
      </c>
      <c r="I326" s="246" t="s">
        <v>804</v>
      </c>
      <c r="J326" s="246">
        <v>48.5</v>
      </c>
      <c r="K326" s="246" t="str">
        <f>K325</f>
        <v>SJTH132</v>
      </c>
      <c r="M326" t="str">
        <f t="shared" si="40"/>
        <v>SJTH132T1</v>
      </c>
      <c r="N326" t="str">
        <f>VLOOKUP(H326,'TNB Load'!$A$2:$F$1448,6,FALSE)</f>
        <v>KELANTAN</v>
      </c>
      <c r="O326">
        <f t="shared" si="41"/>
        <v>21.3261</v>
      </c>
      <c r="R326">
        <v>51004</v>
      </c>
      <c r="S326" t="s">
        <v>901</v>
      </c>
      <c r="T326" t="s">
        <v>809</v>
      </c>
      <c r="U326" t="str">
        <f t="shared" si="46"/>
        <v>BRGS132</v>
      </c>
      <c r="W326" t="str">
        <f t="shared" si="47"/>
        <v>BRGS132T4</v>
      </c>
      <c r="X326">
        <v>0</v>
      </c>
      <c r="Z326" t="s">
        <v>901</v>
      </c>
      <c r="AA326" t="s">
        <v>809</v>
      </c>
      <c r="AB326" t="s">
        <v>1453</v>
      </c>
      <c r="AD326" t="s">
        <v>2022</v>
      </c>
      <c r="AE326">
        <v>0</v>
      </c>
      <c r="AF326">
        <v>51004</v>
      </c>
      <c r="AH326" t="s">
        <v>3097</v>
      </c>
    </row>
    <row r="327" spans="8:34" x14ac:dyDescent="0.25">
      <c r="H327">
        <f t="shared" si="45"/>
        <v>96195</v>
      </c>
      <c r="I327" t="s">
        <v>807</v>
      </c>
      <c r="J327">
        <v>48.4</v>
      </c>
      <c r="K327" t="s">
        <v>1553</v>
      </c>
      <c r="M327" t="str">
        <f t="shared" si="40"/>
        <v>ZRNA132T2</v>
      </c>
      <c r="N327" t="str">
        <f>VLOOKUP(H327,'TNB Load'!$A$2:$F$1448,6,FALSE)</f>
        <v>MELAKA</v>
      </c>
      <c r="O327">
        <f t="shared" si="41"/>
        <v>6.7473000000000001</v>
      </c>
      <c r="R327">
        <v>51053</v>
      </c>
      <c r="S327" t="s">
        <v>903</v>
      </c>
      <c r="T327" t="s">
        <v>804</v>
      </c>
      <c r="U327" t="str">
        <f t="shared" si="46"/>
        <v>BRNG132</v>
      </c>
      <c r="W327" t="str">
        <f t="shared" si="47"/>
        <v>BRNG132T1</v>
      </c>
      <c r="X327">
        <v>0</v>
      </c>
      <c r="Z327" t="s">
        <v>903</v>
      </c>
      <c r="AA327" t="s">
        <v>804</v>
      </c>
      <c r="AB327" t="s">
        <v>1601</v>
      </c>
      <c r="AD327" t="s">
        <v>2023</v>
      </c>
      <c r="AE327">
        <v>0</v>
      </c>
      <c r="AF327">
        <v>51053</v>
      </c>
      <c r="AH327" t="s">
        <v>2589</v>
      </c>
    </row>
    <row r="328" spans="8:34" x14ac:dyDescent="0.25">
      <c r="H328">
        <f t="shared" si="45"/>
        <v>96195</v>
      </c>
      <c r="I328" t="s">
        <v>804</v>
      </c>
      <c r="J328">
        <v>48.4</v>
      </c>
      <c r="K328" t="str">
        <f>K327</f>
        <v>ZRNA132</v>
      </c>
      <c r="M328" t="str">
        <f t="shared" si="40"/>
        <v>ZRNA132T1</v>
      </c>
      <c r="N328" t="str">
        <f>VLOOKUP(H328,'TNB Load'!$A$2:$F$1448,6,FALSE)</f>
        <v>MELAKA</v>
      </c>
      <c r="O328">
        <f t="shared" si="41"/>
        <v>6.7297000000000002</v>
      </c>
      <c r="R328">
        <v>51053</v>
      </c>
      <c r="S328" t="s">
        <v>903</v>
      </c>
      <c r="T328" t="s">
        <v>807</v>
      </c>
      <c r="U328" t="str">
        <f t="shared" si="46"/>
        <v>BRNG132</v>
      </c>
      <c r="W328" t="str">
        <f t="shared" si="47"/>
        <v>BRNG132T2</v>
      </c>
      <c r="X328">
        <v>19.687899999999999</v>
      </c>
      <c r="Z328" t="s">
        <v>903</v>
      </c>
      <c r="AA328" t="s">
        <v>807</v>
      </c>
      <c r="AB328" t="s">
        <v>1601</v>
      </c>
      <c r="AD328" t="s">
        <v>2024</v>
      </c>
      <c r="AE328">
        <v>19.687899999999999</v>
      </c>
      <c r="AF328">
        <v>51053</v>
      </c>
      <c r="AH328" t="s">
        <v>2588</v>
      </c>
    </row>
    <row r="329" spans="8:34" x14ac:dyDescent="0.25">
      <c r="H329">
        <f t="shared" si="45"/>
        <v>96181</v>
      </c>
      <c r="I329" t="s">
        <v>827</v>
      </c>
      <c r="J329">
        <v>48.4</v>
      </c>
      <c r="K329" t="s">
        <v>1554</v>
      </c>
      <c r="M329" t="str">
        <f t="shared" si="40"/>
        <v>SPWR132F3</v>
      </c>
      <c r="N329" t="str">
        <f>VLOOKUP(H329,'TNB Load'!$A$2:$F$1448,6,FALSE)</f>
        <v>MELAKA</v>
      </c>
      <c r="O329">
        <f t="shared" si="41"/>
        <v>3.3210000000000002</v>
      </c>
      <c r="R329">
        <v>51053</v>
      </c>
      <c r="S329" t="s">
        <v>903</v>
      </c>
      <c r="T329" t="s">
        <v>808</v>
      </c>
      <c r="U329" t="str">
        <f t="shared" si="46"/>
        <v>BRNG132</v>
      </c>
      <c r="W329" t="str">
        <f t="shared" si="47"/>
        <v>BRNG132T3</v>
      </c>
      <c r="X329">
        <v>0</v>
      </c>
      <c r="Z329" t="s">
        <v>903</v>
      </c>
      <c r="AA329" t="s">
        <v>808</v>
      </c>
      <c r="AB329" t="s">
        <v>1601</v>
      </c>
      <c r="AD329" t="s">
        <v>2025</v>
      </c>
      <c r="AE329">
        <v>0</v>
      </c>
      <c r="AF329">
        <v>51053</v>
      </c>
      <c r="AH329" t="s">
        <v>3127</v>
      </c>
    </row>
    <row r="330" spans="8:34" x14ac:dyDescent="0.25">
      <c r="H330">
        <f t="shared" si="45"/>
        <v>96181</v>
      </c>
      <c r="I330" t="s">
        <v>826</v>
      </c>
      <c r="J330">
        <v>48.4</v>
      </c>
      <c r="K330" t="str">
        <f t="shared" ref="K330:K331" si="48">K329</f>
        <v>SPWR132</v>
      </c>
      <c r="M330" t="str">
        <f t="shared" si="40"/>
        <v>SPWR132F2</v>
      </c>
      <c r="N330" t="str">
        <f>VLOOKUP(H330,'TNB Load'!$A$2:$F$1448,6,FALSE)</f>
        <v>MELAKA</v>
      </c>
      <c r="O330">
        <f t="shared" si="41"/>
        <v>2.3210000000000002</v>
      </c>
      <c r="R330">
        <v>51053</v>
      </c>
      <c r="S330" t="s">
        <v>903</v>
      </c>
      <c r="T330" t="s">
        <v>809</v>
      </c>
      <c r="U330" t="str">
        <f t="shared" si="46"/>
        <v>BRNG132</v>
      </c>
      <c r="W330" t="str">
        <f t="shared" si="47"/>
        <v>BRNG132T4</v>
      </c>
      <c r="X330">
        <v>0</v>
      </c>
      <c r="Z330" t="s">
        <v>903</v>
      </c>
      <c r="AA330" t="s">
        <v>809</v>
      </c>
      <c r="AB330" t="s">
        <v>1601</v>
      </c>
      <c r="AD330" t="s">
        <v>2026</v>
      </c>
      <c r="AE330">
        <v>0</v>
      </c>
      <c r="AF330">
        <v>51053</v>
      </c>
      <c r="AH330" t="s">
        <v>3128</v>
      </c>
    </row>
    <row r="331" spans="8:34" x14ac:dyDescent="0.25">
      <c r="H331">
        <f t="shared" si="45"/>
        <v>96181</v>
      </c>
      <c r="I331" t="s">
        <v>823</v>
      </c>
      <c r="J331">
        <v>48.4</v>
      </c>
      <c r="K331" t="str">
        <f t="shared" si="48"/>
        <v>SPWR132</v>
      </c>
      <c r="M331" t="str">
        <f t="shared" si="40"/>
        <v>SPWR132F1</v>
      </c>
      <c r="N331" t="str">
        <f>VLOOKUP(H331,'TNB Load'!$A$2:$F$1448,6,FALSE)</f>
        <v>MELAKA</v>
      </c>
      <c r="O331">
        <f t="shared" si="41"/>
        <v>1.321</v>
      </c>
      <c r="R331">
        <v>51056</v>
      </c>
      <c r="S331" t="s">
        <v>907</v>
      </c>
      <c r="T331" t="s">
        <v>804</v>
      </c>
      <c r="U331" t="str">
        <f t="shared" si="46"/>
        <v>BSTA132</v>
      </c>
      <c r="W331" t="str">
        <f t="shared" si="47"/>
        <v>BSTA132T1</v>
      </c>
      <c r="X331">
        <v>6.1623000000000001</v>
      </c>
      <c r="Z331" t="s">
        <v>907</v>
      </c>
      <c r="AA331" t="s">
        <v>804</v>
      </c>
      <c r="AB331" t="s">
        <v>2027</v>
      </c>
      <c r="AD331" t="s">
        <v>2028</v>
      </c>
      <c r="AE331">
        <v>6.1623000000000001</v>
      </c>
      <c r="AF331">
        <v>51056</v>
      </c>
      <c r="AH331" t="s">
        <v>3129</v>
      </c>
    </row>
    <row r="332" spans="8:34" x14ac:dyDescent="0.25">
      <c r="H332">
        <f t="shared" si="45"/>
        <v>96191</v>
      </c>
      <c r="I332" t="s">
        <v>809</v>
      </c>
      <c r="J332">
        <v>48.4</v>
      </c>
      <c r="K332" t="s">
        <v>1555</v>
      </c>
      <c r="M332" t="str">
        <f t="shared" si="40"/>
        <v>CHNG132T4</v>
      </c>
      <c r="N332" t="str">
        <f>VLOOKUP(H332,'TNB Load'!$A$2:$F$1448,6,FALSE)</f>
        <v>MELAKA</v>
      </c>
      <c r="O332">
        <f t="shared" si="41"/>
        <v>31.850899999999999</v>
      </c>
      <c r="R332">
        <v>51056</v>
      </c>
      <c r="S332" t="s">
        <v>907</v>
      </c>
      <c r="T332" t="s">
        <v>807</v>
      </c>
      <c r="U332" t="str">
        <f t="shared" si="46"/>
        <v>BSTA132</v>
      </c>
      <c r="W332" t="str">
        <f t="shared" si="47"/>
        <v>BSTA132T2</v>
      </c>
      <c r="X332">
        <v>11.104699999999999</v>
      </c>
      <c r="Z332" t="s">
        <v>907</v>
      </c>
      <c r="AA332" t="s">
        <v>807</v>
      </c>
      <c r="AB332" t="s">
        <v>2027</v>
      </c>
      <c r="AD332" t="s">
        <v>2029</v>
      </c>
      <c r="AE332">
        <v>11.104699999999999</v>
      </c>
      <c r="AF332">
        <v>51056</v>
      </c>
      <c r="AH332" t="s">
        <v>2525</v>
      </c>
    </row>
    <row r="333" spans="8:34" x14ac:dyDescent="0.25">
      <c r="H333">
        <f t="shared" si="45"/>
        <v>96191</v>
      </c>
      <c r="I333" t="s">
        <v>808</v>
      </c>
      <c r="J333">
        <v>48.4</v>
      </c>
      <c r="K333" t="str">
        <f t="shared" ref="K333:K335" si="49">K332</f>
        <v>CHNG132</v>
      </c>
      <c r="M333" t="str">
        <f t="shared" si="40"/>
        <v>CHNG132T3</v>
      </c>
      <c r="N333" t="str">
        <f>VLOOKUP(H333,'TNB Load'!$A$2:$F$1448,6,FALSE)</f>
        <v>MELAKA</v>
      </c>
      <c r="O333">
        <f t="shared" si="41"/>
        <v>31.840599999999998</v>
      </c>
      <c r="R333">
        <v>51056</v>
      </c>
      <c r="S333" t="s">
        <v>907</v>
      </c>
      <c r="T333" t="s">
        <v>808</v>
      </c>
      <c r="U333" t="str">
        <f t="shared" si="46"/>
        <v>BSTA132</v>
      </c>
      <c r="W333" t="str">
        <f t="shared" si="47"/>
        <v>BSTA132T3</v>
      </c>
      <c r="X333">
        <v>15.17</v>
      </c>
      <c r="Z333" t="s">
        <v>907</v>
      </c>
      <c r="AA333" t="s">
        <v>808</v>
      </c>
      <c r="AB333" t="s">
        <v>2027</v>
      </c>
      <c r="AD333" t="s">
        <v>2030</v>
      </c>
      <c r="AE333">
        <v>15.17</v>
      </c>
      <c r="AF333">
        <v>51056</v>
      </c>
      <c r="AH333" t="s">
        <v>2524</v>
      </c>
    </row>
    <row r="334" spans="8:34" x14ac:dyDescent="0.25">
      <c r="H334">
        <f t="shared" si="45"/>
        <v>96191</v>
      </c>
      <c r="I334" t="s">
        <v>807</v>
      </c>
      <c r="J334">
        <v>48.4</v>
      </c>
      <c r="K334" t="str">
        <f t="shared" si="49"/>
        <v>CHNG132</v>
      </c>
      <c r="M334" t="str">
        <f t="shared" si="40"/>
        <v>CHNG132T2</v>
      </c>
      <c r="N334" t="str">
        <f>VLOOKUP(H334,'TNB Load'!$A$2:$F$1448,6,FALSE)</f>
        <v>MELAKA</v>
      </c>
      <c r="O334">
        <f t="shared" si="41"/>
        <v>10.6045</v>
      </c>
      <c r="R334">
        <v>51056</v>
      </c>
      <c r="S334" t="s">
        <v>907</v>
      </c>
      <c r="T334" t="s">
        <v>809</v>
      </c>
      <c r="U334" t="str">
        <f t="shared" si="46"/>
        <v>BSTA132</v>
      </c>
      <c r="W334" t="str">
        <f t="shared" si="47"/>
        <v>BSTA132T4</v>
      </c>
      <c r="X334">
        <v>15.227</v>
      </c>
      <c r="Z334" t="s">
        <v>907</v>
      </c>
      <c r="AA334" t="s">
        <v>809</v>
      </c>
      <c r="AB334" t="s">
        <v>2027</v>
      </c>
      <c r="AD334" t="s">
        <v>2031</v>
      </c>
      <c r="AE334">
        <v>15.227</v>
      </c>
      <c r="AF334">
        <v>51056</v>
      </c>
      <c r="AH334" t="s">
        <v>2523</v>
      </c>
    </row>
    <row r="335" spans="8:34" x14ac:dyDescent="0.25">
      <c r="H335">
        <f t="shared" si="45"/>
        <v>96191</v>
      </c>
      <c r="I335" t="s">
        <v>804</v>
      </c>
      <c r="J335">
        <v>48.4</v>
      </c>
      <c r="K335" t="str">
        <f t="shared" si="49"/>
        <v>CHNG132</v>
      </c>
      <c r="M335" t="str">
        <f t="shared" si="40"/>
        <v>CHNG132T1</v>
      </c>
      <c r="N335" t="str">
        <f>VLOOKUP(H335,'TNB Load'!$A$2:$F$1448,6,FALSE)</f>
        <v>MELAKA</v>
      </c>
      <c r="O335">
        <f t="shared" si="41"/>
        <v>7.3437999999999999</v>
      </c>
      <c r="R335">
        <v>51001</v>
      </c>
      <c r="S335" t="s">
        <v>909</v>
      </c>
      <c r="T335" t="s">
        <v>804</v>
      </c>
      <c r="U335" t="str">
        <f t="shared" si="46"/>
        <v>BTAI132</v>
      </c>
      <c r="W335" t="str">
        <f t="shared" si="47"/>
        <v>BTAI132T1</v>
      </c>
      <c r="X335">
        <v>11.876099999999999</v>
      </c>
      <c r="Z335" t="s">
        <v>909</v>
      </c>
      <c r="AA335" t="s">
        <v>804</v>
      </c>
      <c r="AB335" t="s">
        <v>1573</v>
      </c>
      <c r="AD335" t="s">
        <v>2032</v>
      </c>
      <c r="AE335">
        <v>11.876099999999999</v>
      </c>
      <c r="AF335">
        <v>51001</v>
      </c>
      <c r="AH335" t="s">
        <v>2522</v>
      </c>
    </row>
    <row r="336" spans="8:34" x14ac:dyDescent="0.25">
      <c r="H336">
        <f t="shared" si="45"/>
        <v>96111</v>
      </c>
      <c r="I336" t="s">
        <v>807</v>
      </c>
      <c r="J336">
        <v>48.4</v>
      </c>
      <c r="K336" t="s">
        <v>1556</v>
      </c>
      <c r="M336" t="str">
        <f t="shared" si="40"/>
        <v>BMKA132T2</v>
      </c>
      <c r="N336" t="str">
        <f>VLOOKUP(H336,'TNB Load'!$A$2:$F$1448,6,FALSE)</f>
        <v>MELAKA</v>
      </c>
      <c r="O336">
        <f t="shared" si="41"/>
        <v>8.8483000000000001</v>
      </c>
      <c r="R336">
        <v>51001</v>
      </c>
      <c r="S336" t="s">
        <v>909</v>
      </c>
      <c r="T336" t="s">
        <v>807</v>
      </c>
      <c r="U336" t="str">
        <f t="shared" si="46"/>
        <v>BTAI132</v>
      </c>
      <c r="W336" t="str">
        <f t="shared" si="47"/>
        <v>BTAI132T2</v>
      </c>
      <c r="X336">
        <v>0</v>
      </c>
      <c r="Z336" t="s">
        <v>909</v>
      </c>
      <c r="AA336" t="s">
        <v>807</v>
      </c>
      <c r="AB336" t="s">
        <v>1573</v>
      </c>
      <c r="AD336" t="s">
        <v>2033</v>
      </c>
      <c r="AE336">
        <v>0</v>
      </c>
      <c r="AF336">
        <v>51001</v>
      </c>
      <c r="AH336" t="s">
        <v>2515</v>
      </c>
    </row>
    <row r="337" spans="8:34" x14ac:dyDescent="0.25">
      <c r="H337">
        <f t="shared" si="45"/>
        <v>96111</v>
      </c>
      <c r="I337" t="s">
        <v>804</v>
      </c>
      <c r="J337">
        <v>48.4</v>
      </c>
      <c r="K337" t="str">
        <f>K336</f>
        <v>BMKA132</v>
      </c>
      <c r="M337" t="str">
        <f t="shared" si="40"/>
        <v>BMKA132T1</v>
      </c>
      <c r="N337" t="str">
        <f>VLOOKUP(H337,'TNB Load'!$A$2:$F$1448,6,FALSE)</f>
        <v>MELAKA</v>
      </c>
      <c r="O337">
        <f t="shared" si="41"/>
        <v>5.6828000000000003</v>
      </c>
      <c r="R337">
        <v>51048</v>
      </c>
      <c r="S337" t="s">
        <v>911</v>
      </c>
      <c r="T337" t="s">
        <v>804</v>
      </c>
      <c r="U337" t="str">
        <f t="shared" si="46"/>
        <v>BTGA132</v>
      </c>
      <c r="W337" t="str">
        <f t="shared" si="47"/>
        <v>BTGA132T1</v>
      </c>
      <c r="X337">
        <v>18.814</v>
      </c>
      <c r="Z337" t="s">
        <v>911</v>
      </c>
      <c r="AA337" t="s">
        <v>804</v>
      </c>
      <c r="AB337" t="s">
        <v>1517</v>
      </c>
      <c r="AD337" t="s">
        <v>2034</v>
      </c>
      <c r="AE337">
        <v>18.814</v>
      </c>
      <c r="AF337">
        <v>51048</v>
      </c>
      <c r="AH337" t="s">
        <v>2514</v>
      </c>
    </row>
    <row r="338" spans="8:34" x14ac:dyDescent="0.25">
      <c r="H338">
        <f t="shared" si="45"/>
        <v>96108</v>
      </c>
      <c r="I338" t="s">
        <v>807</v>
      </c>
      <c r="J338">
        <v>48.4</v>
      </c>
      <c r="K338" t="s">
        <v>1557</v>
      </c>
      <c r="M338" t="str">
        <f t="shared" si="40"/>
        <v>MMKA132T2</v>
      </c>
      <c r="N338" t="str">
        <f>VLOOKUP(H338,'TNB Load'!$A$2:$F$1448,6,FALSE)</f>
        <v>MELAKA</v>
      </c>
      <c r="O338">
        <f t="shared" si="41"/>
        <v>7.0092999999999996</v>
      </c>
      <c r="R338">
        <v>51048</v>
      </c>
      <c r="S338" t="s">
        <v>911</v>
      </c>
      <c r="T338" t="s">
        <v>807</v>
      </c>
      <c r="U338" t="str">
        <f t="shared" si="46"/>
        <v>BTGA132</v>
      </c>
      <c r="W338" t="str">
        <f t="shared" si="47"/>
        <v>BTGA132T2</v>
      </c>
      <c r="X338">
        <v>19.086300000000001</v>
      </c>
      <c r="Z338" t="s">
        <v>911</v>
      </c>
      <c r="AA338" t="s">
        <v>807</v>
      </c>
      <c r="AB338" t="s">
        <v>1517</v>
      </c>
      <c r="AD338" t="s">
        <v>2035</v>
      </c>
      <c r="AE338">
        <v>19.086300000000001</v>
      </c>
      <c r="AF338">
        <v>51048</v>
      </c>
      <c r="AH338" t="s">
        <v>2559</v>
      </c>
    </row>
    <row r="339" spans="8:34" x14ac:dyDescent="0.25">
      <c r="H339">
        <f t="shared" si="45"/>
        <v>96108</v>
      </c>
      <c r="I339" t="s">
        <v>804</v>
      </c>
      <c r="J339">
        <v>48.4</v>
      </c>
      <c r="K339" t="str">
        <f>K338</f>
        <v>MMKA132</v>
      </c>
      <c r="M339" t="str">
        <f t="shared" si="40"/>
        <v>MMKA132T1</v>
      </c>
      <c r="N339" t="str">
        <f>VLOOKUP(H339,'TNB Load'!$A$2:$F$1448,6,FALSE)</f>
        <v>MELAKA</v>
      </c>
      <c r="O339">
        <f t="shared" si="41"/>
        <v>9.3722999999999992</v>
      </c>
      <c r="R339">
        <v>51048</v>
      </c>
      <c r="S339" t="s">
        <v>911</v>
      </c>
      <c r="T339" t="s">
        <v>808</v>
      </c>
      <c r="U339" t="str">
        <f t="shared" si="46"/>
        <v>BTGA132</v>
      </c>
      <c r="W339" t="str">
        <f t="shared" si="47"/>
        <v>BTGA132T3</v>
      </c>
      <c r="X339">
        <v>0</v>
      </c>
      <c r="Z339" t="s">
        <v>911</v>
      </c>
      <c r="AA339" t="s">
        <v>808</v>
      </c>
      <c r="AB339" t="s">
        <v>1517</v>
      </c>
      <c r="AD339" t="s">
        <v>2036</v>
      </c>
      <c r="AE339">
        <v>0</v>
      </c>
      <c r="AF339">
        <v>51048</v>
      </c>
      <c r="AH339" t="s">
        <v>2558</v>
      </c>
    </row>
    <row r="340" spans="8:34" x14ac:dyDescent="0.25">
      <c r="H340">
        <f t="shared" si="45"/>
        <v>96122</v>
      </c>
      <c r="I340" t="s">
        <v>807</v>
      </c>
      <c r="J340">
        <v>48.4</v>
      </c>
      <c r="K340" t="s">
        <v>1558</v>
      </c>
      <c r="M340" t="str">
        <f t="shared" si="40"/>
        <v>BVTA132T2</v>
      </c>
      <c r="N340" t="str">
        <f>VLOOKUP(H340,'TNB Load'!$A$2:$F$1448,6,FALSE)</f>
        <v>MELAKA</v>
      </c>
      <c r="O340">
        <f t="shared" si="41"/>
        <v>8.5501000000000005</v>
      </c>
      <c r="R340">
        <v>151088</v>
      </c>
      <c r="S340" t="s">
        <v>913</v>
      </c>
      <c r="T340" t="s">
        <v>848</v>
      </c>
      <c r="U340" t="str">
        <f t="shared" si="46"/>
        <v xml:space="preserve">BTIC-T </v>
      </c>
      <c r="W340" t="str">
        <f t="shared" si="47"/>
        <v>BTIC-T T7</v>
      </c>
      <c r="X340">
        <v>0</v>
      </c>
      <c r="Z340" t="s">
        <v>913</v>
      </c>
      <c r="AA340" t="s">
        <v>848</v>
      </c>
      <c r="AB340" t="s">
        <v>2037</v>
      </c>
      <c r="AD340" t="s">
        <v>2038</v>
      </c>
      <c r="AE340">
        <v>0</v>
      </c>
      <c r="AF340">
        <v>151088</v>
      </c>
      <c r="AH340" t="s">
        <v>2521</v>
      </c>
    </row>
    <row r="341" spans="8:34" x14ac:dyDescent="0.25">
      <c r="H341">
        <f t="shared" si="45"/>
        <v>96122</v>
      </c>
      <c r="I341" t="s">
        <v>804</v>
      </c>
      <c r="J341">
        <v>48.4</v>
      </c>
      <c r="K341" t="str">
        <f>K340</f>
        <v>BVTA132</v>
      </c>
      <c r="M341" t="str">
        <f t="shared" si="40"/>
        <v>BVTA132T1</v>
      </c>
      <c r="N341" t="str">
        <f>VLOOKUP(H341,'TNB Load'!$A$2:$F$1448,6,FALSE)</f>
        <v>MELAKA</v>
      </c>
      <c r="O341">
        <f t="shared" si="41"/>
        <v>3.3694999999999999</v>
      </c>
      <c r="R341">
        <v>51088</v>
      </c>
      <c r="S341" t="s">
        <v>914</v>
      </c>
      <c r="T341" t="s">
        <v>848</v>
      </c>
      <c r="U341" t="str">
        <f t="shared" si="46"/>
        <v>BTIC132</v>
      </c>
      <c r="W341" t="str">
        <f t="shared" si="47"/>
        <v>BTIC132T7</v>
      </c>
      <c r="X341">
        <v>0</v>
      </c>
      <c r="Z341" t="s">
        <v>914</v>
      </c>
      <c r="AA341" t="s">
        <v>848</v>
      </c>
      <c r="AB341" t="s">
        <v>2039</v>
      </c>
      <c r="AD341" t="s">
        <v>2040</v>
      </c>
      <c r="AE341">
        <v>0</v>
      </c>
      <c r="AF341">
        <v>51088</v>
      </c>
      <c r="AH341" t="s">
        <v>2520</v>
      </c>
    </row>
    <row r="342" spans="8:34" x14ac:dyDescent="0.25">
      <c r="H342">
        <f t="shared" si="45"/>
        <v>96189</v>
      </c>
      <c r="I342" t="s">
        <v>809</v>
      </c>
      <c r="J342">
        <v>48.4</v>
      </c>
      <c r="K342" t="s">
        <v>1559</v>
      </c>
      <c r="M342" t="str">
        <f t="shared" si="40"/>
        <v>TGBU132T4</v>
      </c>
      <c r="N342" t="str">
        <f>VLOOKUP(H342,'TNB Load'!$A$2:$F$1448,6,FALSE)</f>
        <v>MELAKA</v>
      </c>
      <c r="O342">
        <f t="shared" si="41"/>
        <v>16.861000000000001</v>
      </c>
      <c r="R342">
        <v>51008</v>
      </c>
      <c r="S342" t="s">
        <v>915</v>
      </c>
      <c r="T342" t="s">
        <v>804</v>
      </c>
      <c r="U342" t="str">
        <f t="shared" si="46"/>
        <v>BTIN132</v>
      </c>
      <c r="W342" t="str">
        <f t="shared" si="47"/>
        <v>BTIN132T1</v>
      </c>
      <c r="X342">
        <v>52.414900000000003</v>
      </c>
      <c r="Z342" t="s">
        <v>915</v>
      </c>
      <c r="AA342" t="s">
        <v>804</v>
      </c>
      <c r="AB342" t="s">
        <v>2041</v>
      </c>
      <c r="AD342" t="s">
        <v>2042</v>
      </c>
      <c r="AE342">
        <v>52.414900000000003</v>
      </c>
      <c r="AF342">
        <v>51008</v>
      </c>
      <c r="AH342" t="s">
        <v>2578</v>
      </c>
    </row>
    <row r="343" spans="8:34" x14ac:dyDescent="0.25">
      <c r="H343">
        <f t="shared" si="45"/>
        <v>96189</v>
      </c>
      <c r="I343" t="s">
        <v>808</v>
      </c>
      <c r="J343">
        <v>48.4</v>
      </c>
      <c r="K343" t="str">
        <f t="shared" ref="K343:K345" si="50">K342</f>
        <v>TGBU132</v>
      </c>
      <c r="M343" t="str">
        <f t="shared" si="40"/>
        <v>TGBU132T3</v>
      </c>
      <c r="N343" t="str">
        <f>VLOOKUP(H343,'TNB Load'!$A$2:$F$1448,6,FALSE)</f>
        <v>MELAKA</v>
      </c>
      <c r="O343">
        <f t="shared" si="41"/>
        <v>16.782299999999999</v>
      </c>
      <c r="R343">
        <v>51008</v>
      </c>
      <c r="S343" t="s">
        <v>915</v>
      </c>
      <c r="T343" t="s">
        <v>807</v>
      </c>
      <c r="U343" t="str">
        <f t="shared" si="46"/>
        <v>BTIN132</v>
      </c>
      <c r="W343" t="str">
        <f t="shared" si="47"/>
        <v>BTIN132T2</v>
      </c>
      <c r="X343">
        <v>54.306699999999999</v>
      </c>
      <c r="Z343" t="s">
        <v>915</v>
      </c>
      <c r="AA343" t="s">
        <v>807</v>
      </c>
      <c r="AB343" t="s">
        <v>2041</v>
      </c>
      <c r="AD343" t="s">
        <v>2043</v>
      </c>
      <c r="AE343">
        <v>54.306699999999999</v>
      </c>
      <c r="AF343">
        <v>51008</v>
      </c>
      <c r="AH343" t="s">
        <v>2577</v>
      </c>
    </row>
    <row r="344" spans="8:34" x14ac:dyDescent="0.25">
      <c r="H344">
        <f t="shared" si="45"/>
        <v>96189</v>
      </c>
      <c r="I344" t="s">
        <v>807</v>
      </c>
      <c r="J344">
        <v>48.4</v>
      </c>
      <c r="K344" t="str">
        <f t="shared" si="50"/>
        <v>TGBU132</v>
      </c>
      <c r="M344" t="str">
        <f t="shared" si="40"/>
        <v>TGBU132T2</v>
      </c>
      <c r="N344" t="str">
        <f>VLOOKUP(H344,'TNB Load'!$A$2:$F$1448,6,FALSE)</f>
        <v>MELAKA</v>
      </c>
      <c r="O344">
        <f t="shared" si="41"/>
        <v>3.6387</v>
      </c>
      <c r="R344">
        <v>51112</v>
      </c>
      <c r="S344" t="s">
        <v>924</v>
      </c>
      <c r="T344" t="s">
        <v>804</v>
      </c>
      <c r="U344" t="str">
        <f t="shared" si="46"/>
        <v>CBJN132</v>
      </c>
      <c r="W344" t="str">
        <f t="shared" si="47"/>
        <v>CBJN132T1</v>
      </c>
      <c r="X344">
        <v>5.4633000000000003</v>
      </c>
      <c r="Z344" t="s">
        <v>924</v>
      </c>
      <c r="AA344" t="s">
        <v>804</v>
      </c>
      <c r="AB344" t="s">
        <v>2044</v>
      </c>
      <c r="AD344" t="s">
        <v>2045</v>
      </c>
      <c r="AE344">
        <v>5.4633000000000003</v>
      </c>
      <c r="AF344">
        <v>51112</v>
      </c>
      <c r="AH344" t="s">
        <v>2576</v>
      </c>
    </row>
    <row r="345" spans="8:34" x14ac:dyDescent="0.25">
      <c r="H345">
        <f t="shared" si="45"/>
        <v>96189</v>
      </c>
      <c r="I345" t="s">
        <v>804</v>
      </c>
      <c r="J345">
        <v>48.4</v>
      </c>
      <c r="K345" t="str">
        <f t="shared" si="50"/>
        <v>TGBU132</v>
      </c>
      <c r="M345" t="str">
        <f t="shared" si="40"/>
        <v>TGBU132T1</v>
      </c>
      <c r="N345" t="str">
        <f>VLOOKUP(H345,'TNB Load'!$A$2:$F$1448,6,FALSE)</f>
        <v>MELAKA</v>
      </c>
      <c r="O345">
        <f t="shared" si="41"/>
        <v>3.7267999999999999</v>
      </c>
      <c r="R345">
        <v>51112</v>
      </c>
      <c r="S345" t="s">
        <v>924</v>
      </c>
      <c r="T345" t="s">
        <v>807</v>
      </c>
      <c r="U345" t="str">
        <f t="shared" si="46"/>
        <v>CBJN132</v>
      </c>
      <c r="W345" t="str">
        <f t="shared" si="47"/>
        <v>CBJN132T2</v>
      </c>
      <c r="X345">
        <v>6.2637</v>
      </c>
      <c r="Z345" t="s">
        <v>924</v>
      </c>
      <c r="AA345" t="s">
        <v>807</v>
      </c>
      <c r="AB345" t="s">
        <v>2044</v>
      </c>
      <c r="AD345" t="s">
        <v>2046</v>
      </c>
      <c r="AE345">
        <v>6.2637</v>
      </c>
      <c r="AF345">
        <v>51112</v>
      </c>
      <c r="AH345" t="s">
        <v>2575</v>
      </c>
    </row>
    <row r="346" spans="8:34" x14ac:dyDescent="0.25">
      <c r="H346">
        <f t="shared" si="45"/>
        <v>96197</v>
      </c>
      <c r="I346" t="s">
        <v>826</v>
      </c>
      <c r="J346">
        <v>48.4</v>
      </c>
      <c r="K346" t="s">
        <v>1560</v>
      </c>
      <c r="M346" t="str">
        <f t="shared" si="40"/>
        <v>PPSR132F2</v>
      </c>
      <c r="N346" t="str">
        <f>VLOOKUP(H346,'TNB Load'!$A$2:$F$1448,6,FALSE)</f>
        <v>MELAKA</v>
      </c>
      <c r="O346">
        <f t="shared" si="41"/>
        <v>0.12429999999999999</v>
      </c>
      <c r="R346">
        <v>51112</v>
      </c>
      <c r="S346" t="s">
        <v>924</v>
      </c>
      <c r="T346" t="s">
        <v>808</v>
      </c>
      <c r="U346" t="str">
        <f t="shared" si="46"/>
        <v>CBJN132</v>
      </c>
      <c r="W346" t="str">
        <f t="shared" si="47"/>
        <v>CBJN132T3</v>
      </c>
      <c r="X346">
        <v>29.5593</v>
      </c>
      <c r="Z346" t="s">
        <v>924</v>
      </c>
      <c r="AA346" t="s">
        <v>808</v>
      </c>
      <c r="AB346" t="s">
        <v>2044</v>
      </c>
      <c r="AD346" t="s">
        <v>2047</v>
      </c>
      <c r="AE346">
        <v>29.5593</v>
      </c>
      <c r="AF346">
        <v>51112</v>
      </c>
      <c r="AH346" t="s">
        <v>3130</v>
      </c>
    </row>
    <row r="347" spans="8:34" x14ac:dyDescent="0.25">
      <c r="H347">
        <f t="shared" si="45"/>
        <v>96197</v>
      </c>
      <c r="I347" t="s">
        <v>823</v>
      </c>
      <c r="J347">
        <v>48.4</v>
      </c>
      <c r="K347" t="str">
        <f>K346</f>
        <v>PPSR132</v>
      </c>
      <c r="M347" t="str">
        <f t="shared" si="40"/>
        <v>PPSR132F1</v>
      </c>
      <c r="N347" t="str">
        <f>VLOOKUP(H347,'TNB Load'!$A$2:$F$1448,6,FALSE)</f>
        <v>MELAKA</v>
      </c>
      <c r="O347">
        <f t="shared" si="41"/>
        <v>2.7441</v>
      </c>
      <c r="R347">
        <v>51112</v>
      </c>
      <c r="S347" t="s">
        <v>924</v>
      </c>
      <c r="T347" t="s">
        <v>809</v>
      </c>
      <c r="U347" t="str">
        <f t="shared" si="46"/>
        <v>CBJN132</v>
      </c>
      <c r="W347" t="str">
        <f t="shared" si="47"/>
        <v>CBJN132T4</v>
      </c>
      <c r="X347">
        <v>29.7043</v>
      </c>
      <c r="Z347" t="s">
        <v>924</v>
      </c>
      <c r="AA347" t="s">
        <v>809</v>
      </c>
      <c r="AB347" t="s">
        <v>2044</v>
      </c>
      <c r="AD347" t="s">
        <v>2048</v>
      </c>
      <c r="AE347">
        <v>29.7043</v>
      </c>
      <c r="AF347">
        <v>51112</v>
      </c>
      <c r="AH347" t="s">
        <v>3131</v>
      </c>
    </row>
    <row r="348" spans="8:34" x14ac:dyDescent="0.25">
      <c r="H348">
        <f t="shared" si="45"/>
        <v>96196</v>
      </c>
      <c r="I348" t="s">
        <v>823</v>
      </c>
      <c r="J348">
        <v>48.4</v>
      </c>
      <c r="K348" t="s">
        <v>1561</v>
      </c>
      <c r="M348" t="str">
        <f t="shared" si="40"/>
        <v>HLNM132F1</v>
      </c>
      <c r="N348" t="str">
        <f>VLOOKUP(H348,'TNB Load'!$A$2:$F$1448,6,FALSE)</f>
        <v>MELAKA</v>
      </c>
      <c r="O348">
        <f t="shared" si="41"/>
        <v>9.5389999999999997</v>
      </c>
      <c r="R348">
        <v>51006</v>
      </c>
      <c r="S348" t="s">
        <v>925</v>
      </c>
      <c r="T348" t="s">
        <v>804</v>
      </c>
      <c r="U348" t="str">
        <f t="shared" si="46"/>
        <v>CBPS132</v>
      </c>
      <c r="W348" t="str">
        <f t="shared" si="47"/>
        <v>CBPS132T1</v>
      </c>
      <c r="X348">
        <v>15.869</v>
      </c>
      <c r="Z348" t="s">
        <v>925</v>
      </c>
      <c r="AA348" t="s">
        <v>804</v>
      </c>
      <c r="AB348" t="s">
        <v>1548</v>
      </c>
      <c r="AD348" t="s">
        <v>2049</v>
      </c>
      <c r="AE348">
        <v>15.869</v>
      </c>
      <c r="AF348">
        <v>51006</v>
      </c>
      <c r="AH348" t="s">
        <v>3132</v>
      </c>
    </row>
    <row r="349" spans="8:34" x14ac:dyDescent="0.25">
      <c r="H349">
        <f t="shared" si="45"/>
        <v>96101</v>
      </c>
      <c r="I349" t="s">
        <v>809</v>
      </c>
      <c r="J349">
        <v>48.4</v>
      </c>
      <c r="K349" t="s">
        <v>1562</v>
      </c>
      <c r="M349" t="str">
        <f t="shared" si="40"/>
        <v>BRBI132T4</v>
      </c>
      <c r="N349" t="str">
        <f>VLOOKUP(H349,'TNB Load'!$A$2:$F$1448,6,FALSE)</f>
        <v>MELAKA</v>
      </c>
      <c r="O349">
        <f t="shared" si="41"/>
        <v>10.1313</v>
      </c>
      <c r="R349">
        <v>51006</v>
      </c>
      <c r="S349" t="s">
        <v>925</v>
      </c>
      <c r="T349" t="s">
        <v>807</v>
      </c>
      <c r="U349" t="str">
        <f t="shared" si="46"/>
        <v>CBPS132</v>
      </c>
      <c r="W349" t="str">
        <f t="shared" si="47"/>
        <v>CBPS132T2</v>
      </c>
      <c r="X349">
        <v>12.098800000000001</v>
      </c>
      <c r="Z349" t="s">
        <v>925</v>
      </c>
      <c r="AA349" t="s">
        <v>807</v>
      </c>
      <c r="AB349" t="s">
        <v>1548</v>
      </c>
      <c r="AD349" t="s">
        <v>2050</v>
      </c>
      <c r="AE349">
        <v>12.098800000000001</v>
      </c>
      <c r="AF349">
        <v>51006</v>
      </c>
      <c r="AH349" t="s">
        <v>2519</v>
      </c>
    </row>
    <row r="350" spans="8:34" x14ac:dyDescent="0.25">
      <c r="H350">
        <f t="shared" si="45"/>
        <v>96101</v>
      </c>
      <c r="I350" t="s">
        <v>808</v>
      </c>
      <c r="J350">
        <v>48.4</v>
      </c>
      <c r="K350" t="str">
        <f t="shared" ref="K350:K352" si="51">K349</f>
        <v>BRBI132</v>
      </c>
      <c r="M350" t="str">
        <f t="shared" ref="M350:M413" si="52">K350&amp;I350</f>
        <v>BRBI132T3</v>
      </c>
      <c r="N350" t="str">
        <f>VLOOKUP(H350,'TNB Load'!$A$2:$F$1448,6,FALSE)</f>
        <v>MELAKA</v>
      </c>
      <c r="O350">
        <f t="shared" ref="O350:O381" si="53">VLOOKUP(M350,$W$3:$X$1300,2,FALSE)</f>
        <v>10.1531</v>
      </c>
      <c r="R350">
        <v>51006</v>
      </c>
      <c r="S350" t="s">
        <v>925</v>
      </c>
      <c r="T350" t="s">
        <v>808</v>
      </c>
      <c r="U350" t="str">
        <f t="shared" si="46"/>
        <v>CBPS132</v>
      </c>
      <c r="W350" t="str">
        <f t="shared" si="47"/>
        <v>CBPS132T3</v>
      </c>
      <c r="X350">
        <v>44.967599999999997</v>
      </c>
      <c r="Z350" t="s">
        <v>925</v>
      </c>
      <c r="AA350" t="s">
        <v>808</v>
      </c>
      <c r="AB350" t="s">
        <v>1548</v>
      </c>
      <c r="AD350" t="s">
        <v>2051</v>
      </c>
      <c r="AE350">
        <v>44.967599999999997</v>
      </c>
      <c r="AF350">
        <v>51006</v>
      </c>
      <c r="AH350" t="s">
        <v>2518</v>
      </c>
    </row>
    <row r="351" spans="8:34" x14ac:dyDescent="0.25">
      <c r="H351">
        <f t="shared" si="45"/>
        <v>96101</v>
      </c>
      <c r="I351" t="s">
        <v>807</v>
      </c>
      <c r="J351">
        <v>48.4</v>
      </c>
      <c r="K351" t="str">
        <f t="shared" si="51"/>
        <v>BRBI132</v>
      </c>
      <c r="M351" t="str">
        <f t="shared" si="52"/>
        <v>BRBI132T2</v>
      </c>
      <c r="N351" t="str">
        <f>VLOOKUP(H351,'TNB Load'!$A$2:$F$1448,6,FALSE)</f>
        <v>MELAKA</v>
      </c>
      <c r="O351">
        <f t="shared" si="53"/>
        <v>9.1227</v>
      </c>
      <c r="R351">
        <v>51006</v>
      </c>
      <c r="S351" t="s">
        <v>925</v>
      </c>
      <c r="T351" t="s">
        <v>809</v>
      </c>
      <c r="U351" t="str">
        <f t="shared" si="46"/>
        <v>CBPS132</v>
      </c>
      <c r="W351" t="str">
        <f t="shared" si="47"/>
        <v>CBPS132T4</v>
      </c>
      <c r="X351">
        <v>44.174399999999999</v>
      </c>
      <c r="Z351" t="s">
        <v>925</v>
      </c>
      <c r="AA351" t="s">
        <v>809</v>
      </c>
      <c r="AB351" t="s">
        <v>1548</v>
      </c>
      <c r="AD351" t="s">
        <v>2052</v>
      </c>
      <c r="AE351">
        <v>44.174399999999999</v>
      </c>
      <c r="AF351">
        <v>51006</v>
      </c>
      <c r="AH351" t="s">
        <v>2517</v>
      </c>
    </row>
    <row r="352" spans="8:34" x14ac:dyDescent="0.25">
      <c r="H352">
        <f t="shared" si="45"/>
        <v>96101</v>
      </c>
      <c r="I352" t="s">
        <v>804</v>
      </c>
      <c r="J352">
        <v>48.4</v>
      </c>
      <c r="K352" t="str">
        <f t="shared" si="51"/>
        <v>BRBI132</v>
      </c>
      <c r="M352" t="str">
        <f t="shared" si="52"/>
        <v>BRBI132T1</v>
      </c>
      <c r="N352" t="str">
        <f>VLOOKUP(H352,'TNB Load'!$A$2:$F$1448,6,FALSE)</f>
        <v>MELAKA</v>
      </c>
      <c r="O352">
        <f t="shared" si="53"/>
        <v>6.6623999999999999</v>
      </c>
      <c r="R352">
        <v>51038</v>
      </c>
      <c r="S352" t="s">
        <v>932</v>
      </c>
      <c r="T352" t="s">
        <v>804</v>
      </c>
      <c r="U352" t="str">
        <f t="shared" si="46"/>
        <v>CJYA132</v>
      </c>
      <c r="W352" t="str">
        <f t="shared" si="47"/>
        <v>CJYA132T1</v>
      </c>
      <c r="X352">
        <v>31.834299999999999</v>
      </c>
      <c r="Z352" t="s">
        <v>932</v>
      </c>
      <c r="AA352" t="s">
        <v>804</v>
      </c>
      <c r="AB352" t="s">
        <v>1430</v>
      </c>
      <c r="AD352" t="s">
        <v>2053</v>
      </c>
      <c r="AE352">
        <v>31.834299999999999</v>
      </c>
      <c r="AF352">
        <v>51038</v>
      </c>
      <c r="AH352" t="s">
        <v>2516</v>
      </c>
    </row>
    <row r="353" spans="8:34" x14ac:dyDescent="0.25">
      <c r="H353">
        <f t="shared" si="45"/>
        <v>75116</v>
      </c>
      <c r="I353" t="s">
        <v>809</v>
      </c>
      <c r="J353">
        <v>48.4</v>
      </c>
      <c r="K353" t="s">
        <v>1563</v>
      </c>
      <c r="M353" t="str">
        <f t="shared" si="52"/>
        <v>GBDK132T4</v>
      </c>
      <c r="N353" t="str">
        <f>VLOOKUP(H353,'TNB Load'!$A$2:$F$1448,6,FALSE)</f>
        <v>TGANU</v>
      </c>
      <c r="O353">
        <f t="shared" si="53"/>
        <v>19.429099999999998</v>
      </c>
      <c r="R353">
        <v>51038</v>
      </c>
      <c r="S353" t="s">
        <v>932</v>
      </c>
      <c r="T353" t="s">
        <v>807</v>
      </c>
      <c r="U353" t="str">
        <f t="shared" si="46"/>
        <v>CJYA132</v>
      </c>
      <c r="W353" t="str">
        <f t="shared" si="47"/>
        <v>CJYA132T2</v>
      </c>
      <c r="X353">
        <v>33.505600000000001</v>
      </c>
      <c r="Z353" t="s">
        <v>932</v>
      </c>
      <c r="AA353" t="s">
        <v>807</v>
      </c>
      <c r="AB353" t="s">
        <v>1430</v>
      </c>
      <c r="AD353" t="s">
        <v>2054</v>
      </c>
      <c r="AE353">
        <v>33.505600000000001</v>
      </c>
      <c r="AF353">
        <v>51038</v>
      </c>
      <c r="AH353" t="s">
        <v>3012</v>
      </c>
    </row>
    <row r="354" spans="8:34" x14ac:dyDescent="0.25">
      <c r="H354">
        <f t="shared" si="45"/>
        <v>75116</v>
      </c>
      <c r="I354" t="s">
        <v>808</v>
      </c>
      <c r="J354">
        <v>48.4</v>
      </c>
      <c r="K354" t="str">
        <f t="shared" ref="K354:K356" si="54">K353</f>
        <v>GBDK132</v>
      </c>
      <c r="M354" t="str">
        <f t="shared" si="52"/>
        <v>GBDK132T3</v>
      </c>
      <c r="N354" t="str">
        <f>VLOOKUP(H354,'TNB Load'!$A$2:$F$1448,6,FALSE)</f>
        <v>TGANU</v>
      </c>
      <c r="O354">
        <f t="shared" si="53"/>
        <v>19.3752</v>
      </c>
      <c r="R354">
        <v>51038</v>
      </c>
      <c r="S354" t="s">
        <v>932</v>
      </c>
      <c r="T354" t="s">
        <v>808</v>
      </c>
      <c r="U354" t="str">
        <f t="shared" si="46"/>
        <v>CJYA132</v>
      </c>
      <c r="W354" t="str">
        <f t="shared" si="47"/>
        <v>CJYA132T3</v>
      </c>
      <c r="X354">
        <v>66.927400000000006</v>
      </c>
      <c r="Z354" t="s">
        <v>932</v>
      </c>
      <c r="AA354" t="s">
        <v>808</v>
      </c>
      <c r="AB354" t="s">
        <v>1430</v>
      </c>
      <c r="AD354" t="s">
        <v>2055</v>
      </c>
      <c r="AE354">
        <v>66.927400000000006</v>
      </c>
      <c r="AF354">
        <v>51038</v>
      </c>
      <c r="AH354" t="s">
        <v>3011</v>
      </c>
    </row>
    <row r="355" spans="8:34" x14ac:dyDescent="0.25">
      <c r="H355">
        <f t="shared" si="45"/>
        <v>75116</v>
      </c>
      <c r="I355" t="s">
        <v>807</v>
      </c>
      <c r="J355">
        <v>48.4</v>
      </c>
      <c r="K355" t="str">
        <f t="shared" si="54"/>
        <v>GBDK132</v>
      </c>
      <c r="M355" t="str">
        <f t="shared" si="52"/>
        <v>GBDK132T2</v>
      </c>
      <c r="N355" t="str">
        <f>VLOOKUP(H355,'TNB Load'!$A$2:$F$1448,6,FALSE)</f>
        <v>TGANU</v>
      </c>
      <c r="O355">
        <f t="shared" si="53"/>
        <v>10.683199999999999</v>
      </c>
      <c r="R355">
        <v>52008</v>
      </c>
      <c r="S355" t="s">
        <v>949</v>
      </c>
      <c r="T355" t="s">
        <v>804</v>
      </c>
      <c r="U355" t="str">
        <f t="shared" si="46"/>
        <v>EGDC275</v>
      </c>
      <c r="W355" t="str">
        <f t="shared" si="47"/>
        <v>EGDC275T1</v>
      </c>
      <c r="X355">
        <v>2.129</v>
      </c>
      <c r="Z355" t="s">
        <v>949</v>
      </c>
      <c r="AA355" t="s">
        <v>804</v>
      </c>
      <c r="AB355" t="s">
        <v>2056</v>
      </c>
      <c r="AD355" t="s">
        <v>2057</v>
      </c>
      <c r="AE355">
        <v>2.129</v>
      </c>
      <c r="AF355">
        <v>52008</v>
      </c>
      <c r="AH355" t="s">
        <v>3010</v>
      </c>
    </row>
    <row r="356" spans="8:34" x14ac:dyDescent="0.25">
      <c r="H356">
        <f t="shared" si="45"/>
        <v>75116</v>
      </c>
      <c r="I356" t="s">
        <v>804</v>
      </c>
      <c r="J356">
        <v>48.4</v>
      </c>
      <c r="K356" t="str">
        <f t="shared" si="54"/>
        <v>GBDK132</v>
      </c>
      <c r="M356" t="str">
        <f t="shared" si="52"/>
        <v>GBDK132T1</v>
      </c>
      <c r="N356" t="str">
        <f>VLOOKUP(H356,'TNB Load'!$A$2:$F$1448,6,FALSE)</f>
        <v>TGANU</v>
      </c>
      <c r="O356">
        <f t="shared" si="53"/>
        <v>10.6625</v>
      </c>
      <c r="R356">
        <v>51067</v>
      </c>
      <c r="S356" t="s">
        <v>950</v>
      </c>
      <c r="T356" t="s">
        <v>804</v>
      </c>
      <c r="U356" t="str">
        <f t="shared" si="46"/>
        <v>ELMW132</v>
      </c>
      <c r="W356" t="str">
        <f t="shared" si="47"/>
        <v>ELMW132T1</v>
      </c>
      <c r="X356">
        <v>0</v>
      </c>
      <c r="Z356" t="s">
        <v>950</v>
      </c>
      <c r="AA356" t="s">
        <v>804</v>
      </c>
      <c r="AB356" t="s">
        <v>2058</v>
      </c>
      <c r="AD356" t="s">
        <v>2059</v>
      </c>
      <c r="AE356">
        <v>0</v>
      </c>
      <c r="AF356">
        <v>51067</v>
      </c>
      <c r="AH356" t="s">
        <v>3009</v>
      </c>
    </row>
    <row r="357" spans="8:34" x14ac:dyDescent="0.25">
      <c r="H357">
        <f t="shared" si="45"/>
        <v>75140</v>
      </c>
      <c r="I357" t="s">
        <v>809</v>
      </c>
      <c r="J357">
        <v>48.4</v>
      </c>
      <c r="K357" t="s">
        <v>1564</v>
      </c>
      <c r="M357" t="str">
        <f t="shared" si="52"/>
        <v>KBRG132T4</v>
      </c>
      <c r="N357" t="str">
        <f>VLOOKUP(H357,'TNB Load'!$A$2:$F$1448,6,FALSE)</f>
        <v>TGANU</v>
      </c>
      <c r="O357">
        <f t="shared" si="53"/>
        <v>5.133</v>
      </c>
      <c r="R357">
        <v>51067</v>
      </c>
      <c r="S357" t="s">
        <v>950</v>
      </c>
      <c r="T357" t="s">
        <v>807</v>
      </c>
      <c r="U357" t="str">
        <f t="shared" si="46"/>
        <v>ELMW132</v>
      </c>
      <c r="W357" t="str">
        <f t="shared" si="47"/>
        <v>ELMW132T2</v>
      </c>
      <c r="X357">
        <v>0</v>
      </c>
      <c r="Z357" t="s">
        <v>950</v>
      </c>
      <c r="AA357" t="s">
        <v>807</v>
      </c>
      <c r="AB357" t="s">
        <v>2058</v>
      </c>
      <c r="AD357" t="s">
        <v>2060</v>
      </c>
      <c r="AE357">
        <v>0</v>
      </c>
      <c r="AF357">
        <v>51067</v>
      </c>
      <c r="AH357" t="s">
        <v>3023</v>
      </c>
    </row>
    <row r="358" spans="8:34" x14ac:dyDescent="0.25">
      <c r="H358">
        <f t="shared" si="45"/>
        <v>75140</v>
      </c>
      <c r="I358" t="s">
        <v>808</v>
      </c>
      <c r="J358">
        <v>48.4</v>
      </c>
      <c r="K358" t="str">
        <f t="shared" ref="K358:K360" si="55">K357</f>
        <v>KBRG132</v>
      </c>
      <c r="M358" t="str">
        <f t="shared" si="52"/>
        <v>KBRG132T3</v>
      </c>
      <c r="N358" t="str">
        <f>VLOOKUP(H358,'TNB Load'!$A$2:$F$1448,6,FALSE)</f>
        <v>TGANU</v>
      </c>
      <c r="O358">
        <f t="shared" si="53"/>
        <v>5.0563000000000002</v>
      </c>
      <c r="R358">
        <v>96169</v>
      </c>
      <c r="S358" t="s">
        <v>958</v>
      </c>
      <c r="T358" t="s">
        <v>804</v>
      </c>
      <c r="U358" t="str">
        <f t="shared" si="46"/>
        <v>ESTK132</v>
      </c>
      <c r="W358" t="str">
        <f t="shared" si="47"/>
        <v>ESTK132T1</v>
      </c>
      <c r="X358">
        <v>22.637</v>
      </c>
      <c r="Z358" t="s">
        <v>958</v>
      </c>
      <c r="AA358" t="s">
        <v>804</v>
      </c>
      <c r="AB358" t="s">
        <v>1421</v>
      </c>
      <c r="AD358" t="s">
        <v>2061</v>
      </c>
      <c r="AE358">
        <v>22.637</v>
      </c>
      <c r="AF358">
        <v>96169</v>
      </c>
      <c r="AH358" t="s">
        <v>3022</v>
      </c>
    </row>
    <row r="359" spans="8:34" x14ac:dyDescent="0.25">
      <c r="H359">
        <f t="shared" si="45"/>
        <v>75140</v>
      </c>
      <c r="I359" t="s">
        <v>807</v>
      </c>
      <c r="J359">
        <v>48.4</v>
      </c>
      <c r="K359" t="str">
        <f t="shared" si="55"/>
        <v>KBRG132</v>
      </c>
      <c r="M359" t="str">
        <f t="shared" si="52"/>
        <v>KBRG132T2</v>
      </c>
      <c r="N359" t="str">
        <f>VLOOKUP(H359,'TNB Load'!$A$2:$F$1448,6,FALSE)</f>
        <v>TGANU</v>
      </c>
      <c r="O359">
        <f t="shared" si="53"/>
        <v>10.486499999999999</v>
      </c>
      <c r="R359">
        <v>96169</v>
      </c>
      <c r="S359" t="s">
        <v>958</v>
      </c>
      <c r="T359" t="s">
        <v>807</v>
      </c>
      <c r="U359" t="str">
        <f t="shared" si="46"/>
        <v>ESTK132</v>
      </c>
      <c r="W359" t="str">
        <f t="shared" si="47"/>
        <v>ESTK132T2</v>
      </c>
      <c r="X359">
        <v>22.844100000000001</v>
      </c>
      <c r="Z359" t="s">
        <v>958</v>
      </c>
      <c r="AA359" t="s">
        <v>807</v>
      </c>
      <c r="AB359" t="s">
        <v>1421</v>
      </c>
      <c r="AD359" t="s">
        <v>2062</v>
      </c>
      <c r="AE359">
        <v>22.844100000000001</v>
      </c>
      <c r="AF359">
        <v>96169</v>
      </c>
      <c r="AH359" t="s">
        <v>3021</v>
      </c>
    </row>
    <row r="360" spans="8:34" x14ac:dyDescent="0.25">
      <c r="H360">
        <f t="shared" si="45"/>
        <v>75140</v>
      </c>
      <c r="I360" t="s">
        <v>804</v>
      </c>
      <c r="J360">
        <v>48.4</v>
      </c>
      <c r="K360" t="str">
        <f t="shared" si="55"/>
        <v>KBRG132</v>
      </c>
      <c r="M360" t="str">
        <f t="shared" si="52"/>
        <v>KBRG132T1</v>
      </c>
      <c r="N360" t="str">
        <f>VLOOKUP(H360,'TNB Load'!$A$2:$F$1448,6,FALSE)</f>
        <v>TGANU</v>
      </c>
      <c r="O360">
        <f t="shared" si="53"/>
        <v>10.886200000000001</v>
      </c>
      <c r="R360">
        <v>51072</v>
      </c>
      <c r="S360" t="s">
        <v>987</v>
      </c>
      <c r="T360" t="s">
        <v>804</v>
      </c>
      <c r="U360" t="str">
        <f t="shared" si="46"/>
        <v>HCOM132</v>
      </c>
      <c r="W360" t="str">
        <f t="shared" si="47"/>
        <v>HCOM132T1</v>
      </c>
      <c r="X360">
        <v>38.788800000000002</v>
      </c>
      <c r="Z360" t="s">
        <v>987</v>
      </c>
      <c r="AA360" t="s">
        <v>804</v>
      </c>
      <c r="AB360" t="s">
        <v>1443</v>
      </c>
      <c r="AD360" t="s">
        <v>2063</v>
      </c>
      <c r="AE360">
        <v>38.788800000000002</v>
      </c>
      <c r="AF360">
        <v>51072</v>
      </c>
      <c r="AH360" t="s">
        <v>3020</v>
      </c>
    </row>
    <row r="361" spans="8:34" x14ac:dyDescent="0.25">
      <c r="H361">
        <f t="shared" si="45"/>
        <v>75115</v>
      </c>
      <c r="I361" t="s">
        <v>809</v>
      </c>
      <c r="J361">
        <v>48.4</v>
      </c>
      <c r="K361" t="s">
        <v>1565</v>
      </c>
      <c r="M361" t="str">
        <f t="shared" si="52"/>
        <v>KTGU132T4</v>
      </c>
      <c r="N361" t="str">
        <f>VLOOKUP(H361,'TNB Load'!$A$2:$F$1448,6,FALSE)</f>
        <v>TGANU</v>
      </c>
      <c r="O361">
        <f t="shared" si="53"/>
        <v>11.5365</v>
      </c>
      <c r="R361">
        <v>51072</v>
      </c>
      <c r="S361" t="s">
        <v>987</v>
      </c>
      <c r="T361" t="s">
        <v>807</v>
      </c>
      <c r="U361" t="str">
        <f t="shared" si="46"/>
        <v>HCOM132</v>
      </c>
      <c r="W361" t="str">
        <f t="shared" si="47"/>
        <v>HCOM132T2</v>
      </c>
      <c r="X361">
        <v>34.007800000000003</v>
      </c>
      <c r="Z361" t="s">
        <v>987</v>
      </c>
      <c r="AA361" t="s">
        <v>807</v>
      </c>
      <c r="AB361" t="s">
        <v>1443</v>
      </c>
      <c r="AD361" t="s">
        <v>2064</v>
      </c>
      <c r="AE361">
        <v>34.007800000000003</v>
      </c>
      <c r="AF361">
        <v>51072</v>
      </c>
      <c r="AH361" t="s">
        <v>3035</v>
      </c>
    </row>
    <row r="362" spans="8:34" x14ac:dyDescent="0.25">
      <c r="H362">
        <f t="shared" si="45"/>
        <v>75115</v>
      </c>
      <c r="I362" t="s">
        <v>808</v>
      </c>
      <c r="J362">
        <v>48.4</v>
      </c>
      <c r="K362" t="str">
        <f t="shared" ref="K362:K364" si="56">K361</f>
        <v>KTGU132</v>
      </c>
      <c r="M362" t="str">
        <f t="shared" si="52"/>
        <v>KTGU132T3</v>
      </c>
      <c r="N362" t="str">
        <f>VLOOKUP(H362,'TNB Load'!$A$2:$F$1448,6,FALSE)</f>
        <v>TGANU</v>
      </c>
      <c r="O362">
        <f t="shared" si="53"/>
        <v>11.521000000000001</v>
      </c>
      <c r="R362">
        <v>51072</v>
      </c>
      <c r="S362" t="s">
        <v>987</v>
      </c>
      <c r="T362" t="s">
        <v>808</v>
      </c>
      <c r="U362" t="str">
        <f t="shared" si="46"/>
        <v>HCOM132</v>
      </c>
      <c r="W362" t="str">
        <f t="shared" si="47"/>
        <v>HCOM132T3</v>
      </c>
      <c r="X362">
        <v>6.7442000000000002</v>
      </c>
      <c r="Z362" t="s">
        <v>987</v>
      </c>
      <c r="AA362" t="s">
        <v>808</v>
      </c>
      <c r="AB362" t="s">
        <v>1443</v>
      </c>
      <c r="AD362" t="s">
        <v>2065</v>
      </c>
      <c r="AE362">
        <v>6.7442000000000002</v>
      </c>
      <c r="AF362">
        <v>51072</v>
      </c>
      <c r="AH362" t="s">
        <v>3034</v>
      </c>
    </row>
    <row r="363" spans="8:34" x14ac:dyDescent="0.25">
      <c r="H363">
        <f t="shared" si="45"/>
        <v>75115</v>
      </c>
      <c r="I363" t="s">
        <v>807</v>
      </c>
      <c r="J363">
        <v>48.4</v>
      </c>
      <c r="K363" t="str">
        <f t="shared" si="56"/>
        <v>KTGU132</v>
      </c>
      <c r="M363" t="str">
        <f t="shared" si="52"/>
        <v>KTGU132T2</v>
      </c>
      <c r="N363" t="str">
        <f>VLOOKUP(H363,'TNB Load'!$A$2:$F$1448,6,FALSE)</f>
        <v>TGANU</v>
      </c>
      <c r="O363">
        <f t="shared" si="53"/>
        <v>11.4909</v>
      </c>
      <c r="R363">
        <v>51072</v>
      </c>
      <c r="S363" t="s">
        <v>987</v>
      </c>
      <c r="T363" t="s">
        <v>809</v>
      </c>
      <c r="U363" t="str">
        <f t="shared" si="46"/>
        <v>HCOM132</v>
      </c>
      <c r="W363" t="str">
        <f t="shared" si="47"/>
        <v>HCOM132T4</v>
      </c>
      <c r="X363">
        <v>9.6643000000000008</v>
      </c>
      <c r="Z363" t="s">
        <v>987</v>
      </c>
      <c r="AA363" t="s">
        <v>809</v>
      </c>
      <c r="AB363" t="s">
        <v>1443</v>
      </c>
      <c r="AD363" t="s">
        <v>2066</v>
      </c>
      <c r="AE363">
        <v>9.6643000000000008</v>
      </c>
      <c r="AF363">
        <v>51072</v>
      </c>
      <c r="AH363" t="s">
        <v>3033</v>
      </c>
    </row>
    <row r="364" spans="8:34" x14ac:dyDescent="0.25">
      <c r="H364">
        <f t="shared" si="45"/>
        <v>75115</v>
      </c>
      <c r="I364" t="s">
        <v>804</v>
      </c>
      <c r="J364">
        <v>48.4</v>
      </c>
      <c r="K364" t="str">
        <f t="shared" si="56"/>
        <v>KTGU132</v>
      </c>
      <c r="M364" t="str">
        <f t="shared" si="52"/>
        <v>KTGU132T1</v>
      </c>
      <c r="N364" t="str">
        <f>VLOOKUP(H364,'TNB Load'!$A$2:$F$1448,6,FALSE)</f>
        <v>TGANU</v>
      </c>
      <c r="O364">
        <f t="shared" si="53"/>
        <v>13.361000000000001</v>
      </c>
      <c r="R364">
        <v>51047</v>
      </c>
      <c r="S364" t="s">
        <v>1002</v>
      </c>
      <c r="T364" t="s">
        <v>804</v>
      </c>
      <c r="U364" t="str">
        <f t="shared" si="46"/>
        <v>IGBK132</v>
      </c>
      <c r="W364" t="str">
        <f t="shared" si="47"/>
        <v>IGBK132T1</v>
      </c>
      <c r="X364">
        <v>10.773300000000001</v>
      </c>
      <c r="Z364" t="s">
        <v>1002</v>
      </c>
      <c r="AA364" t="s">
        <v>804</v>
      </c>
      <c r="AB364" t="s">
        <v>1454</v>
      </c>
      <c r="AD364" t="s">
        <v>2067</v>
      </c>
      <c r="AE364">
        <v>10.773300000000001</v>
      </c>
      <c r="AF364">
        <v>51047</v>
      </c>
      <c r="AH364" t="s">
        <v>3032</v>
      </c>
    </row>
    <row r="365" spans="8:34" x14ac:dyDescent="0.25">
      <c r="H365">
        <f t="shared" si="45"/>
        <v>75138</v>
      </c>
      <c r="I365" t="s">
        <v>808</v>
      </c>
      <c r="J365">
        <v>48.4</v>
      </c>
      <c r="K365" t="s">
        <v>1566</v>
      </c>
      <c r="M365" t="str">
        <f t="shared" si="52"/>
        <v>BRKT132T3</v>
      </c>
      <c r="N365" t="str">
        <f>VLOOKUP(H365,'TNB Load'!$A$2:$F$1448,6,FALSE)</f>
        <v>TGANU</v>
      </c>
      <c r="O365">
        <f t="shared" si="53"/>
        <v>14.7041</v>
      </c>
      <c r="R365">
        <v>51047</v>
      </c>
      <c r="S365" t="s">
        <v>1002</v>
      </c>
      <c r="T365" t="s">
        <v>807</v>
      </c>
      <c r="U365" t="str">
        <f t="shared" si="46"/>
        <v>IGBK132</v>
      </c>
      <c r="W365" t="str">
        <f t="shared" si="47"/>
        <v>IGBK132T2</v>
      </c>
      <c r="X365">
        <v>11.6069</v>
      </c>
      <c r="Z365" t="s">
        <v>1002</v>
      </c>
      <c r="AA365" t="s">
        <v>807</v>
      </c>
      <c r="AB365" t="s">
        <v>1454</v>
      </c>
      <c r="AD365" t="s">
        <v>2068</v>
      </c>
      <c r="AE365">
        <v>11.6069</v>
      </c>
      <c r="AF365">
        <v>51047</v>
      </c>
      <c r="AH365" t="s">
        <v>2996</v>
      </c>
    </row>
    <row r="366" spans="8:34" x14ac:dyDescent="0.25">
      <c r="H366">
        <f t="shared" si="45"/>
        <v>75138</v>
      </c>
      <c r="I366" t="s">
        <v>807</v>
      </c>
      <c r="J366">
        <v>48.4</v>
      </c>
      <c r="K366" t="str">
        <f t="shared" ref="K366:K367" si="57">K365</f>
        <v>BRKT132</v>
      </c>
      <c r="M366" t="str">
        <f t="shared" si="52"/>
        <v>BRKT132T2</v>
      </c>
      <c r="N366" t="str">
        <f>VLOOKUP(H366,'TNB Load'!$A$2:$F$1448,6,FALSE)</f>
        <v>TGANU</v>
      </c>
      <c r="O366">
        <f t="shared" si="53"/>
        <v>9.0182000000000002</v>
      </c>
      <c r="R366">
        <v>51047</v>
      </c>
      <c r="S366" t="s">
        <v>1002</v>
      </c>
      <c r="T366" t="s">
        <v>808</v>
      </c>
      <c r="U366" t="str">
        <f t="shared" si="46"/>
        <v>IGBK132</v>
      </c>
      <c r="W366" t="str">
        <f t="shared" si="47"/>
        <v>IGBK132T3</v>
      </c>
      <c r="X366">
        <v>20.9937</v>
      </c>
      <c r="Z366" t="s">
        <v>1002</v>
      </c>
      <c r="AA366" t="s">
        <v>808</v>
      </c>
      <c r="AB366" t="s">
        <v>1454</v>
      </c>
      <c r="AD366" t="s">
        <v>2069</v>
      </c>
      <c r="AE366">
        <v>20.9937</v>
      </c>
      <c r="AF366">
        <v>51047</v>
      </c>
      <c r="AH366" t="s">
        <v>2995</v>
      </c>
    </row>
    <row r="367" spans="8:34" x14ac:dyDescent="0.25">
      <c r="H367">
        <f t="shared" si="45"/>
        <v>75138</v>
      </c>
      <c r="I367" t="s">
        <v>804</v>
      </c>
      <c r="J367">
        <v>48.4</v>
      </c>
      <c r="K367" t="str">
        <f t="shared" si="57"/>
        <v>BRKT132</v>
      </c>
      <c r="M367" t="str">
        <f t="shared" si="52"/>
        <v>BRKT132T1</v>
      </c>
      <c r="N367" t="str">
        <f>VLOOKUP(H367,'TNB Load'!$A$2:$F$1448,6,FALSE)</f>
        <v>TGANU</v>
      </c>
      <c r="O367">
        <f t="shared" si="53"/>
        <v>9.1206999999999994</v>
      </c>
      <c r="R367">
        <v>51047</v>
      </c>
      <c r="S367" t="s">
        <v>1002</v>
      </c>
      <c r="T367" t="s">
        <v>809</v>
      </c>
      <c r="U367" t="str">
        <f t="shared" si="46"/>
        <v>IGBK132</v>
      </c>
      <c r="W367" t="str">
        <f t="shared" si="47"/>
        <v>IGBK132T4</v>
      </c>
      <c r="X367">
        <v>19.282</v>
      </c>
      <c r="Z367" t="s">
        <v>1002</v>
      </c>
      <c r="AA367" t="s">
        <v>809</v>
      </c>
      <c r="AB367" t="s">
        <v>1454</v>
      </c>
      <c r="AD367" t="s">
        <v>2070</v>
      </c>
      <c r="AE367">
        <v>19.282</v>
      </c>
      <c r="AF367">
        <v>51047</v>
      </c>
      <c r="AH367" t="s">
        <v>2994</v>
      </c>
    </row>
    <row r="368" spans="8:34" x14ac:dyDescent="0.25">
      <c r="H368">
        <f t="shared" si="45"/>
        <v>97143</v>
      </c>
      <c r="I368" t="s">
        <v>809</v>
      </c>
      <c r="J368">
        <v>48.4</v>
      </c>
      <c r="K368" t="s">
        <v>1567</v>
      </c>
      <c r="M368" t="str">
        <f t="shared" si="52"/>
        <v>SLNG132T4</v>
      </c>
      <c r="N368" t="str">
        <f>VLOOKUP(H368,'TNB Load'!$A$2:$F$1448,6,FALSE)</f>
        <v>JOHOR</v>
      </c>
      <c r="O368">
        <f t="shared" si="53"/>
        <v>29.006399999999999</v>
      </c>
      <c r="R368">
        <v>51031</v>
      </c>
      <c r="S368" t="s">
        <v>1032</v>
      </c>
      <c r="T368" t="s">
        <v>804</v>
      </c>
      <c r="U368" t="str">
        <f t="shared" si="46"/>
        <v>KCPK132</v>
      </c>
      <c r="W368" t="str">
        <f t="shared" si="47"/>
        <v>KCPK132T1</v>
      </c>
      <c r="X368">
        <v>31.129200000000001</v>
      </c>
      <c r="Z368" t="s">
        <v>1032</v>
      </c>
      <c r="AA368" t="s">
        <v>804</v>
      </c>
      <c r="AB368" t="s">
        <v>1477</v>
      </c>
      <c r="AD368" t="s">
        <v>2071</v>
      </c>
      <c r="AE368">
        <v>31.129200000000001</v>
      </c>
      <c r="AF368">
        <v>51031</v>
      </c>
      <c r="AH368" t="s">
        <v>2808</v>
      </c>
    </row>
    <row r="369" spans="8:34" x14ac:dyDescent="0.25">
      <c r="H369">
        <f t="shared" si="45"/>
        <v>97143</v>
      </c>
      <c r="I369" t="s">
        <v>808</v>
      </c>
      <c r="J369">
        <v>48.4</v>
      </c>
      <c r="K369" t="str">
        <f t="shared" ref="K369:K371" si="58">K368</f>
        <v>SLNG132</v>
      </c>
      <c r="M369" t="str">
        <f t="shared" si="52"/>
        <v>SLNG132T3</v>
      </c>
      <c r="N369" t="str">
        <f>VLOOKUP(H369,'TNB Load'!$A$2:$F$1448,6,FALSE)</f>
        <v>JOHOR</v>
      </c>
      <c r="O369">
        <f t="shared" si="53"/>
        <v>29.151399999999999</v>
      </c>
      <c r="R369">
        <v>51031</v>
      </c>
      <c r="S369" t="s">
        <v>1032</v>
      </c>
      <c r="T369" t="s">
        <v>807</v>
      </c>
      <c r="U369" t="str">
        <f t="shared" si="46"/>
        <v>KCPK132</v>
      </c>
      <c r="W369" t="str">
        <f t="shared" si="47"/>
        <v>KCPK132T2</v>
      </c>
      <c r="X369">
        <v>31.0246</v>
      </c>
      <c r="Z369" t="s">
        <v>1032</v>
      </c>
      <c r="AA369" t="s">
        <v>807</v>
      </c>
      <c r="AB369" t="s">
        <v>1477</v>
      </c>
      <c r="AD369" t="s">
        <v>2072</v>
      </c>
      <c r="AE369">
        <v>31.0246</v>
      </c>
      <c r="AF369">
        <v>51031</v>
      </c>
      <c r="AH369" t="s">
        <v>2807</v>
      </c>
    </row>
    <row r="370" spans="8:34" x14ac:dyDescent="0.25">
      <c r="H370">
        <f t="shared" si="45"/>
        <v>97143</v>
      </c>
      <c r="I370" t="s">
        <v>807</v>
      </c>
      <c r="J370">
        <v>48.4</v>
      </c>
      <c r="K370" t="str">
        <f t="shared" si="58"/>
        <v>SLNG132</v>
      </c>
      <c r="M370" t="str">
        <f t="shared" si="52"/>
        <v>SLNG132T2</v>
      </c>
      <c r="N370" t="str">
        <f>VLOOKUP(H370,'TNB Load'!$A$2:$F$1448,6,FALSE)</f>
        <v>JOHOR</v>
      </c>
      <c r="O370">
        <f t="shared" si="53"/>
        <v>13.5661</v>
      </c>
      <c r="R370">
        <v>51011</v>
      </c>
      <c r="S370" t="s">
        <v>1034</v>
      </c>
      <c r="T370" t="s">
        <v>804</v>
      </c>
      <c r="U370" t="str">
        <f t="shared" si="46"/>
        <v>KDSA132</v>
      </c>
      <c r="W370" t="str">
        <f t="shared" si="47"/>
        <v>KDSA132T1</v>
      </c>
      <c r="X370">
        <v>8.5200999999999993</v>
      </c>
      <c r="Z370" t="s">
        <v>1034</v>
      </c>
      <c r="AA370" t="s">
        <v>804</v>
      </c>
      <c r="AB370" t="s">
        <v>1589</v>
      </c>
      <c r="AD370" t="s">
        <v>2073</v>
      </c>
      <c r="AE370">
        <v>8.5200999999999993</v>
      </c>
      <c r="AF370">
        <v>51011</v>
      </c>
      <c r="AH370" t="s">
        <v>2806</v>
      </c>
    </row>
    <row r="371" spans="8:34" x14ac:dyDescent="0.25">
      <c r="H371">
        <f t="shared" si="45"/>
        <v>97143</v>
      </c>
      <c r="I371" t="s">
        <v>804</v>
      </c>
      <c r="J371">
        <v>48.4</v>
      </c>
      <c r="K371" t="str">
        <f t="shared" si="58"/>
        <v>SLNG132</v>
      </c>
      <c r="M371" t="str">
        <f t="shared" si="52"/>
        <v>SLNG132T1</v>
      </c>
      <c r="N371" t="str">
        <f>VLOOKUP(H371,'TNB Load'!$A$2:$F$1448,6,FALSE)</f>
        <v>JOHOR</v>
      </c>
      <c r="O371">
        <f t="shared" si="53"/>
        <v>12.476699999999999</v>
      </c>
      <c r="R371">
        <v>51011</v>
      </c>
      <c r="S371" t="s">
        <v>1034</v>
      </c>
      <c r="T371" t="s">
        <v>807</v>
      </c>
      <c r="U371" t="str">
        <f t="shared" si="46"/>
        <v>KDSA132</v>
      </c>
      <c r="W371" t="str">
        <f t="shared" si="47"/>
        <v>KDSA132T2</v>
      </c>
      <c r="X371">
        <v>10.7361</v>
      </c>
      <c r="Z371" t="s">
        <v>1034</v>
      </c>
      <c r="AA371" t="s">
        <v>807</v>
      </c>
      <c r="AB371" t="s">
        <v>1589</v>
      </c>
      <c r="AD371" t="s">
        <v>2074</v>
      </c>
      <c r="AE371">
        <v>10.7361</v>
      </c>
      <c r="AF371">
        <v>51011</v>
      </c>
      <c r="AH371" t="s">
        <v>2805</v>
      </c>
    </row>
    <row r="372" spans="8:34" x14ac:dyDescent="0.25">
      <c r="H372">
        <f t="shared" si="45"/>
        <v>97162</v>
      </c>
      <c r="I372" t="s">
        <v>809</v>
      </c>
      <c r="J372">
        <v>48.4</v>
      </c>
      <c r="K372" t="s">
        <v>1568</v>
      </c>
      <c r="M372" t="str">
        <f t="shared" si="52"/>
        <v>SNAI132T4</v>
      </c>
      <c r="N372" t="str">
        <f>VLOOKUP(H372,'TNB Load'!$A$2:$F$1448,6,FALSE)</f>
        <v>JOHOR</v>
      </c>
      <c r="O372">
        <f t="shared" si="53"/>
        <v>42.671900000000001</v>
      </c>
      <c r="R372">
        <v>51011</v>
      </c>
      <c r="S372" t="s">
        <v>1034</v>
      </c>
      <c r="T372" t="s">
        <v>808</v>
      </c>
      <c r="U372" t="str">
        <f t="shared" si="46"/>
        <v>KDSA132</v>
      </c>
      <c r="W372" t="str">
        <f t="shared" si="47"/>
        <v>KDSA132T3</v>
      </c>
      <c r="X372">
        <v>51.034599999999998</v>
      </c>
      <c r="Z372" t="s">
        <v>1034</v>
      </c>
      <c r="AA372" t="s">
        <v>808</v>
      </c>
      <c r="AB372" t="s">
        <v>1589</v>
      </c>
      <c r="AD372" t="s">
        <v>2075</v>
      </c>
      <c r="AE372">
        <v>51.034599999999998</v>
      </c>
      <c r="AF372">
        <v>51011</v>
      </c>
      <c r="AH372" t="s">
        <v>2817</v>
      </c>
    </row>
    <row r="373" spans="8:34" x14ac:dyDescent="0.25">
      <c r="H373">
        <f t="shared" si="45"/>
        <v>97162</v>
      </c>
      <c r="I373" t="s">
        <v>808</v>
      </c>
      <c r="J373">
        <v>48.4</v>
      </c>
      <c r="K373" t="str">
        <f t="shared" ref="K373:K375" si="59">K372</f>
        <v>SNAI132</v>
      </c>
      <c r="M373" t="str">
        <f t="shared" si="52"/>
        <v>SNAI132T3</v>
      </c>
      <c r="N373" t="str">
        <f>VLOOKUP(H373,'TNB Load'!$A$2:$F$1448,6,FALSE)</f>
        <v>JOHOR</v>
      </c>
      <c r="O373">
        <f t="shared" si="53"/>
        <v>43.069499999999998</v>
      </c>
      <c r="R373">
        <v>51011</v>
      </c>
      <c r="S373" t="s">
        <v>1034</v>
      </c>
      <c r="T373" t="s">
        <v>809</v>
      </c>
      <c r="U373" t="str">
        <f t="shared" si="46"/>
        <v>KDSA132</v>
      </c>
      <c r="W373" t="str">
        <f t="shared" si="47"/>
        <v>KDSA132T4</v>
      </c>
      <c r="X373">
        <v>39.991999999999997</v>
      </c>
      <c r="Z373" t="s">
        <v>1034</v>
      </c>
      <c r="AA373" t="s">
        <v>809</v>
      </c>
      <c r="AB373" t="s">
        <v>1589</v>
      </c>
      <c r="AD373" t="s">
        <v>2076</v>
      </c>
      <c r="AE373">
        <v>39.991999999999997</v>
      </c>
      <c r="AF373">
        <v>51011</v>
      </c>
      <c r="AH373" t="s">
        <v>2816</v>
      </c>
    </row>
    <row r="374" spans="8:34" x14ac:dyDescent="0.25">
      <c r="H374">
        <f t="shared" si="45"/>
        <v>97162</v>
      </c>
      <c r="I374" t="s">
        <v>807</v>
      </c>
      <c r="J374">
        <v>48.4</v>
      </c>
      <c r="K374" t="str">
        <f t="shared" si="59"/>
        <v>SNAI132</v>
      </c>
      <c r="M374" t="str">
        <f t="shared" si="52"/>
        <v>SNAI132T2</v>
      </c>
      <c r="N374" t="str">
        <f>VLOOKUP(H374,'TNB Load'!$A$2:$F$1448,6,FALSE)</f>
        <v>JOHOR</v>
      </c>
      <c r="O374">
        <f t="shared" si="53"/>
        <v>9.6228999999999996</v>
      </c>
      <c r="R374">
        <v>51011</v>
      </c>
      <c r="S374" t="s">
        <v>1034</v>
      </c>
      <c r="T374" t="s">
        <v>810</v>
      </c>
      <c r="U374" t="str">
        <f t="shared" si="46"/>
        <v>KDSA132</v>
      </c>
      <c r="W374" t="str">
        <f t="shared" si="47"/>
        <v>KDSA132T5</v>
      </c>
      <c r="X374">
        <v>40.815199999999997</v>
      </c>
      <c r="Z374" t="s">
        <v>1034</v>
      </c>
      <c r="AA374" t="s">
        <v>810</v>
      </c>
      <c r="AB374" t="s">
        <v>1589</v>
      </c>
      <c r="AD374" t="s">
        <v>2077</v>
      </c>
      <c r="AE374">
        <v>40.815199999999997</v>
      </c>
      <c r="AF374">
        <v>51011</v>
      </c>
      <c r="AH374" t="s">
        <v>2815</v>
      </c>
    </row>
    <row r="375" spans="8:34" x14ac:dyDescent="0.25">
      <c r="H375">
        <f t="shared" si="45"/>
        <v>97162</v>
      </c>
      <c r="I375" t="s">
        <v>804</v>
      </c>
      <c r="J375">
        <v>48.4</v>
      </c>
      <c r="K375" t="str">
        <f t="shared" si="59"/>
        <v>SNAI132</v>
      </c>
      <c r="M375" t="str">
        <f t="shared" si="52"/>
        <v>SNAI132T1</v>
      </c>
      <c r="N375" t="str">
        <f>VLOOKUP(H375,'TNB Load'!$A$2:$F$1448,6,FALSE)</f>
        <v>JOHOR</v>
      </c>
      <c r="O375">
        <f t="shared" si="53"/>
        <v>9.6219000000000001</v>
      </c>
      <c r="R375">
        <v>51055</v>
      </c>
      <c r="S375" t="s">
        <v>1046</v>
      </c>
      <c r="T375" t="s">
        <v>804</v>
      </c>
      <c r="U375" t="str">
        <f t="shared" si="46"/>
        <v>KJNG132</v>
      </c>
      <c r="W375" t="str">
        <f t="shared" si="47"/>
        <v>KJNG132T1</v>
      </c>
      <c r="X375">
        <v>12.655900000000001</v>
      </c>
      <c r="Z375" t="s">
        <v>1046</v>
      </c>
      <c r="AA375" t="s">
        <v>804</v>
      </c>
      <c r="AB375" t="s">
        <v>2078</v>
      </c>
      <c r="AD375" t="s">
        <v>2079</v>
      </c>
      <c r="AE375">
        <v>12.655900000000001</v>
      </c>
      <c r="AF375">
        <v>51055</v>
      </c>
      <c r="AH375" t="s">
        <v>2814</v>
      </c>
    </row>
    <row r="376" spans="8:34" x14ac:dyDescent="0.25">
      <c r="H376">
        <f t="shared" si="45"/>
        <v>97112</v>
      </c>
      <c r="I376" t="s">
        <v>804</v>
      </c>
      <c r="J376">
        <v>48.4</v>
      </c>
      <c r="K376" t="s">
        <v>1569</v>
      </c>
      <c r="M376" t="str">
        <f t="shared" si="52"/>
        <v>KLAI132T1</v>
      </c>
      <c r="N376" t="str">
        <f>VLOOKUP(H376,'TNB Load'!$A$2:$F$1448,6,FALSE)</f>
        <v>JOHOR</v>
      </c>
      <c r="O376">
        <f t="shared" si="53"/>
        <v>0</v>
      </c>
      <c r="R376">
        <v>51055</v>
      </c>
      <c r="S376" t="s">
        <v>1046</v>
      </c>
      <c r="T376" t="s">
        <v>807</v>
      </c>
      <c r="U376" t="str">
        <f t="shared" si="46"/>
        <v>KJNG132</v>
      </c>
      <c r="W376" t="str">
        <f t="shared" si="47"/>
        <v>KJNG132T2</v>
      </c>
      <c r="X376">
        <v>15.4838</v>
      </c>
      <c r="Z376" t="s">
        <v>1046</v>
      </c>
      <c r="AA376" t="s">
        <v>807</v>
      </c>
      <c r="AB376" t="s">
        <v>2078</v>
      </c>
      <c r="AD376" t="s">
        <v>2080</v>
      </c>
      <c r="AE376">
        <v>15.4838</v>
      </c>
      <c r="AF376">
        <v>51055</v>
      </c>
      <c r="AH376" t="s">
        <v>2654</v>
      </c>
    </row>
    <row r="377" spans="8:34" x14ac:dyDescent="0.25">
      <c r="H377">
        <f t="shared" si="45"/>
        <v>597112</v>
      </c>
      <c r="I377" t="s">
        <v>807</v>
      </c>
      <c r="J377">
        <v>48.4</v>
      </c>
      <c r="K377" t="s">
        <v>1570</v>
      </c>
      <c r="M377" t="str">
        <f t="shared" si="52"/>
        <v>KLAI132RT2</v>
      </c>
      <c r="N377" t="str">
        <f>VLOOKUP(H377,'TNB Load'!$A$2:$F$1448,6,FALSE)</f>
        <v>JOHOR</v>
      </c>
      <c r="O377">
        <f t="shared" si="53"/>
        <v>20.135300000000001</v>
      </c>
      <c r="R377">
        <v>51055</v>
      </c>
      <c r="S377" t="s">
        <v>1046</v>
      </c>
      <c r="T377" t="s">
        <v>808</v>
      </c>
      <c r="U377" t="str">
        <f t="shared" si="46"/>
        <v>KJNG132</v>
      </c>
      <c r="W377" t="str">
        <f t="shared" si="47"/>
        <v>KJNG132T3</v>
      </c>
      <c r="X377">
        <v>39.661700000000003</v>
      </c>
      <c r="Z377" t="s">
        <v>1046</v>
      </c>
      <c r="AA377" t="s">
        <v>808</v>
      </c>
      <c r="AB377" t="s">
        <v>2078</v>
      </c>
      <c r="AD377" t="s">
        <v>2081</v>
      </c>
      <c r="AE377">
        <v>39.661700000000003</v>
      </c>
      <c r="AF377">
        <v>51055</v>
      </c>
      <c r="AH377" t="s">
        <v>3133</v>
      </c>
    </row>
    <row r="378" spans="8:34" x14ac:dyDescent="0.25">
      <c r="H378">
        <f t="shared" si="45"/>
        <v>97159</v>
      </c>
      <c r="I378" t="s">
        <v>823</v>
      </c>
      <c r="J378">
        <v>48.4</v>
      </c>
      <c r="K378" t="s">
        <v>1571</v>
      </c>
      <c r="M378" t="str">
        <f t="shared" si="52"/>
        <v>UTMJ132F1</v>
      </c>
      <c r="N378" t="str">
        <f>VLOOKUP(H378,'TNB Load'!$A$2:$F$1448,6,FALSE)</f>
        <v>JOHOR</v>
      </c>
      <c r="O378">
        <f t="shared" si="53"/>
        <v>4.0799000000000003</v>
      </c>
      <c r="R378">
        <v>51055</v>
      </c>
      <c r="S378" t="s">
        <v>1046</v>
      </c>
      <c r="T378" t="s">
        <v>809</v>
      </c>
      <c r="U378" t="str">
        <f t="shared" si="46"/>
        <v>KJNG132</v>
      </c>
      <c r="W378" t="str">
        <f t="shared" si="47"/>
        <v>KJNG132T4</v>
      </c>
      <c r="X378">
        <v>39.786999999999999</v>
      </c>
      <c r="Z378" t="s">
        <v>1046</v>
      </c>
      <c r="AA378" t="s">
        <v>809</v>
      </c>
      <c r="AB378" t="s">
        <v>2078</v>
      </c>
      <c r="AD378" t="s">
        <v>2082</v>
      </c>
      <c r="AE378">
        <v>39.786999999999999</v>
      </c>
      <c r="AF378">
        <v>51055</v>
      </c>
      <c r="AH378" t="s">
        <v>3134</v>
      </c>
    </row>
    <row r="379" spans="8:34" x14ac:dyDescent="0.25">
      <c r="H379">
        <f t="shared" si="45"/>
        <v>597159</v>
      </c>
      <c r="I379" t="s">
        <v>826</v>
      </c>
      <c r="J379">
        <v>48.4</v>
      </c>
      <c r="K379" t="s">
        <v>1572</v>
      </c>
      <c r="M379" t="str">
        <f t="shared" si="52"/>
        <v>UTMJ132RF2</v>
      </c>
      <c r="N379" t="str">
        <f>VLOOKUP(H379,'TNB Load'!$A$2:$F$1448,6,FALSE)</f>
        <v>JOHOR</v>
      </c>
      <c r="O379">
        <f t="shared" si="53"/>
        <v>1.3565</v>
      </c>
      <c r="R379">
        <v>51036</v>
      </c>
      <c r="S379" t="s">
        <v>1048</v>
      </c>
      <c r="T379" t="s">
        <v>804</v>
      </c>
      <c r="U379" t="str">
        <f t="shared" si="46"/>
        <v>KKMG132</v>
      </c>
      <c r="W379" t="str">
        <f t="shared" si="47"/>
        <v>KKMG132T1</v>
      </c>
      <c r="X379">
        <v>6.8621999999999996</v>
      </c>
      <c r="Z379" t="s">
        <v>1048</v>
      </c>
      <c r="AA379" t="s">
        <v>804</v>
      </c>
      <c r="AB379" t="s">
        <v>2083</v>
      </c>
      <c r="AD379" t="s">
        <v>2084</v>
      </c>
      <c r="AE379">
        <v>6.8621999999999996</v>
      </c>
      <c r="AF379">
        <v>51036</v>
      </c>
      <c r="AH379" t="s">
        <v>3135</v>
      </c>
    </row>
    <row r="380" spans="8:34" x14ac:dyDescent="0.25">
      <c r="H380">
        <f t="shared" si="45"/>
        <v>51001</v>
      </c>
      <c r="I380" t="s">
        <v>807</v>
      </c>
      <c r="J380">
        <v>48.4</v>
      </c>
      <c r="K380" t="s">
        <v>1573</v>
      </c>
      <c r="M380" t="str">
        <f t="shared" si="52"/>
        <v>BTAI132T2</v>
      </c>
      <c r="N380" t="str">
        <f>VLOOKUP(H380,'TNB Load'!$A$2:$F$1448,6,FALSE)</f>
        <v>SELANGOR</v>
      </c>
      <c r="O380">
        <f t="shared" si="53"/>
        <v>0</v>
      </c>
      <c r="R380">
        <v>51036</v>
      </c>
      <c r="S380" t="s">
        <v>1048</v>
      </c>
      <c r="T380" t="s">
        <v>807</v>
      </c>
      <c r="U380" t="str">
        <f t="shared" si="46"/>
        <v>KKMG132</v>
      </c>
      <c r="W380" t="str">
        <f t="shared" si="47"/>
        <v>KKMG132T2</v>
      </c>
      <c r="X380">
        <v>7.7538</v>
      </c>
      <c r="Z380" t="s">
        <v>1048</v>
      </c>
      <c r="AA380" t="s">
        <v>807</v>
      </c>
      <c r="AB380" t="s">
        <v>2083</v>
      </c>
      <c r="AD380" t="s">
        <v>2085</v>
      </c>
      <c r="AE380">
        <v>7.7538</v>
      </c>
      <c r="AF380">
        <v>51036</v>
      </c>
      <c r="AH380" t="s">
        <v>2033</v>
      </c>
    </row>
    <row r="381" spans="8:34" x14ac:dyDescent="0.25">
      <c r="H381">
        <f t="shared" si="45"/>
        <v>51001</v>
      </c>
      <c r="I381" t="s">
        <v>804</v>
      </c>
      <c r="J381">
        <v>48.4</v>
      </c>
      <c r="K381" t="str">
        <f>K380</f>
        <v>BTAI132</v>
      </c>
      <c r="M381" t="str">
        <f t="shared" si="52"/>
        <v>BTAI132T1</v>
      </c>
      <c r="N381" t="str">
        <f>VLOOKUP(H381,'TNB Load'!$A$2:$F$1448,6,FALSE)</f>
        <v>SELANGOR</v>
      </c>
      <c r="O381">
        <f t="shared" si="53"/>
        <v>11.876099999999999</v>
      </c>
      <c r="R381">
        <v>51036</v>
      </c>
      <c r="S381" t="s">
        <v>1048</v>
      </c>
      <c r="T381" t="s">
        <v>808</v>
      </c>
      <c r="U381" t="str">
        <f t="shared" si="46"/>
        <v>KKMG132</v>
      </c>
      <c r="W381" t="str">
        <f t="shared" si="47"/>
        <v>KKMG132T3</v>
      </c>
      <c r="X381">
        <v>44.429099999999998</v>
      </c>
      <c r="Z381" t="s">
        <v>1048</v>
      </c>
      <c r="AA381" t="s">
        <v>808</v>
      </c>
      <c r="AB381" t="s">
        <v>2083</v>
      </c>
      <c r="AD381" t="s">
        <v>2086</v>
      </c>
      <c r="AE381">
        <v>44.429099999999998</v>
      </c>
      <c r="AF381">
        <v>51036</v>
      </c>
      <c r="AH381" t="s">
        <v>2032</v>
      </c>
    </row>
    <row r="382" spans="8:34" x14ac:dyDescent="0.25">
      <c r="H382">
        <f t="shared" si="45"/>
        <v>588124</v>
      </c>
      <c r="I382" t="s">
        <v>807</v>
      </c>
      <c r="J382">
        <v>48.4</v>
      </c>
      <c r="K382" t="s">
        <v>1574</v>
      </c>
      <c r="M382" t="str">
        <f t="shared" si="52"/>
        <v>KULE132T2</v>
      </c>
      <c r="N382" t="str">
        <f>VLOOKUP(H382,'TNB Load'!$A$2:$F$1448,6,FALSE)</f>
        <v>WPKL</v>
      </c>
      <c r="O382">
        <f t="shared" ref="O382:O413" si="60">VLOOKUP(M382,$W$3:$X$1300,2,FALSE)</f>
        <v>39.370699999999999</v>
      </c>
      <c r="R382">
        <v>51036</v>
      </c>
      <c r="S382" t="s">
        <v>1048</v>
      </c>
      <c r="T382" t="s">
        <v>809</v>
      </c>
      <c r="U382" t="str">
        <f t="shared" si="46"/>
        <v>KKMG132</v>
      </c>
      <c r="W382" t="str">
        <f t="shared" si="47"/>
        <v>KKMG132T4</v>
      </c>
      <c r="X382">
        <v>45.143599999999999</v>
      </c>
      <c r="Z382" t="s">
        <v>1048</v>
      </c>
      <c r="AA382" t="s">
        <v>809</v>
      </c>
      <c r="AB382" t="s">
        <v>2083</v>
      </c>
      <c r="AD382" t="s">
        <v>2087</v>
      </c>
      <c r="AE382">
        <v>45.143599999999999</v>
      </c>
      <c r="AF382">
        <v>51036</v>
      </c>
      <c r="AH382" t="s">
        <v>2335</v>
      </c>
    </row>
    <row r="383" spans="8:34" x14ac:dyDescent="0.25">
      <c r="H383">
        <f t="shared" si="45"/>
        <v>588124</v>
      </c>
      <c r="I383" t="s">
        <v>804</v>
      </c>
      <c r="J383">
        <v>48.4</v>
      </c>
      <c r="K383" t="str">
        <f>K382</f>
        <v>KULE132</v>
      </c>
      <c r="M383" t="str">
        <f t="shared" si="52"/>
        <v>KULE132T1</v>
      </c>
      <c r="N383" t="str">
        <f>VLOOKUP(H383,'TNB Load'!$A$2:$F$1448,6,FALSE)</f>
        <v>WPKL</v>
      </c>
      <c r="O383">
        <f t="shared" si="60"/>
        <v>39.369700000000002</v>
      </c>
      <c r="R383">
        <v>51018</v>
      </c>
      <c r="S383" t="s">
        <v>1063</v>
      </c>
      <c r="T383" t="s">
        <v>804</v>
      </c>
      <c r="U383" t="str">
        <f t="shared" si="46"/>
        <v>KLIA132</v>
      </c>
      <c r="W383" t="str">
        <f t="shared" si="47"/>
        <v>KLIA132T1</v>
      </c>
      <c r="X383">
        <v>6.2534000000000001</v>
      </c>
      <c r="Z383" t="s">
        <v>1063</v>
      </c>
      <c r="AA383" t="s">
        <v>804</v>
      </c>
      <c r="AB383" t="s">
        <v>2088</v>
      </c>
      <c r="AD383" t="s">
        <v>2089</v>
      </c>
      <c r="AE383">
        <v>6.2534000000000001</v>
      </c>
      <c r="AF383">
        <v>51018</v>
      </c>
      <c r="AH383" t="s">
        <v>2334</v>
      </c>
    </row>
    <row r="384" spans="8:34" x14ac:dyDescent="0.25">
      <c r="H384">
        <f t="shared" si="45"/>
        <v>88163</v>
      </c>
      <c r="I384" t="s">
        <v>807</v>
      </c>
      <c r="J384">
        <v>48.4</v>
      </c>
      <c r="K384" t="s">
        <v>1575</v>
      </c>
      <c r="M384" t="str">
        <f t="shared" si="52"/>
        <v>KLPV132T2</v>
      </c>
      <c r="N384" t="str">
        <f>VLOOKUP(H384,'TNB Load'!$A$2:$F$1448,6,FALSE)</f>
        <v>WPKL</v>
      </c>
      <c r="O384">
        <f t="shared" si="60"/>
        <v>28.610800000000001</v>
      </c>
      <c r="R384">
        <v>51018</v>
      </c>
      <c r="S384" t="s">
        <v>1063</v>
      </c>
      <c r="T384" t="s">
        <v>807</v>
      </c>
      <c r="U384" t="str">
        <f t="shared" si="46"/>
        <v>KLIA132</v>
      </c>
      <c r="W384" t="str">
        <f t="shared" si="47"/>
        <v>KLIA132T2</v>
      </c>
      <c r="X384">
        <v>4.9652000000000003</v>
      </c>
      <c r="Z384" t="s">
        <v>1063</v>
      </c>
      <c r="AA384" t="s">
        <v>807</v>
      </c>
      <c r="AB384" t="s">
        <v>2088</v>
      </c>
      <c r="AD384" t="s">
        <v>2090</v>
      </c>
      <c r="AE384">
        <v>4.9652000000000003</v>
      </c>
      <c r="AF384">
        <v>51018</v>
      </c>
      <c r="AH384" t="s">
        <v>2333</v>
      </c>
    </row>
    <row r="385" spans="8:34" x14ac:dyDescent="0.25">
      <c r="H385">
        <f t="shared" si="45"/>
        <v>88163</v>
      </c>
      <c r="I385" t="s">
        <v>804</v>
      </c>
      <c r="J385">
        <v>48.4</v>
      </c>
      <c r="K385" t="str">
        <f>K384</f>
        <v>KLPV132</v>
      </c>
      <c r="M385" t="str">
        <f t="shared" si="52"/>
        <v>KLPV132T1</v>
      </c>
      <c r="N385" t="str">
        <f>VLOOKUP(H385,'TNB Load'!$A$2:$F$1448,6,FALSE)</f>
        <v>WPKL</v>
      </c>
      <c r="O385">
        <f t="shared" si="60"/>
        <v>28.569400000000002</v>
      </c>
      <c r="R385">
        <v>51018</v>
      </c>
      <c r="S385" t="s">
        <v>1063</v>
      </c>
      <c r="T385" t="s">
        <v>808</v>
      </c>
      <c r="U385" t="str">
        <f t="shared" si="46"/>
        <v>KLIA132</v>
      </c>
      <c r="W385" t="str">
        <f t="shared" si="47"/>
        <v>KLIA132T3</v>
      </c>
      <c r="X385">
        <v>62.827800000000003</v>
      </c>
      <c r="Z385" t="s">
        <v>1063</v>
      </c>
      <c r="AA385" t="s">
        <v>808</v>
      </c>
      <c r="AB385" t="s">
        <v>2088</v>
      </c>
      <c r="AD385" t="s">
        <v>2091</v>
      </c>
      <c r="AE385">
        <v>62.827800000000003</v>
      </c>
      <c r="AF385">
        <v>51018</v>
      </c>
      <c r="AH385" t="s">
        <v>2332</v>
      </c>
    </row>
    <row r="386" spans="8:34" x14ac:dyDescent="0.25">
      <c r="H386">
        <f t="shared" si="45"/>
        <v>61112</v>
      </c>
      <c r="I386" t="s">
        <v>807</v>
      </c>
      <c r="J386">
        <v>48.4</v>
      </c>
      <c r="K386" t="s">
        <v>1576</v>
      </c>
      <c r="M386" t="str">
        <f t="shared" si="52"/>
        <v>TKBU132T2</v>
      </c>
      <c r="N386" t="str">
        <f>VLOOKUP(H386,'TNB Load'!$A$2:$F$1448,6,FALSE)</f>
        <v>KEDAH</v>
      </c>
      <c r="O386">
        <f t="shared" si="60"/>
        <v>31.707000000000001</v>
      </c>
      <c r="R386">
        <v>51018</v>
      </c>
      <c r="S386" t="s">
        <v>1063</v>
      </c>
      <c r="T386" t="s">
        <v>809</v>
      </c>
      <c r="U386" t="str">
        <f t="shared" si="46"/>
        <v>KLIA132</v>
      </c>
      <c r="W386" t="str">
        <f t="shared" si="47"/>
        <v>KLIA132T4</v>
      </c>
      <c r="X386">
        <v>0</v>
      </c>
      <c r="Z386" t="s">
        <v>1063</v>
      </c>
      <c r="AA386" t="s">
        <v>809</v>
      </c>
      <c r="AB386" t="s">
        <v>2088</v>
      </c>
      <c r="AD386" t="s">
        <v>2092</v>
      </c>
      <c r="AE386">
        <v>0</v>
      </c>
      <c r="AF386">
        <v>51018</v>
      </c>
      <c r="AH386" t="s">
        <v>1724</v>
      </c>
    </row>
    <row r="387" spans="8:34" x14ac:dyDescent="0.25">
      <c r="H387">
        <f t="shared" ref="H387:H450" si="61">VLOOKUP(AH387,$AD$3:$AF$1300,3,FALSE)</f>
        <v>61112</v>
      </c>
      <c r="I387" t="s">
        <v>804</v>
      </c>
      <c r="J387">
        <v>48.4</v>
      </c>
      <c r="K387" t="str">
        <f>K386</f>
        <v>TKBU132</v>
      </c>
      <c r="M387" t="str">
        <f t="shared" si="52"/>
        <v>TKBU132T1</v>
      </c>
      <c r="N387" t="str">
        <f>VLOOKUP(H387,'TNB Load'!$A$2:$F$1448,6,FALSE)</f>
        <v>KEDAH</v>
      </c>
      <c r="O387">
        <f t="shared" si="60"/>
        <v>31.637599999999999</v>
      </c>
      <c r="R387">
        <v>52020</v>
      </c>
      <c r="S387" t="s">
        <v>1069</v>
      </c>
      <c r="T387" t="s">
        <v>804</v>
      </c>
      <c r="U387" t="str">
        <f t="shared" si="46"/>
        <v>KLPP275</v>
      </c>
      <c r="W387" t="str">
        <f t="shared" si="47"/>
        <v>KLPP275T1</v>
      </c>
      <c r="X387">
        <v>0</v>
      </c>
      <c r="Z387" t="s">
        <v>1069</v>
      </c>
      <c r="AA387" t="s">
        <v>804</v>
      </c>
      <c r="AB387" t="s">
        <v>2093</v>
      </c>
      <c r="AD387" t="s">
        <v>2094</v>
      </c>
      <c r="AE387">
        <v>0</v>
      </c>
      <c r="AF387">
        <v>52020</v>
      </c>
      <c r="AH387" t="s">
        <v>1723</v>
      </c>
    </row>
    <row r="388" spans="8:34" x14ac:dyDescent="0.25">
      <c r="H388" s="249" t="e">
        <f t="shared" si="61"/>
        <v>#N/A</v>
      </c>
      <c r="I388" s="251" t="s">
        <v>808</v>
      </c>
      <c r="J388" s="251">
        <v>48.3</v>
      </c>
      <c r="K388" s="251" t="s">
        <v>1577</v>
      </c>
      <c r="L388" s="249"/>
      <c r="M388" s="249" t="str">
        <f t="shared" si="52"/>
        <v>TPOI132T3</v>
      </c>
      <c r="N388" t="e">
        <f>VLOOKUP(H388,'TNB Load'!$A$2:$F$1448,6,FALSE)</f>
        <v>#N/A</v>
      </c>
      <c r="O388" s="249" t="e">
        <f t="shared" si="60"/>
        <v>#N/A</v>
      </c>
      <c r="P388" s="249"/>
      <c r="R388">
        <v>52020</v>
      </c>
      <c r="S388" t="s">
        <v>1069</v>
      </c>
      <c r="T388" t="s">
        <v>807</v>
      </c>
      <c r="U388" t="str">
        <f t="shared" ref="U388:U451" si="62">LEFT(S388,7)</f>
        <v>KLPP275</v>
      </c>
      <c r="W388" t="str">
        <f t="shared" ref="W388:W451" si="63">U388&amp;T388</f>
        <v>KLPP275T2</v>
      </c>
      <c r="X388">
        <v>0</v>
      </c>
      <c r="Z388" t="s">
        <v>1069</v>
      </c>
      <c r="AA388" t="s">
        <v>807</v>
      </c>
      <c r="AB388" t="s">
        <v>2093</v>
      </c>
      <c r="AD388" t="s">
        <v>2095</v>
      </c>
      <c r="AE388">
        <v>0</v>
      </c>
      <c r="AF388">
        <v>52020</v>
      </c>
      <c r="AH388" t="s">
        <v>3136</v>
      </c>
    </row>
    <row r="389" spans="8:34" x14ac:dyDescent="0.25">
      <c r="H389">
        <f t="shared" si="61"/>
        <v>97127</v>
      </c>
      <c r="I389" s="246" t="s">
        <v>807</v>
      </c>
      <c r="J389" s="246">
        <v>48.3</v>
      </c>
      <c r="K389" s="246" t="str">
        <f t="shared" ref="K389:K390" si="64">K388</f>
        <v>TPOI132</v>
      </c>
      <c r="M389" t="str">
        <f t="shared" si="52"/>
        <v>TPOI132T2</v>
      </c>
      <c r="N389" t="str">
        <f>VLOOKUP(H389,'TNB Load'!$A$2:$F$1448,6,FALSE)</f>
        <v>JOHOR</v>
      </c>
      <c r="O389">
        <f t="shared" si="60"/>
        <v>11.916499999999999</v>
      </c>
      <c r="R389">
        <v>52020</v>
      </c>
      <c r="S389" t="s">
        <v>1069</v>
      </c>
      <c r="T389" t="s">
        <v>808</v>
      </c>
      <c r="U389" t="str">
        <f t="shared" si="62"/>
        <v>KLPP275</v>
      </c>
      <c r="W389" t="str">
        <f t="shared" si="63"/>
        <v>KLPP275T3</v>
      </c>
      <c r="X389">
        <v>0</v>
      </c>
      <c r="Z389" t="s">
        <v>1069</v>
      </c>
      <c r="AA389" t="s">
        <v>808</v>
      </c>
      <c r="AB389" t="s">
        <v>2093</v>
      </c>
      <c r="AD389" t="s">
        <v>2096</v>
      </c>
      <c r="AE389">
        <v>0</v>
      </c>
      <c r="AF389">
        <v>52020</v>
      </c>
      <c r="AH389" t="s">
        <v>2865</v>
      </c>
    </row>
    <row r="390" spans="8:34" x14ac:dyDescent="0.25">
      <c r="H390">
        <f t="shared" si="61"/>
        <v>97127</v>
      </c>
      <c r="I390" s="246" t="s">
        <v>804</v>
      </c>
      <c r="J390" s="246">
        <v>48.3</v>
      </c>
      <c r="K390" s="246" t="str">
        <f t="shared" si="64"/>
        <v>TPOI132</v>
      </c>
      <c r="M390" t="str">
        <f t="shared" si="52"/>
        <v>TPOI132T1</v>
      </c>
      <c r="N390" t="str">
        <f>VLOOKUP(H390,'TNB Load'!$A$2:$F$1448,6,FALSE)</f>
        <v>JOHOR</v>
      </c>
      <c r="O390">
        <f t="shared" si="60"/>
        <v>11.9093</v>
      </c>
      <c r="R390">
        <v>51026</v>
      </c>
      <c r="S390" t="s">
        <v>1079</v>
      </c>
      <c r="T390" t="s">
        <v>804</v>
      </c>
      <c r="U390" t="str">
        <f t="shared" si="62"/>
        <v>KPNG132</v>
      </c>
      <c r="W390" t="str">
        <f t="shared" si="63"/>
        <v>KPNG132T1</v>
      </c>
      <c r="X390">
        <v>6.5754000000000001</v>
      </c>
      <c r="Z390" t="s">
        <v>1079</v>
      </c>
      <c r="AA390" t="s">
        <v>804</v>
      </c>
      <c r="AB390" t="s">
        <v>2097</v>
      </c>
      <c r="AD390" t="s">
        <v>2098</v>
      </c>
      <c r="AE390">
        <v>6.5754000000000001</v>
      </c>
      <c r="AF390">
        <v>51026</v>
      </c>
      <c r="AH390" t="s">
        <v>2864</v>
      </c>
    </row>
    <row r="391" spans="8:34" x14ac:dyDescent="0.25">
      <c r="H391">
        <f t="shared" si="61"/>
        <v>97129</v>
      </c>
      <c r="I391" s="246" t="s">
        <v>807</v>
      </c>
      <c r="J391" s="246">
        <v>48.3</v>
      </c>
      <c r="K391" s="246" t="s">
        <v>1578</v>
      </c>
      <c r="M391" t="str">
        <f t="shared" si="52"/>
        <v>BPHT132T2</v>
      </c>
      <c r="N391" t="str">
        <f>VLOOKUP(H391,'TNB Load'!$A$2:$F$1448,6,FALSE)</f>
        <v>JOHOR</v>
      </c>
      <c r="O391">
        <f t="shared" si="60"/>
        <v>11.890599999999999</v>
      </c>
      <c r="R391">
        <v>51026</v>
      </c>
      <c r="S391" t="s">
        <v>1079</v>
      </c>
      <c r="T391" t="s">
        <v>807</v>
      </c>
      <c r="U391" t="str">
        <f t="shared" si="62"/>
        <v>KPNG132</v>
      </c>
      <c r="W391" t="str">
        <f t="shared" si="63"/>
        <v>KPNG132T2</v>
      </c>
      <c r="X391">
        <v>6.5805999999999996</v>
      </c>
      <c r="Z391" t="s">
        <v>1079</v>
      </c>
      <c r="AA391" t="s">
        <v>807</v>
      </c>
      <c r="AB391" t="s">
        <v>2097</v>
      </c>
      <c r="AD391" t="s">
        <v>2099</v>
      </c>
      <c r="AE391">
        <v>6.5805999999999996</v>
      </c>
      <c r="AF391">
        <v>51026</v>
      </c>
      <c r="AH391" t="s">
        <v>2606</v>
      </c>
    </row>
    <row r="392" spans="8:34" x14ac:dyDescent="0.25">
      <c r="H392">
        <f t="shared" si="61"/>
        <v>97129</v>
      </c>
      <c r="I392" s="246" t="s">
        <v>804</v>
      </c>
      <c r="J392" s="246">
        <v>48.3</v>
      </c>
      <c r="K392" s="246" t="str">
        <f>K391</f>
        <v>BPHT132</v>
      </c>
      <c r="M392" t="str">
        <f t="shared" si="52"/>
        <v>BPHT132T1</v>
      </c>
      <c r="N392" t="str">
        <f>VLOOKUP(H392,'TNB Load'!$A$2:$F$1448,6,FALSE)</f>
        <v>JOHOR</v>
      </c>
      <c r="O392">
        <f t="shared" si="60"/>
        <v>11.055</v>
      </c>
      <c r="R392">
        <v>51014</v>
      </c>
      <c r="S392" t="s">
        <v>1088</v>
      </c>
      <c r="T392" t="s">
        <v>804</v>
      </c>
      <c r="U392" t="str">
        <f t="shared" si="62"/>
        <v>KSBG132</v>
      </c>
      <c r="W392" t="str">
        <f t="shared" si="63"/>
        <v>KSBG132T1</v>
      </c>
      <c r="X392">
        <v>12.555400000000001</v>
      </c>
      <c r="Z392" t="s">
        <v>1088</v>
      </c>
      <c r="AA392" t="s">
        <v>804</v>
      </c>
      <c r="AB392" t="s">
        <v>2100</v>
      </c>
      <c r="AD392" t="s">
        <v>2101</v>
      </c>
      <c r="AE392">
        <v>12.555400000000001</v>
      </c>
      <c r="AF392">
        <v>51014</v>
      </c>
      <c r="AH392" t="s">
        <v>2605</v>
      </c>
    </row>
    <row r="393" spans="8:34" x14ac:dyDescent="0.25">
      <c r="H393">
        <f t="shared" si="61"/>
        <v>97121</v>
      </c>
      <c r="I393" s="246" t="s">
        <v>807</v>
      </c>
      <c r="J393" s="246">
        <v>48.3</v>
      </c>
      <c r="K393" s="246" t="s">
        <v>1579</v>
      </c>
      <c r="M393" t="str">
        <f t="shared" si="52"/>
        <v>TPCH132T2</v>
      </c>
      <c r="N393" t="str">
        <f>VLOOKUP(H393,'TNB Load'!$A$2:$F$1448,6,FALSE)</f>
        <v>JOHOR</v>
      </c>
      <c r="O393">
        <f t="shared" si="60"/>
        <v>4.8667999999999996</v>
      </c>
      <c r="R393">
        <v>51014</v>
      </c>
      <c r="S393" t="s">
        <v>1088</v>
      </c>
      <c r="T393" t="s">
        <v>807</v>
      </c>
      <c r="U393" t="str">
        <f t="shared" si="62"/>
        <v>KSBG132</v>
      </c>
      <c r="W393" t="str">
        <f t="shared" si="63"/>
        <v>KSBG132T2</v>
      </c>
      <c r="X393">
        <v>6.2367999999999997</v>
      </c>
      <c r="Z393" t="s">
        <v>1088</v>
      </c>
      <c r="AA393" t="s">
        <v>807</v>
      </c>
      <c r="AB393" t="s">
        <v>2100</v>
      </c>
      <c r="AD393" t="s">
        <v>2102</v>
      </c>
      <c r="AE393">
        <v>6.2367999999999997</v>
      </c>
      <c r="AF393">
        <v>51014</v>
      </c>
      <c r="AH393" t="s">
        <v>2863</v>
      </c>
    </row>
    <row r="394" spans="8:34" x14ac:dyDescent="0.25">
      <c r="H394">
        <f t="shared" si="61"/>
        <v>97121</v>
      </c>
      <c r="I394" s="246" t="s">
        <v>804</v>
      </c>
      <c r="J394" s="246">
        <v>48.3</v>
      </c>
      <c r="K394" s="246" t="str">
        <f>K393</f>
        <v>TPCH132</v>
      </c>
      <c r="M394" t="str">
        <f t="shared" si="52"/>
        <v>TPCH132T1</v>
      </c>
      <c r="N394" t="str">
        <f>VLOOKUP(H394,'TNB Load'!$A$2:$F$1448,6,FALSE)</f>
        <v>JOHOR</v>
      </c>
      <c r="O394">
        <f t="shared" si="60"/>
        <v>11.4329</v>
      </c>
      <c r="R394">
        <v>51014</v>
      </c>
      <c r="S394" t="s">
        <v>1088</v>
      </c>
      <c r="T394" t="s">
        <v>808</v>
      </c>
      <c r="U394" t="str">
        <f t="shared" si="62"/>
        <v>KSBG132</v>
      </c>
      <c r="W394" t="str">
        <f t="shared" si="63"/>
        <v>KSBG132T3</v>
      </c>
      <c r="X394">
        <v>25.977599999999999</v>
      </c>
      <c r="Z394" t="s">
        <v>1088</v>
      </c>
      <c r="AA394" t="s">
        <v>808</v>
      </c>
      <c r="AB394" t="s">
        <v>2100</v>
      </c>
      <c r="AD394" t="s">
        <v>2103</v>
      </c>
      <c r="AE394">
        <v>25.977599999999999</v>
      </c>
      <c r="AF394">
        <v>51014</v>
      </c>
      <c r="AH394" t="s">
        <v>2862</v>
      </c>
    </row>
    <row r="395" spans="8:34" x14ac:dyDescent="0.25">
      <c r="H395">
        <f t="shared" si="61"/>
        <v>97107</v>
      </c>
      <c r="I395" s="246" t="s">
        <v>807</v>
      </c>
      <c r="J395" s="246">
        <v>48.3</v>
      </c>
      <c r="K395" s="246" t="s">
        <v>1580</v>
      </c>
      <c r="M395" t="str">
        <f t="shared" si="52"/>
        <v>YGPG132T2</v>
      </c>
      <c r="N395" t="str">
        <f>VLOOKUP(H395,'TNB Load'!$A$2:$F$1448,6,FALSE)</f>
        <v>JOHOR</v>
      </c>
      <c r="O395">
        <f t="shared" si="60"/>
        <v>9.8682999999999996</v>
      </c>
      <c r="R395">
        <v>51014</v>
      </c>
      <c r="S395" t="s">
        <v>1088</v>
      </c>
      <c r="T395" t="s">
        <v>809</v>
      </c>
      <c r="U395" t="str">
        <f t="shared" si="62"/>
        <v>KSBG132</v>
      </c>
      <c r="W395" t="str">
        <f t="shared" si="63"/>
        <v>KSBG132T4</v>
      </c>
      <c r="X395">
        <v>25.889500000000002</v>
      </c>
      <c r="Z395" t="s">
        <v>1088</v>
      </c>
      <c r="AA395" t="s">
        <v>809</v>
      </c>
      <c r="AB395" t="s">
        <v>2100</v>
      </c>
      <c r="AD395" t="s">
        <v>2104</v>
      </c>
      <c r="AE395">
        <v>25.889500000000002</v>
      </c>
      <c r="AF395">
        <v>51014</v>
      </c>
      <c r="AH395" t="s">
        <v>2882</v>
      </c>
    </row>
    <row r="396" spans="8:34" x14ac:dyDescent="0.25">
      <c r="H396">
        <f t="shared" si="61"/>
        <v>97107</v>
      </c>
      <c r="I396" s="246" t="s">
        <v>804</v>
      </c>
      <c r="J396" s="246">
        <v>48.3</v>
      </c>
      <c r="K396" s="246" t="str">
        <f>K395</f>
        <v>YGPG132</v>
      </c>
      <c r="M396" t="str">
        <f t="shared" si="52"/>
        <v>YGPG132T1</v>
      </c>
      <c r="N396" t="str">
        <f>VLOOKUP(H396,'TNB Load'!$A$2:$F$1448,6,FALSE)</f>
        <v>JOHOR</v>
      </c>
      <c r="O396">
        <f t="shared" si="60"/>
        <v>11.4443</v>
      </c>
      <c r="R396">
        <v>51016</v>
      </c>
      <c r="S396" t="s">
        <v>1089</v>
      </c>
      <c r="T396" t="s">
        <v>804</v>
      </c>
      <c r="U396" t="str">
        <f t="shared" si="62"/>
        <v>KSGR132</v>
      </c>
      <c r="W396" t="str">
        <f t="shared" si="63"/>
        <v>KSGR132T1</v>
      </c>
      <c r="X396">
        <v>30.965599999999998</v>
      </c>
      <c r="Z396" t="s">
        <v>1089</v>
      </c>
      <c r="AA396" t="s">
        <v>804</v>
      </c>
      <c r="AB396" t="s">
        <v>2105</v>
      </c>
      <c r="AD396" t="s">
        <v>2106</v>
      </c>
      <c r="AE396">
        <v>30.965599999999998</v>
      </c>
      <c r="AF396">
        <v>51016</v>
      </c>
      <c r="AH396" t="s">
        <v>2881</v>
      </c>
    </row>
    <row r="397" spans="8:34" x14ac:dyDescent="0.25">
      <c r="H397">
        <f t="shared" si="61"/>
        <v>51057</v>
      </c>
      <c r="I397" s="246" t="s">
        <v>809</v>
      </c>
      <c r="J397" s="246">
        <v>48.3</v>
      </c>
      <c r="K397" s="246" t="s">
        <v>1581</v>
      </c>
      <c r="M397" t="str">
        <f t="shared" si="52"/>
        <v>MERU132T4</v>
      </c>
      <c r="N397" t="str">
        <f>VLOOKUP(H397,'TNB Load'!$A$2:$F$1448,6,FALSE)</f>
        <v>SELANGOR</v>
      </c>
      <c r="O397">
        <f t="shared" si="60"/>
        <v>44.053199999999997</v>
      </c>
      <c r="R397">
        <v>51016</v>
      </c>
      <c r="S397" t="s">
        <v>1089</v>
      </c>
      <c r="T397" t="s">
        <v>807</v>
      </c>
      <c r="U397" t="str">
        <f t="shared" si="62"/>
        <v>KSGR132</v>
      </c>
      <c r="W397" t="str">
        <f t="shared" si="63"/>
        <v>KSGR132T2</v>
      </c>
      <c r="X397">
        <v>31.233799999999999</v>
      </c>
      <c r="Z397" t="s">
        <v>1089</v>
      </c>
      <c r="AA397" t="s">
        <v>807</v>
      </c>
      <c r="AB397" t="s">
        <v>2105</v>
      </c>
      <c r="AD397" t="s">
        <v>2107</v>
      </c>
      <c r="AE397">
        <v>31.233799999999999</v>
      </c>
      <c r="AF397">
        <v>51016</v>
      </c>
      <c r="AH397" t="s">
        <v>2121</v>
      </c>
    </row>
    <row r="398" spans="8:34" x14ac:dyDescent="0.25">
      <c r="H398">
        <f t="shared" si="61"/>
        <v>51057</v>
      </c>
      <c r="I398" s="246" t="s">
        <v>808</v>
      </c>
      <c r="J398" s="246">
        <v>48.3</v>
      </c>
      <c r="K398" s="246" t="str">
        <f>K397</f>
        <v>MERU132</v>
      </c>
      <c r="M398" t="str">
        <f t="shared" si="52"/>
        <v>MERU132T3</v>
      </c>
      <c r="N398" t="str">
        <f>VLOOKUP(H398,'TNB Load'!$A$2:$F$1448,6,FALSE)</f>
        <v>SELANGOR</v>
      </c>
      <c r="O398">
        <f t="shared" si="60"/>
        <v>43.935200000000002</v>
      </c>
      <c r="R398">
        <v>51069</v>
      </c>
      <c r="S398" t="s">
        <v>1119</v>
      </c>
      <c r="T398" t="s">
        <v>823</v>
      </c>
      <c r="U398" t="str">
        <f t="shared" si="62"/>
        <v>LGMR132</v>
      </c>
      <c r="W398" t="str">
        <f t="shared" si="63"/>
        <v>LGMR132F1</v>
      </c>
      <c r="X398">
        <v>1.7945</v>
      </c>
      <c r="Z398" t="s">
        <v>1119</v>
      </c>
      <c r="AA398" t="s">
        <v>823</v>
      </c>
      <c r="AB398" t="s">
        <v>2108</v>
      </c>
      <c r="AD398" t="s">
        <v>2109</v>
      </c>
      <c r="AE398">
        <v>1.7945</v>
      </c>
      <c r="AF398">
        <v>51069</v>
      </c>
      <c r="AH398" t="s">
        <v>2120</v>
      </c>
    </row>
    <row r="399" spans="8:34" x14ac:dyDescent="0.25">
      <c r="H399">
        <f t="shared" si="61"/>
        <v>51009</v>
      </c>
      <c r="I399" s="246" t="s">
        <v>808</v>
      </c>
      <c r="J399" s="246">
        <v>48.3</v>
      </c>
      <c r="K399" s="246" t="s">
        <v>1582</v>
      </c>
      <c r="M399" t="str">
        <f t="shared" si="52"/>
        <v>PROT132T3</v>
      </c>
      <c r="N399" t="str">
        <f>VLOOKUP(H399,'TNB Load'!$A$2:$F$1448,6,FALSE)</f>
        <v>SELANGOR</v>
      </c>
      <c r="O399">
        <f t="shared" si="60"/>
        <v>49.7164</v>
      </c>
      <c r="R399">
        <v>51069</v>
      </c>
      <c r="S399" t="s">
        <v>1119</v>
      </c>
      <c r="T399" t="s">
        <v>826</v>
      </c>
      <c r="U399" t="str">
        <f t="shared" si="62"/>
        <v>LGMR132</v>
      </c>
      <c r="W399" t="str">
        <f t="shared" si="63"/>
        <v>LGMR132F2</v>
      </c>
      <c r="X399">
        <v>1.5419</v>
      </c>
      <c r="Z399" t="s">
        <v>1119</v>
      </c>
      <c r="AA399" t="s">
        <v>826</v>
      </c>
      <c r="AB399" t="s">
        <v>2108</v>
      </c>
      <c r="AD399" t="s">
        <v>2110</v>
      </c>
      <c r="AE399">
        <v>1.5419</v>
      </c>
      <c r="AF399">
        <v>51069</v>
      </c>
      <c r="AH399" t="s">
        <v>2185</v>
      </c>
    </row>
    <row r="400" spans="8:34" x14ac:dyDescent="0.25">
      <c r="H400">
        <f t="shared" si="61"/>
        <v>51009</v>
      </c>
      <c r="I400" s="246" t="s">
        <v>807</v>
      </c>
      <c r="J400" s="246">
        <v>48.3</v>
      </c>
      <c r="K400" s="246" t="str">
        <f t="shared" ref="K400:K401" si="65">K399</f>
        <v>PROT132</v>
      </c>
      <c r="M400" t="str">
        <f t="shared" si="52"/>
        <v>PROT132T2</v>
      </c>
      <c r="N400" t="str">
        <f>VLOOKUP(H400,'TNB Load'!$A$2:$F$1448,6,FALSE)</f>
        <v>SELANGOR</v>
      </c>
      <c r="O400">
        <f t="shared" si="60"/>
        <v>32.279600000000002</v>
      </c>
      <c r="R400">
        <v>51085</v>
      </c>
      <c r="S400" t="s">
        <v>1121</v>
      </c>
      <c r="T400" t="s">
        <v>804</v>
      </c>
      <c r="U400" t="str">
        <f t="shared" si="62"/>
        <v>LKDG132</v>
      </c>
      <c r="W400" t="str">
        <f t="shared" si="63"/>
        <v>LKDG132T1</v>
      </c>
      <c r="X400">
        <v>11.2134</v>
      </c>
      <c r="Z400" t="s">
        <v>1121</v>
      </c>
      <c r="AA400" t="s">
        <v>804</v>
      </c>
      <c r="AB400" t="s">
        <v>1613</v>
      </c>
      <c r="AD400" t="s">
        <v>2111</v>
      </c>
      <c r="AE400">
        <v>11.2134</v>
      </c>
      <c r="AF400">
        <v>51085</v>
      </c>
      <c r="AH400" t="s">
        <v>2184</v>
      </c>
    </row>
    <row r="401" spans="8:34" x14ac:dyDescent="0.25">
      <c r="H401">
        <f t="shared" si="61"/>
        <v>51009</v>
      </c>
      <c r="I401" s="246" t="s">
        <v>804</v>
      </c>
      <c r="J401" s="246">
        <v>48.3</v>
      </c>
      <c r="K401" s="246" t="str">
        <f t="shared" si="65"/>
        <v>PROT132</v>
      </c>
      <c r="M401" t="str">
        <f t="shared" si="52"/>
        <v>PROT132T1</v>
      </c>
      <c r="N401" t="str">
        <f>VLOOKUP(H401,'TNB Load'!$A$2:$F$1448,6,FALSE)</f>
        <v>SELANGOR</v>
      </c>
      <c r="O401">
        <f t="shared" si="60"/>
        <v>32.4039</v>
      </c>
      <c r="R401">
        <v>51085</v>
      </c>
      <c r="S401" t="s">
        <v>1121</v>
      </c>
      <c r="T401" t="s">
        <v>807</v>
      </c>
      <c r="U401" t="str">
        <f t="shared" si="62"/>
        <v>LKDG132</v>
      </c>
      <c r="W401" t="str">
        <f t="shared" si="63"/>
        <v>LKDG132T2</v>
      </c>
      <c r="X401">
        <v>12.158799999999999</v>
      </c>
      <c r="Z401" t="s">
        <v>1121</v>
      </c>
      <c r="AA401" t="s">
        <v>807</v>
      </c>
      <c r="AB401" t="s">
        <v>1613</v>
      </c>
      <c r="AD401" t="s">
        <v>2112</v>
      </c>
      <c r="AE401">
        <v>12.158799999999999</v>
      </c>
      <c r="AF401">
        <v>51085</v>
      </c>
      <c r="AH401" t="s">
        <v>2183</v>
      </c>
    </row>
    <row r="402" spans="8:34" x14ac:dyDescent="0.25">
      <c r="H402">
        <f t="shared" si="61"/>
        <v>96132</v>
      </c>
      <c r="I402" s="246" t="s">
        <v>807</v>
      </c>
      <c r="J402" s="246">
        <v>48.3</v>
      </c>
      <c r="K402" s="246" t="s">
        <v>1583</v>
      </c>
      <c r="M402" t="str">
        <f t="shared" si="52"/>
        <v>KLAT132T2</v>
      </c>
      <c r="N402" t="str">
        <f>VLOOKUP(H402,'TNB Load'!$A$2:$F$1448,6,FALSE)</f>
        <v>NS</v>
      </c>
      <c r="O402">
        <f t="shared" si="60"/>
        <v>9.5855999999999995</v>
      </c>
      <c r="R402">
        <v>51085</v>
      </c>
      <c r="S402" t="s">
        <v>1121</v>
      </c>
      <c r="T402" t="s">
        <v>808</v>
      </c>
      <c r="U402" t="str">
        <f t="shared" si="62"/>
        <v>LKDG132</v>
      </c>
      <c r="W402" t="str">
        <f t="shared" si="63"/>
        <v>LKDG132T3</v>
      </c>
      <c r="X402">
        <v>28.645</v>
      </c>
      <c r="Z402" t="s">
        <v>1121</v>
      </c>
      <c r="AA402" t="s">
        <v>808</v>
      </c>
      <c r="AB402" t="s">
        <v>1613</v>
      </c>
      <c r="AD402" t="s">
        <v>2113</v>
      </c>
      <c r="AE402">
        <v>28.645</v>
      </c>
      <c r="AF402">
        <v>51085</v>
      </c>
      <c r="AH402" t="s">
        <v>2440</v>
      </c>
    </row>
    <row r="403" spans="8:34" x14ac:dyDescent="0.25">
      <c r="H403">
        <f t="shared" si="61"/>
        <v>96132</v>
      </c>
      <c r="I403" s="246" t="s">
        <v>804</v>
      </c>
      <c r="J403" s="246">
        <v>48.3</v>
      </c>
      <c r="K403" s="246" t="str">
        <f>K402</f>
        <v>KLAT132</v>
      </c>
      <c r="M403" t="str">
        <f t="shared" si="52"/>
        <v>KLAT132T1</v>
      </c>
      <c r="N403" t="str">
        <f>VLOOKUP(H403,'TNB Load'!$A$2:$F$1448,6,FALSE)</f>
        <v>NS</v>
      </c>
      <c r="O403">
        <f t="shared" si="60"/>
        <v>13.741099999999999</v>
      </c>
      <c r="R403">
        <v>51085</v>
      </c>
      <c r="S403" t="s">
        <v>1121</v>
      </c>
      <c r="T403" t="s">
        <v>809</v>
      </c>
      <c r="U403" t="str">
        <f t="shared" si="62"/>
        <v>LKDG132</v>
      </c>
      <c r="W403" t="str">
        <f t="shared" si="63"/>
        <v>LKDG132T4</v>
      </c>
      <c r="X403">
        <v>28.47</v>
      </c>
      <c r="Z403" t="s">
        <v>1121</v>
      </c>
      <c r="AA403" t="s">
        <v>809</v>
      </c>
      <c r="AB403" t="s">
        <v>1613</v>
      </c>
      <c r="AD403" t="s">
        <v>2114</v>
      </c>
      <c r="AE403">
        <v>28.47</v>
      </c>
      <c r="AF403">
        <v>51085</v>
      </c>
      <c r="AH403" t="s">
        <v>2439</v>
      </c>
    </row>
    <row r="404" spans="8:34" x14ac:dyDescent="0.25">
      <c r="H404">
        <f t="shared" si="61"/>
        <v>61103</v>
      </c>
      <c r="I404" s="246" t="s">
        <v>807</v>
      </c>
      <c r="J404" s="246">
        <v>48.3</v>
      </c>
      <c r="K404" s="246" t="s">
        <v>1584</v>
      </c>
      <c r="M404" t="str">
        <f t="shared" si="52"/>
        <v>TEWA132T2</v>
      </c>
      <c r="N404" t="str">
        <f>VLOOKUP(H404,'TNB Load'!$A$2:$F$1448,6,FALSE)</f>
        <v>LANGKAWI</v>
      </c>
      <c r="O404">
        <f t="shared" si="60"/>
        <v>33.288200000000003</v>
      </c>
      <c r="R404">
        <v>51058</v>
      </c>
      <c r="S404" t="s">
        <v>1128</v>
      </c>
      <c r="T404" t="s">
        <v>804</v>
      </c>
      <c r="U404" t="str">
        <f t="shared" si="62"/>
        <v>LSHA132</v>
      </c>
      <c r="W404" t="str">
        <f t="shared" si="63"/>
        <v>LSHA132T1</v>
      </c>
      <c r="X404">
        <v>1.5398000000000001</v>
      </c>
      <c r="Z404" t="s">
        <v>1128</v>
      </c>
      <c r="AA404" t="s">
        <v>804</v>
      </c>
      <c r="AB404" t="s">
        <v>2115</v>
      </c>
      <c r="AD404" t="s">
        <v>2116</v>
      </c>
      <c r="AE404">
        <v>1.5398000000000001</v>
      </c>
      <c r="AF404">
        <v>51058</v>
      </c>
      <c r="AH404" t="s">
        <v>3107</v>
      </c>
    </row>
    <row r="405" spans="8:34" x14ac:dyDescent="0.25">
      <c r="H405">
        <f t="shared" si="61"/>
        <v>61103</v>
      </c>
      <c r="I405" s="246" t="s">
        <v>804</v>
      </c>
      <c r="J405" s="246">
        <v>48.3</v>
      </c>
      <c r="K405" s="246" t="str">
        <f>K404</f>
        <v>TEWA132</v>
      </c>
      <c r="M405" t="str">
        <f t="shared" si="52"/>
        <v>TEWA132T1</v>
      </c>
      <c r="N405" t="str">
        <f>VLOOKUP(H405,'TNB Load'!$A$2:$F$1448,6,FALSE)</f>
        <v>LANGKAWI</v>
      </c>
      <c r="O405">
        <f t="shared" si="60"/>
        <v>0</v>
      </c>
      <c r="R405">
        <v>51058</v>
      </c>
      <c r="S405" t="s">
        <v>1128</v>
      </c>
      <c r="T405" t="s">
        <v>807</v>
      </c>
      <c r="U405" t="str">
        <f t="shared" si="62"/>
        <v>LSHA132</v>
      </c>
      <c r="W405" t="str">
        <f t="shared" si="63"/>
        <v>LSHA132T2</v>
      </c>
      <c r="X405">
        <v>0</v>
      </c>
      <c r="Z405" t="s">
        <v>1128</v>
      </c>
      <c r="AA405" t="s">
        <v>807</v>
      </c>
      <c r="AB405" t="s">
        <v>2115</v>
      </c>
      <c r="AD405" t="s">
        <v>2117</v>
      </c>
      <c r="AE405">
        <v>0</v>
      </c>
      <c r="AF405">
        <v>51058</v>
      </c>
      <c r="AH405" t="s">
        <v>3106</v>
      </c>
    </row>
    <row r="406" spans="8:34" x14ac:dyDescent="0.25">
      <c r="H406">
        <f t="shared" si="61"/>
        <v>61125</v>
      </c>
      <c r="I406" s="246" t="s">
        <v>809</v>
      </c>
      <c r="J406" s="246">
        <v>48.3</v>
      </c>
      <c r="K406" s="246" t="s">
        <v>1585</v>
      </c>
      <c r="M406" t="str">
        <f t="shared" si="52"/>
        <v>UMKA132T4</v>
      </c>
      <c r="N406" t="str">
        <f>VLOOKUP(H406,'TNB Load'!$A$2:$F$1448,6,FALSE)</f>
        <v>LANGKAWI</v>
      </c>
      <c r="O406">
        <f t="shared" si="60"/>
        <v>17.1541</v>
      </c>
      <c r="R406">
        <v>51057</v>
      </c>
      <c r="S406" t="s">
        <v>1139</v>
      </c>
      <c r="T406" t="s">
        <v>804</v>
      </c>
      <c r="U406" t="str">
        <f t="shared" si="62"/>
        <v>MERU132</v>
      </c>
      <c r="W406" t="str">
        <f t="shared" si="63"/>
        <v>MERU132T1</v>
      </c>
      <c r="X406">
        <v>8.6112000000000002</v>
      </c>
      <c r="Z406" t="s">
        <v>1139</v>
      </c>
      <c r="AA406" t="s">
        <v>804</v>
      </c>
      <c r="AB406" t="s">
        <v>1581</v>
      </c>
      <c r="AD406" t="s">
        <v>2118</v>
      </c>
      <c r="AE406">
        <v>8.6112000000000002</v>
      </c>
      <c r="AF406">
        <v>51057</v>
      </c>
      <c r="AH406" t="s">
        <v>3111</v>
      </c>
    </row>
    <row r="407" spans="8:34" x14ac:dyDescent="0.25">
      <c r="H407">
        <f t="shared" si="61"/>
        <v>61125</v>
      </c>
      <c r="I407" s="246" t="s">
        <v>808</v>
      </c>
      <c r="J407" s="246">
        <v>48.3</v>
      </c>
      <c r="K407" s="246" t="str">
        <f t="shared" ref="K407:K409" si="66">K406</f>
        <v>UMKA132</v>
      </c>
      <c r="M407" t="str">
        <f t="shared" si="52"/>
        <v>UMKA132T3</v>
      </c>
      <c r="N407" t="str">
        <f>VLOOKUP(H407,'TNB Load'!$A$2:$F$1448,6,FALSE)</f>
        <v>LANGKAWI</v>
      </c>
      <c r="O407">
        <f t="shared" si="60"/>
        <v>17.298999999999999</v>
      </c>
      <c r="R407">
        <v>51057</v>
      </c>
      <c r="S407" t="s">
        <v>1139</v>
      </c>
      <c r="T407" t="s">
        <v>807</v>
      </c>
      <c r="U407" t="str">
        <f t="shared" si="62"/>
        <v>MERU132</v>
      </c>
      <c r="W407" t="str">
        <f t="shared" si="63"/>
        <v>MERU132T2</v>
      </c>
      <c r="X407">
        <v>11.4267</v>
      </c>
      <c r="Z407" t="s">
        <v>1139</v>
      </c>
      <c r="AA407" t="s">
        <v>807</v>
      </c>
      <c r="AB407" t="s">
        <v>1581</v>
      </c>
      <c r="AD407" t="s">
        <v>2119</v>
      </c>
      <c r="AE407">
        <v>11.4267</v>
      </c>
      <c r="AF407">
        <v>51057</v>
      </c>
      <c r="AH407" t="s">
        <v>3110</v>
      </c>
    </row>
    <row r="408" spans="8:34" x14ac:dyDescent="0.25">
      <c r="H408">
        <f t="shared" si="61"/>
        <v>61125</v>
      </c>
      <c r="I408" s="246" t="s">
        <v>807</v>
      </c>
      <c r="J408" s="246">
        <v>48.3</v>
      </c>
      <c r="K408" s="246" t="str">
        <f t="shared" si="66"/>
        <v>UMKA132</v>
      </c>
      <c r="M408" t="str">
        <f t="shared" si="52"/>
        <v>UMKA132T2</v>
      </c>
      <c r="N408" t="str">
        <f>VLOOKUP(H408,'TNB Load'!$A$2:$F$1448,6,FALSE)</f>
        <v>LANGKAWI</v>
      </c>
      <c r="O408">
        <f t="shared" si="60"/>
        <v>3.7237</v>
      </c>
      <c r="R408">
        <v>51057</v>
      </c>
      <c r="S408" t="s">
        <v>1139</v>
      </c>
      <c r="T408" t="s">
        <v>808</v>
      </c>
      <c r="U408" t="str">
        <f t="shared" si="62"/>
        <v>MERU132</v>
      </c>
      <c r="W408" t="str">
        <f t="shared" si="63"/>
        <v>MERU132T3</v>
      </c>
      <c r="X408">
        <v>43.935200000000002</v>
      </c>
      <c r="Z408" t="s">
        <v>1139</v>
      </c>
      <c r="AA408" t="s">
        <v>808</v>
      </c>
      <c r="AB408" t="s">
        <v>1581</v>
      </c>
      <c r="AD408" t="s">
        <v>2120</v>
      </c>
      <c r="AE408">
        <v>43.935200000000002</v>
      </c>
      <c r="AF408">
        <v>51057</v>
      </c>
      <c r="AH408" t="s">
        <v>3109</v>
      </c>
    </row>
    <row r="409" spans="8:34" x14ac:dyDescent="0.25">
      <c r="H409">
        <f t="shared" si="61"/>
        <v>61125</v>
      </c>
      <c r="I409" s="246" t="s">
        <v>804</v>
      </c>
      <c r="J409" s="246">
        <v>48.3</v>
      </c>
      <c r="K409" s="246" t="str">
        <f t="shared" si="66"/>
        <v>UMKA132</v>
      </c>
      <c r="M409" t="str">
        <f t="shared" si="52"/>
        <v>UMKA132T1</v>
      </c>
      <c r="N409" t="str">
        <f>VLOOKUP(H409,'TNB Load'!$A$2:$F$1448,6,FALSE)</f>
        <v>LANGKAWI</v>
      </c>
      <c r="O409">
        <f t="shared" si="60"/>
        <v>3.7267999999999999</v>
      </c>
      <c r="R409">
        <v>51057</v>
      </c>
      <c r="S409" t="s">
        <v>1139</v>
      </c>
      <c r="T409" t="s">
        <v>809</v>
      </c>
      <c r="U409" t="str">
        <f t="shared" si="62"/>
        <v>MERU132</v>
      </c>
      <c r="W409" t="str">
        <f t="shared" si="63"/>
        <v>MERU132T4</v>
      </c>
      <c r="X409">
        <v>44.053199999999997</v>
      </c>
      <c r="Z409" t="s">
        <v>1139</v>
      </c>
      <c r="AA409" t="s">
        <v>809</v>
      </c>
      <c r="AB409" t="s">
        <v>1581</v>
      </c>
      <c r="AD409" t="s">
        <v>2121</v>
      </c>
      <c r="AE409">
        <v>44.053199999999997</v>
      </c>
      <c r="AF409">
        <v>51057</v>
      </c>
      <c r="AH409" t="s">
        <v>3108</v>
      </c>
    </row>
    <row r="410" spans="8:34" x14ac:dyDescent="0.25">
      <c r="H410">
        <f t="shared" si="61"/>
        <v>561145</v>
      </c>
      <c r="I410" s="246" t="s">
        <v>826</v>
      </c>
      <c r="J410" s="246">
        <v>48.3</v>
      </c>
      <c r="K410" s="246" t="s">
        <v>1586</v>
      </c>
      <c r="M410" t="str">
        <f t="shared" si="52"/>
        <v>KCMT132RF2</v>
      </c>
      <c r="N410" t="str">
        <f>VLOOKUP(H410,'TNB Load'!$A$2:$F$1448,6,FALSE)</f>
        <v>LANGKAWI</v>
      </c>
      <c r="O410">
        <f t="shared" si="60"/>
        <v>26.176400000000001</v>
      </c>
      <c r="R410">
        <v>51022</v>
      </c>
      <c r="S410" t="s">
        <v>1144</v>
      </c>
      <c r="T410" t="s">
        <v>804</v>
      </c>
      <c r="U410" t="str">
        <f t="shared" si="62"/>
        <v>MHTA132</v>
      </c>
      <c r="W410" t="str">
        <f t="shared" si="63"/>
        <v>MHTA132T1</v>
      </c>
      <c r="X410">
        <v>7.6782000000000004</v>
      </c>
      <c r="Z410" t="s">
        <v>1144</v>
      </c>
      <c r="AA410" t="s">
        <v>804</v>
      </c>
      <c r="AB410" t="s">
        <v>2122</v>
      </c>
      <c r="AD410" t="s">
        <v>2123</v>
      </c>
      <c r="AE410">
        <v>7.6782000000000004</v>
      </c>
      <c r="AF410">
        <v>51022</v>
      </c>
      <c r="AH410" t="s">
        <v>3137</v>
      </c>
    </row>
    <row r="411" spans="8:34" x14ac:dyDescent="0.25">
      <c r="H411">
        <f t="shared" si="61"/>
        <v>61145</v>
      </c>
      <c r="I411" s="246" t="s">
        <v>823</v>
      </c>
      <c r="J411" s="246">
        <v>48.3</v>
      </c>
      <c r="K411" s="246" t="s">
        <v>1587</v>
      </c>
      <c r="M411" t="str">
        <f t="shared" si="52"/>
        <v>KCMT132F1</v>
      </c>
      <c r="N411" t="str">
        <f>VLOOKUP(H411,'TNB Load'!$A$2:$F$1448,6,FALSE)</f>
        <v>LANGKAWI</v>
      </c>
      <c r="O411">
        <f t="shared" si="60"/>
        <v>0</v>
      </c>
      <c r="R411">
        <v>51022</v>
      </c>
      <c r="S411" t="s">
        <v>1144</v>
      </c>
      <c r="T411" t="s">
        <v>807</v>
      </c>
      <c r="U411" t="str">
        <f t="shared" si="62"/>
        <v>MHTA132</v>
      </c>
      <c r="W411" t="str">
        <f t="shared" si="63"/>
        <v>MHTA132T2</v>
      </c>
      <c r="X411">
        <v>5.6806999999999999</v>
      </c>
      <c r="Z411" t="s">
        <v>1144</v>
      </c>
      <c r="AA411" t="s">
        <v>807</v>
      </c>
      <c r="AB411" t="s">
        <v>2122</v>
      </c>
      <c r="AD411" t="s">
        <v>2124</v>
      </c>
      <c r="AE411">
        <v>5.6806999999999999</v>
      </c>
      <c r="AF411">
        <v>51022</v>
      </c>
      <c r="AH411" t="s">
        <v>3138</v>
      </c>
    </row>
    <row r="412" spans="8:34" x14ac:dyDescent="0.25">
      <c r="H412">
        <f t="shared" si="61"/>
        <v>88161</v>
      </c>
      <c r="I412" s="246" t="s">
        <v>810</v>
      </c>
      <c r="J412" s="246">
        <v>48.3</v>
      </c>
      <c r="K412" s="246" t="s">
        <v>1588</v>
      </c>
      <c r="M412" t="str">
        <f t="shared" si="52"/>
        <v>IMBI132T5</v>
      </c>
      <c r="N412" t="str">
        <f>VLOOKUP(H412,'TNB Load'!$A$2:$F$1448,6,FALSE)</f>
        <v>WPKL</v>
      </c>
      <c r="O412">
        <f t="shared" si="60"/>
        <v>33.947800000000001</v>
      </c>
      <c r="R412">
        <v>51022</v>
      </c>
      <c r="S412" t="s">
        <v>1144</v>
      </c>
      <c r="T412" t="s">
        <v>808</v>
      </c>
      <c r="U412" t="str">
        <f t="shared" si="62"/>
        <v>MHTA132</v>
      </c>
      <c r="W412" t="str">
        <f t="shared" si="63"/>
        <v>MHTA132T3</v>
      </c>
      <c r="X412">
        <v>31.259599999999999</v>
      </c>
      <c r="Z412" t="s">
        <v>1144</v>
      </c>
      <c r="AA412" t="s">
        <v>808</v>
      </c>
      <c r="AB412" t="s">
        <v>2122</v>
      </c>
      <c r="AD412" t="s">
        <v>2125</v>
      </c>
      <c r="AE412">
        <v>31.259599999999999</v>
      </c>
      <c r="AF412">
        <v>51022</v>
      </c>
      <c r="AH412" t="s">
        <v>2311</v>
      </c>
    </row>
    <row r="413" spans="8:34" x14ac:dyDescent="0.25">
      <c r="H413">
        <f t="shared" si="61"/>
        <v>88161</v>
      </c>
      <c r="I413" s="246" t="s">
        <v>809</v>
      </c>
      <c r="J413" s="246">
        <v>48.3</v>
      </c>
      <c r="K413" s="246" t="str">
        <f t="shared" ref="K413:K414" si="67">K412</f>
        <v>IMBI132</v>
      </c>
      <c r="M413" t="str">
        <f t="shared" si="52"/>
        <v>IMBI132T4</v>
      </c>
      <c r="N413" t="str">
        <f>VLOOKUP(H413,'TNB Load'!$A$2:$F$1448,6,FALSE)</f>
        <v>WPKL</v>
      </c>
      <c r="O413">
        <f t="shared" si="60"/>
        <v>25.618200000000002</v>
      </c>
      <c r="R413">
        <v>51022</v>
      </c>
      <c r="S413" t="s">
        <v>1144</v>
      </c>
      <c r="T413" t="s">
        <v>809</v>
      </c>
      <c r="U413" t="str">
        <f t="shared" si="62"/>
        <v>MHTA132</v>
      </c>
      <c r="W413" t="str">
        <f t="shared" si="63"/>
        <v>MHTA132T4</v>
      </c>
      <c r="X413">
        <v>31.337299999999999</v>
      </c>
      <c r="Z413" t="s">
        <v>1144</v>
      </c>
      <c r="AA413" t="s">
        <v>809</v>
      </c>
      <c r="AB413" t="s">
        <v>2122</v>
      </c>
      <c r="AD413" t="s">
        <v>2126</v>
      </c>
      <c r="AE413">
        <v>31.337299999999999</v>
      </c>
      <c r="AF413">
        <v>51022</v>
      </c>
      <c r="AH413" t="s">
        <v>2310</v>
      </c>
    </row>
    <row r="414" spans="8:34" x14ac:dyDescent="0.25">
      <c r="H414">
        <f t="shared" si="61"/>
        <v>88161</v>
      </c>
      <c r="I414" s="246" t="s">
        <v>808</v>
      </c>
      <c r="J414" s="246">
        <v>48.3</v>
      </c>
      <c r="K414" s="246" t="str">
        <f t="shared" si="67"/>
        <v>IMBI132</v>
      </c>
      <c r="M414" t="str">
        <f t="shared" ref="M414:M477" si="68">K414&amp;I414</f>
        <v>IMBI132T3</v>
      </c>
      <c r="N414" t="str">
        <f>VLOOKUP(H414,'TNB Load'!$A$2:$F$1448,6,FALSE)</f>
        <v>WPKL</v>
      </c>
      <c r="O414">
        <f t="shared" ref="O414:O445" si="69">VLOOKUP(M414,$W$3:$X$1300,2,FALSE)</f>
        <v>25.444299999999998</v>
      </c>
      <c r="R414">
        <v>51005</v>
      </c>
      <c r="S414" t="s">
        <v>1174</v>
      </c>
      <c r="T414" t="s">
        <v>808</v>
      </c>
      <c r="U414" t="str">
        <f t="shared" si="62"/>
        <v>NKST132</v>
      </c>
      <c r="W414" t="str">
        <f t="shared" si="63"/>
        <v>NKST132T3</v>
      </c>
      <c r="X414">
        <v>29.206199999999999</v>
      </c>
      <c r="Z414" t="s">
        <v>1174</v>
      </c>
      <c r="AA414" t="s">
        <v>808</v>
      </c>
      <c r="AB414" t="s">
        <v>2127</v>
      </c>
      <c r="AD414" t="s">
        <v>2128</v>
      </c>
      <c r="AE414">
        <v>29.206199999999999</v>
      </c>
      <c r="AF414">
        <v>51005</v>
      </c>
      <c r="AH414" t="s">
        <v>2309</v>
      </c>
    </row>
    <row r="415" spans="8:34" x14ac:dyDescent="0.25">
      <c r="H415">
        <f t="shared" si="61"/>
        <v>51011</v>
      </c>
      <c r="I415" s="246" t="s">
        <v>810</v>
      </c>
      <c r="J415" s="246">
        <v>48.3</v>
      </c>
      <c r="K415" s="246" t="s">
        <v>1589</v>
      </c>
      <c r="M415" t="str">
        <f t="shared" si="68"/>
        <v>KDSA132T5</v>
      </c>
      <c r="N415" t="str">
        <f>VLOOKUP(H415,'TNB Load'!$A$2:$F$1448,6,FALSE)</f>
        <v>SELANGOR</v>
      </c>
      <c r="O415">
        <f t="shared" si="69"/>
        <v>40.815199999999997</v>
      </c>
      <c r="R415">
        <v>51005</v>
      </c>
      <c r="S415" t="s">
        <v>1174</v>
      </c>
      <c r="T415" t="s">
        <v>809</v>
      </c>
      <c r="U415" t="str">
        <f t="shared" si="62"/>
        <v>NKST132</v>
      </c>
      <c r="W415" t="str">
        <f t="shared" si="63"/>
        <v>NKST132T4</v>
      </c>
      <c r="X415">
        <v>29.3491</v>
      </c>
      <c r="Z415" t="s">
        <v>1174</v>
      </c>
      <c r="AA415" t="s">
        <v>809</v>
      </c>
      <c r="AB415" t="s">
        <v>2127</v>
      </c>
      <c r="AD415" t="s">
        <v>2129</v>
      </c>
      <c r="AE415">
        <v>29.3491</v>
      </c>
      <c r="AF415">
        <v>51005</v>
      </c>
      <c r="AH415" t="s">
        <v>2077</v>
      </c>
    </row>
    <row r="416" spans="8:34" x14ac:dyDescent="0.25">
      <c r="H416">
        <f t="shared" si="61"/>
        <v>51011</v>
      </c>
      <c r="I416" s="246" t="s">
        <v>809</v>
      </c>
      <c r="J416" s="246">
        <v>48.3</v>
      </c>
      <c r="K416" s="246" t="str">
        <f t="shared" ref="K416:K417" si="70">K415</f>
        <v>KDSA132</v>
      </c>
      <c r="M416" t="str">
        <f t="shared" si="68"/>
        <v>KDSA132T4</v>
      </c>
      <c r="N416" t="str">
        <f>VLOOKUP(H416,'TNB Load'!$A$2:$F$1448,6,FALSE)</f>
        <v>SELANGOR</v>
      </c>
      <c r="O416">
        <f t="shared" si="69"/>
        <v>39.991999999999997</v>
      </c>
      <c r="R416">
        <v>51200</v>
      </c>
      <c r="S416" t="s">
        <v>1176</v>
      </c>
      <c r="T416" t="s">
        <v>804</v>
      </c>
      <c r="U416" t="str">
        <f t="shared" si="62"/>
        <v>NRWG132</v>
      </c>
      <c r="W416" t="str">
        <f t="shared" si="63"/>
        <v>NRWG132T1</v>
      </c>
      <c r="X416">
        <v>37.647599999999997</v>
      </c>
      <c r="Z416" t="s">
        <v>1176</v>
      </c>
      <c r="AA416" t="s">
        <v>804</v>
      </c>
      <c r="AB416" t="s">
        <v>1478</v>
      </c>
      <c r="AD416" t="s">
        <v>2130</v>
      </c>
      <c r="AE416">
        <v>37.647599999999997</v>
      </c>
      <c r="AF416">
        <v>51200</v>
      </c>
      <c r="AH416" t="s">
        <v>2076</v>
      </c>
    </row>
    <row r="417" spans="8:34" x14ac:dyDescent="0.25">
      <c r="H417">
        <f t="shared" si="61"/>
        <v>51011</v>
      </c>
      <c r="I417" s="246" t="s">
        <v>808</v>
      </c>
      <c r="J417" s="246">
        <v>48.3</v>
      </c>
      <c r="K417" s="246" t="str">
        <f t="shared" si="70"/>
        <v>KDSA132</v>
      </c>
      <c r="M417" t="str">
        <f t="shared" si="68"/>
        <v>KDSA132T3</v>
      </c>
      <c r="N417" t="str">
        <f>VLOOKUP(H417,'TNB Load'!$A$2:$F$1448,6,FALSE)</f>
        <v>SELANGOR</v>
      </c>
      <c r="O417">
        <f t="shared" si="69"/>
        <v>51.034599999999998</v>
      </c>
      <c r="R417">
        <v>51200</v>
      </c>
      <c r="S417" t="s">
        <v>1176</v>
      </c>
      <c r="T417" t="s">
        <v>807</v>
      </c>
      <c r="U417" t="str">
        <f t="shared" si="62"/>
        <v>NRWG132</v>
      </c>
      <c r="W417" t="str">
        <f t="shared" si="63"/>
        <v>NRWG132T2</v>
      </c>
      <c r="X417">
        <v>37.5762</v>
      </c>
      <c r="Z417" t="s">
        <v>1176</v>
      </c>
      <c r="AA417" t="s">
        <v>807</v>
      </c>
      <c r="AB417" t="s">
        <v>1478</v>
      </c>
      <c r="AD417" t="s">
        <v>2131</v>
      </c>
      <c r="AE417">
        <v>37.5762</v>
      </c>
      <c r="AF417">
        <v>51200</v>
      </c>
      <c r="AH417" t="s">
        <v>2075</v>
      </c>
    </row>
    <row r="418" spans="8:34" x14ac:dyDescent="0.25">
      <c r="H418">
        <f t="shared" si="61"/>
        <v>88133</v>
      </c>
      <c r="I418" s="246" t="s">
        <v>807</v>
      </c>
      <c r="J418" s="246">
        <v>48.3</v>
      </c>
      <c r="K418" s="246" t="s">
        <v>1590</v>
      </c>
      <c r="M418" t="str">
        <f t="shared" si="68"/>
        <v>GWAY132T2</v>
      </c>
      <c r="N418" t="str">
        <f>VLOOKUP(H418,'TNB Load'!$A$2:$F$1448,6,FALSE)</f>
        <v>WPKL</v>
      </c>
      <c r="O418">
        <f t="shared" si="69"/>
        <v>13.302</v>
      </c>
      <c r="R418">
        <v>51200</v>
      </c>
      <c r="S418" t="s">
        <v>1176</v>
      </c>
      <c r="T418" t="s">
        <v>808</v>
      </c>
      <c r="U418" t="str">
        <f t="shared" si="62"/>
        <v>NRWG132</v>
      </c>
      <c r="W418" t="str">
        <f t="shared" si="63"/>
        <v>NRWG132T3</v>
      </c>
      <c r="X418">
        <v>12.985200000000001</v>
      </c>
      <c r="Z418" t="s">
        <v>1176</v>
      </c>
      <c r="AA418" t="s">
        <v>808</v>
      </c>
      <c r="AB418" t="s">
        <v>1478</v>
      </c>
      <c r="AD418" t="s">
        <v>2132</v>
      </c>
      <c r="AE418">
        <v>12.985200000000001</v>
      </c>
      <c r="AF418">
        <v>51200</v>
      </c>
      <c r="AH418" t="s">
        <v>2298</v>
      </c>
    </row>
    <row r="419" spans="8:34" x14ac:dyDescent="0.25">
      <c r="H419">
        <f t="shared" si="61"/>
        <v>88133</v>
      </c>
      <c r="I419" s="246" t="s">
        <v>804</v>
      </c>
      <c r="J419" s="246">
        <v>48.3</v>
      </c>
      <c r="K419" s="246" t="str">
        <f>K418</f>
        <v>GWAY132</v>
      </c>
      <c r="M419" t="str">
        <f t="shared" si="68"/>
        <v>GWAY132T1</v>
      </c>
      <c r="N419" t="str">
        <f>VLOOKUP(H419,'TNB Load'!$A$2:$F$1448,6,FALSE)</f>
        <v>WPKL</v>
      </c>
      <c r="O419">
        <f t="shared" si="69"/>
        <v>13.3186</v>
      </c>
      <c r="R419">
        <v>51200</v>
      </c>
      <c r="S419" t="s">
        <v>1176</v>
      </c>
      <c r="T419" t="s">
        <v>809</v>
      </c>
      <c r="U419" t="str">
        <f t="shared" si="62"/>
        <v>NRWG132</v>
      </c>
      <c r="W419" t="str">
        <f t="shared" si="63"/>
        <v>NRWG132T4</v>
      </c>
      <c r="X419">
        <v>6.6593</v>
      </c>
      <c r="Z419" t="s">
        <v>1176</v>
      </c>
      <c r="AA419" t="s">
        <v>809</v>
      </c>
      <c r="AB419" t="s">
        <v>1478</v>
      </c>
      <c r="AD419" t="s">
        <v>2133</v>
      </c>
      <c r="AE419">
        <v>6.6593</v>
      </c>
      <c r="AF419">
        <v>51200</v>
      </c>
      <c r="AH419" t="s">
        <v>2297</v>
      </c>
    </row>
    <row r="420" spans="8:34" x14ac:dyDescent="0.25">
      <c r="H420">
        <f t="shared" si="61"/>
        <v>62126</v>
      </c>
      <c r="I420" s="246" t="s">
        <v>826</v>
      </c>
      <c r="J420" s="246">
        <v>48.3</v>
      </c>
      <c r="K420" s="246" t="s">
        <v>1591</v>
      </c>
      <c r="M420" t="str">
        <f t="shared" si="68"/>
        <v>JNKO132F2</v>
      </c>
      <c r="N420" t="str">
        <f>VLOOKUP(H420,'TNB Load'!$A$2:$F$1448,6,FALSE)</f>
        <v>P PINANG</v>
      </c>
      <c r="O420">
        <f t="shared" si="69"/>
        <v>3.32E-2</v>
      </c>
      <c r="R420">
        <v>51025</v>
      </c>
      <c r="S420" t="s">
        <v>1178</v>
      </c>
      <c r="T420" t="s">
        <v>804</v>
      </c>
      <c r="U420" t="str">
        <f t="shared" si="62"/>
        <v>NSDA132</v>
      </c>
      <c r="W420" t="str">
        <f t="shared" si="63"/>
        <v>NSDA132T1</v>
      </c>
      <c r="X420">
        <v>31.053599999999999</v>
      </c>
      <c r="Z420" t="s">
        <v>1178</v>
      </c>
      <c r="AA420" t="s">
        <v>804</v>
      </c>
      <c r="AB420" t="s">
        <v>1470</v>
      </c>
      <c r="AD420" t="s">
        <v>2134</v>
      </c>
      <c r="AE420">
        <v>31.053599999999999</v>
      </c>
      <c r="AF420">
        <v>51025</v>
      </c>
      <c r="AH420" t="s">
        <v>3139</v>
      </c>
    </row>
    <row r="421" spans="8:34" x14ac:dyDescent="0.25">
      <c r="H421">
        <f t="shared" si="61"/>
        <v>62126</v>
      </c>
      <c r="I421" s="246" t="s">
        <v>823</v>
      </c>
      <c r="J421" s="246">
        <v>48.3</v>
      </c>
      <c r="K421" s="246" t="str">
        <f>K420</f>
        <v>JNKO132</v>
      </c>
      <c r="M421" t="str">
        <f t="shared" si="68"/>
        <v>JNKO132F1</v>
      </c>
      <c r="N421" t="str">
        <f>VLOOKUP(H421,'TNB Load'!$A$2:$F$1448,6,FALSE)</f>
        <v>P PINANG</v>
      </c>
      <c r="O421">
        <f t="shared" si="69"/>
        <v>0.33339999999999997</v>
      </c>
      <c r="R421">
        <v>51025</v>
      </c>
      <c r="S421" t="s">
        <v>1178</v>
      </c>
      <c r="T421" t="s">
        <v>807</v>
      </c>
      <c r="U421" t="str">
        <f t="shared" si="62"/>
        <v>NSDA132</v>
      </c>
      <c r="W421" t="str">
        <f t="shared" si="63"/>
        <v>NSDA132T2</v>
      </c>
      <c r="X421">
        <v>31.091899999999999</v>
      </c>
      <c r="Z421" t="s">
        <v>1178</v>
      </c>
      <c r="AA421" t="s">
        <v>807</v>
      </c>
      <c r="AB421" t="s">
        <v>1470</v>
      </c>
      <c r="AD421" t="s">
        <v>2135</v>
      </c>
      <c r="AE421">
        <v>31.091899999999999</v>
      </c>
      <c r="AF421">
        <v>51025</v>
      </c>
      <c r="AH421" t="s">
        <v>3140</v>
      </c>
    </row>
    <row r="422" spans="8:34" x14ac:dyDescent="0.25">
      <c r="H422">
        <f t="shared" si="61"/>
        <v>62122</v>
      </c>
      <c r="I422" s="246" t="s">
        <v>807</v>
      </c>
      <c r="J422" s="246">
        <v>48.3</v>
      </c>
      <c r="K422" s="246" t="s">
        <v>1592</v>
      </c>
      <c r="M422" t="str">
        <f t="shared" si="68"/>
        <v>VDOR132T2</v>
      </c>
      <c r="N422" t="str">
        <f>VLOOKUP(H422,'TNB Load'!$A$2:$F$1448,6,FALSE)</f>
        <v>P PINANG</v>
      </c>
      <c r="O422">
        <f t="shared" si="69"/>
        <v>15.5097</v>
      </c>
      <c r="R422">
        <v>51025</v>
      </c>
      <c r="S422" t="s">
        <v>1178</v>
      </c>
      <c r="T422" t="s">
        <v>808</v>
      </c>
      <c r="U422" t="str">
        <f t="shared" si="62"/>
        <v>NSDA132</v>
      </c>
      <c r="W422" t="str">
        <f t="shared" si="63"/>
        <v>NSDA132T3</v>
      </c>
      <c r="X422">
        <v>4.6783999999999999</v>
      </c>
      <c r="Z422" t="s">
        <v>1178</v>
      </c>
      <c r="AA422" t="s">
        <v>808</v>
      </c>
      <c r="AB422" t="s">
        <v>1470</v>
      </c>
      <c r="AD422" t="s">
        <v>2136</v>
      </c>
      <c r="AE422">
        <v>4.6783999999999999</v>
      </c>
      <c r="AF422">
        <v>51025</v>
      </c>
      <c r="AH422" t="s">
        <v>1817</v>
      </c>
    </row>
    <row r="423" spans="8:34" x14ac:dyDescent="0.25">
      <c r="H423">
        <f t="shared" si="61"/>
        <v>62122</v>
      </c>
      <c r="I423" s="246" t="s">
        <v>804</v>
      </c>
      <c r="J423" s="246">
        <v>48.3</v>
      </c>
      <c r="K423" s="246" t="str">
        <f>K422</f>
        <v>VDOR132</v>
      </c>
      <c r="M423" t="str">
        <f t="shared" si="68"/>
        <v>VDOR132T1</v>
      </c>
      <c r="N423" t="str">
        <f>VLOOKUP(H423,'TNB Load'!$A$2:$F$1448,6,FALSE)</f>
        <v>P PINANG</v>
      </c>
      <c r="O423">
        <f t="shared" si="69"/>
        <v>12.69</v>
      </c>
      <c r="R423">
        <v>51025</v>
      </c>
      <c r="S423" t="s">
        <v>1178</v>
      </c>
      <c r="T423" t="s">
        <v>809</v>
      </c>
      <c r="U423" t="str">
        <f t="shared" si="62"/>
        <v>NSDA132</v>
      </c>
      <c r="W423" t="str">
        <f t="shared" si="63"/>
        <v>NSDA132T4</v>
      </c>
      <c r="X423">
        <v>6.0058999999999996</v>
      </c>
      <c r="Z423" t="s">
        <v>1178</v>
      </c>
      <c r="AA423" t="s">
        <v>809</v>
      </c>
      <c r="AB423" t="s">
        <v>1470</v>
      </c>
      <c r="AD423" t="s">
        <v>2137</v>
      </c>
      <c r="AE423">
        <v>6.0058999999999996</v>
      </c>
      <c r="AF423">
        <v>51025</v>
      </c>
      <c r="AH423" t="s">
        <v>1816</v>
      </c>
    </row>
    <row r="424" spans="8:34" x14ac:dyDescent="0.25">
      <c r="H424">
        <f t="shared" si="61"/>
        <v>63118</v>
      </c>
      <c r="I424" s="246" t="s">
        <v>807</v>
      </c>
      <c r="J424" s="246">
        <v>48.3</v>
      </c>
      <c r="K424" s="246" t="s">
        <v>1593</v>
      </c>
      <c r="M424" t="str">
        <f t="shared" si="68"/>
        <v>PBTR132T2</v>
      </c>
      <c r="N424" t="str">
        <f>VLOOKUP(H424,'TNB Load'!$A$2:$F$1448,6,FALSE)</f>
        <v>PERAK</v>
      </c>
      <c r="O424">
        <f t="shared" si="69"/>
        <v>22.1845</v>
      </c>
      <c r="R424">
        <v>51091</v>
      </c>
      <c r="S424" t="s">
        <v>1179</v>
      </c>
      <c r="T424" t="s">
        <v>804</v>
      </c>
      <c r="U424" t="str">
        <f t="shared" si="62"/>
        <v>NSPK132</v>
      </c>
      <c r="W424" t="str">
        <f t="shared" si="63"/>
        <v>NSPK132T1</v>
      </c>
      <c r="X424">
        <v>26.3079</v>
      </c>
      <c r="Z424" t="s">
        <v>1179</v>
      </c>
      <c r="AA424" t="s">
        <v>804</v>
      </c>
      <c r="AB424" t="s">
        <v>1471</v>
      </c>
      <c r="AD424" t="s">
        <v>2138</v>
      </c>
      <c r="AE424">
        <v>26.3079</v>
      </c>
      <c r="AF424">
        <v>51091</v>
      </c>
      <c r="AH424" t="s">
        <v>1895</v>
      </c>
    </row>
    <row r="425" spans="8:34" x14ac:dyDescent="0.25">
      <c r="H425">
        <f t="shared" si="61"/>
        <v>63118</v>
      </c>
      <c r="I425" s="246" t="s">
        <v>804</v>
      </c>
      <c r="J425" s="246">
        <v>48.3</v>
      </c>
      <c r="K425" s="246" t="str">
        <f>K424</f>
        <v>PBTR132</v>
      </c>
      <c r="M425" t="str">
        <f t="shared" si="68"/>
        <v>PBTR132T1</v>
      </c>
      <c r="N425" t="str">
        <f>VLOOKUP(H425,'TNB Load'!$A$2:$F$1448,6,FALSE)</f>
        <v>PERAK</v>
      </c>
      <c r="O425">
        <f t="shared" si="69"/>
        <v>19.1557</v>
      </c>
      <c r="R425">
        <v>51091</v>
      </c>
      <c r="S425" t="s">
        <v>1179</v>
      </c>
      <c r="T425" t="s">
        <v>807</v>
      </c>
      <c r="U425" t="str">
        <f t="shared" si="62"/>
        <v>NSPK132</v>
      </c>
      <c r="W425" t="str">
        <f t="shared" si="63"/>
        <v>NSPK132T2</v>
      </c>
      <c r="X425">
        <v>25.775600000000001</v>
      </c>
      <c r="Z425" t="s">
        <v>1179</v>
      </c>
      <c r="AA425" t="s">
        <v>807</v>
      </c>
      <c r="AB425" t="s">
        <v>1471</v>
      </c>
      <c r="AD425" t="s">
        <v>2139</v>
      </c>
      <c r="AE425">
        <v>25.775600000000001</v>
      </c>
      <c r="AF425">
        <v>51091</v>
      </c>
      <c r="AH425" t="s">
        <v>1894</v>
      </c>
    </row>
    <row r="426" spans="8:34" x14ac:dyDescent="0.25">
      <c r="H426">
        <f t="shared" si="61"/>
        <v>62111</v>
      </c>
      <c r="I426" s="246" t="s">
        <v>807</v>
      </c>
      <c r="J426" s="246">
        <v>48.3</v>
      </c>
      <c r="K426" s="246" t="s">
        <v>1594</v>
      </c>
      <c r="M426" t="str">
        <f t="shared" si="68"/>
        <v>NTBL132T2</v>
      </c>
      <c r="N426" t="str">
        <f>VLOOKUP(H426,'TNB Load'!$A$2:$F$1448,6,FALSE)</f>
        <v>P PINANG</v>
      </c>
      <c r="O426">
        <f t="shared" si="69"/>
        <v>14.825200000000001</v>
      </c>
      <c r="R426">
        <v>51091</v>
      </c>
      <c r="S426" t="s">
        <v>1179</v>
      </c>
      <c r="T426" t="s">
        <v>808</v>
      </c>
      <c r="U426" t="str">
        <f t="shared" si="62"/>
        <v>NSPK132</v>
      </c>
      <c r="W426" t="str">
        <f t="shared" si="63"/>
        <v>NSPK132T3</v>
      </c>
      <c r="X426">
        <v>6.8011999999999997</v>
      </c>
      <c r="Z426" t="s">
        <v>1179</v>
      </c>
      <c r="AA426" t="s">
        <v>808</v>
      </c>
      <c r="AB426" t="s">
        <v>1471</v>
      </c>
      <c r="AD426" t="s">
        <v>2140</v>
      </c>
      <c r="AE426">
        <v>6.8011999999999997</v>
      </c>
      <c r="AF426">
        <v>51091</v>
      </c>
      <c r="AH426" t="s">
        <v>1783</v>
      </c>
    </row>
    <row r="427" spans="8:34" x14ac:dyDescent="0.25">
      <c r="H427">
        <f t="shared" si="61"/>
        <v>62111</v>
      </c>
      <c r="I427" s="246" t="s">
        <v>804</v>
      </c>
      <c r="J427" s="246">
        <v>48.3</v>
      </c>
      <c r="K427" s="246" t="str">
        <f>K426</f>
        <v>NTBL132</v>
      </c>
      <c r="M427" t="str">
        <f t="shared" si="68"/>
        <v>NTBL132T1</v>
      </c>
      <c r="N427" t="str">
        <f>VLOOKUP(H427,'TNB Load'!$A$2:$F$1448,6,FALSE)</f>
        <v>P PINANG</v>
      </c>
      <c r="O427">
        <f t="shared" si="69"/>
        <v>11.9238</v>
      </c>
      <c r="R427">
        <v>51091</v>
      </c>
      <c r="S427" t="s">
        <v>1179</v>
      </c>
      <c r="T427" t="s">
        <v>809</v>
      </c>
      <c r="U427" t="str">
        <f t="shared" si="62"/>
        <v>NSPK132</v>
      </c>
      <c r="W427" t="str">
        <f t="shared" si="63"/>
        <v>NSPK132T4</v>
      </c>
      <c r="X427">
        <v>6.1778000000000004</v>
      </c>
      <c r="Z427" t="s">
        <v>1179</v>
      </c>
      <c r="AA427" t="s">
        <v>809</v>
      </c>
      <c r="AB427" t="s">
        <v>1471</v>
      </c>
      <c r="AD427" t="s">
        <v>2141</v>
      </c>
      <c r="AE427">
        <v>6.1778000000000004</v>
      </c>
      <c r="AF427">
        <v>51091</v>
      </c>
      <c r="AH427" t="s">
        <v>1782</v>
      </c>
    </row>
    <row r="428" spans="8:34" x14ac:dyDescent="0.25">
      <c r="H428">
        <f t="shared" si="61"/>
        <v>62135</v>
      </c>
      <c r="I428" t="s">
        <v>807</v>
      </c>
      <c r="J428">
        <v>48.2</v>
      </c>
      <c r="K428" s="252" t="s">
        <v>1807</v>
      </c>
      <c r="M428" t="str">
        <f t="shared" ref="M428:M429" si="71">K428&amp;I428</f>
        <v>SPNG132T2</v>
      </c>
      <c r="N428" t="str">
        <f>VLOOKUP(H428,'TNB Load'!$A$2:$F$1448,6,FALSE)</f>
        <v>P PINANG</v>
      </c>
      <c r="O428">
        <f t="shared" si="69"/>
        <v>25.937200000000001</v>
      </c>
      <c r="R428">
        <v>51023</v>
      </c>
      <c r="S428" t="s">
        <v>1181</v>
      </c>
      <c r="T428" t="s">
        <v>804</v>
      </c>
      <c r="U428" t="str">
        <f t="shared" si="62"/>
        <v>NUNI132</v>
      </c>
      <c r="W428" t="str">
        <f t="shared" si="63"/>
        <v>NUNI132T1</v>
      </c>
      <c r="X428">
        <v>12.718999999999999</v>
      </c>
      <c r="Z428" t="s">
        <v>1181</v>
      </c>
      <c r="AA428" t="s">
        <v>804</v>
      </c>
      <c r="AB428" t="s">
        <v>1439</v>
      </c>
      <c r="AD428" t="s">
        <v>2142</v>
      </c>
      <c r="AE428">
        <v>12.718999999999999</v>
      </c>
      <c r="AF428">
        <v>51023</v>
      </c>
      <c r="AH428" t="s">
        <v>1809</v>
      </c>
    </row>
    <row r="429" spans="8:34" x14ac:dyDescent="0.25">
      <c r="H429">
        <f t="shared" si="61"/>
        <v>62135</v>
      </c>
      <c r="I429" t="s">
        <v>804</v>
      </c>
      <c r="J429">
        <v>48.2</v>
      </c>
      <c r="K429" s="252" t="s">
        <v>1807</v>
      </c>
      <c r="M429" t="str">
        <f t="shared" si="71"/>
        <v>SPNG132T1</v>
      </c>
      <c r="N429" t="str">
        <f>VLOOKUP(H429,'TNB Load'!$A$2:$F$1448,6,FALSE)</f>
        <v>P PINANG</v>
      </c>
      <c r="O429">
        <f t="shared" si="69"/>
        <v>27.458300000000001</v>
      </c>
      <c r="R429">
        <v>51023</v>
      </c>
      <c r="S429" t="s">
        <v>1181</v>
      </c>
      <c r="T429" t="s">
        <v>807</v>
      </c>
      <c r="U429" t="str">
        <f t="shared" si="62"/>
        <v>NUNI132</v>
      </c>
      <c r="W429" t="str">
        <f t="shared" si="63"/>
        <v>NUNI132T2</v>
      </c>
      <c r="X429">
        <v>13.096</v>
      </c>
      <c r="Z429" t="s">
        <v>1181</v>
      </c>
      <c r="AA429" t="s">
        <v>807</v>
      </c>
      <c r="AB429" t="s">
        <v>1439</v>
      </c>
      <c r="AD429" t="s">
        <v>2143</v>
      </c>
      <c r="AE429">
        <v>13.096</v>
      </c>
      <c r="AF429">
        <v>51023</v>
      </c>
      <c r="AH429" t="s">
        <v>1808</v>
      </c>
    </row>
    <row r="430" spans="8:34" x14ac:dyDescent="0.25">
      <c r="H430">
        <f t="shared" si="61"/>
        <v>51060</v>
      </c>
      <c r="I430" t="s">
        <v>807</v>
      </c>
      <c r="J430">
        <v>48.2</v>
      </c>
      <c r="K430" t="s">
        <v>1595</v>
      </c>
      <c r="M430" t="str">
        <f t="shared" si="68"/>
        <v>BHGT132T2</v>
      </c>
      <c r="N430" t="str">
        <f>VLOOKUP(H430,'TNB Load'!$A$2:$F$1448,6,FALSE)</f>
        <v>SELANGOR</v>
      </c>
      <c r="O430">
        <f t="shared" si="69"/>
        <v>9.6270000000000007</v>
      </c>
      <c r="R430">
        <v>51023</v>
      </c>
      <c r="S430" t="s">
        <v>1181</v>
      </c>
      <c r="T430" t="s">
        <v>808</v>
      </c>
      <c r="U430" t="str">
        <f t="shared" si="62"/>
        <v>NUNI132</v>
      </c>
      <c r="W430" t="str">
        <f t="shared" si="63"/>
        <v>NUNI132T3</v>
      </c>
      <c r="X430">
        <v>34.116599999999998</v>
      </c>
      <c r="Z430" t="s">
        <v>1181</v>
      </c>
      <c r="AA430" t="s">
        <v>808</v>
      </c>
      <c r="AB430" t="s">
        <v>1439</v>
      </c>
      <c r="AD430" t="s">
        <v>2144</v>
      </c>
      <c r="AE430">
        <v>34.116599999999998</v>
      </c>
      <c r="AF430">
        <v>51023</v>
      </c>
      <c r="AH430" t="s">
        <v>2001</v>
      </c>
    </row>
    <row r="431" spans="8:34" x14ac:dyDescent="0.25">
      <c r="H431">
        <f t="shared" si="61"/>
        <v>51060</v>
      </c>
      <c r="I431" t="s">
        <v>804</v>
      </c>
      <c r="J431">
        <v>48.2</v>
      </c>
      <c r="K431" t="str">
        <f>K430</f>
        <v>BHGT132</v>
      </c>
      <c r="M431" t="str">
        <f t="shared" si="68"/>
        <v>BHGT132T1</v>
      </c>
      <c r="N431" t="str">
        <f>VLOOKUP(H431,'TNB Load'!$A$2:$F$1448,6,FALSE)</f>
        <v>SELANGOR</v>
      </c>
      <c r="O431">
        <f t="shared" si="69"/>
        <v>5.6238000000000001</v>
      </c>
      <c r="R431">
        <v>51023</v>
      </c>
      <c r="S431" t="s">
        <v>1181</v>
      </c>
      <c r="T431" t="s">
        <v>809</v>
      </c>
      <c r="U431" t="str">
        <f t="shared" si="62"/>
        <v>NUNI132</v>
      </c>
      <c r="W431" t="str">
        <f t="shared" si="63"/>
        <v>NUNI132T4</v>
      </c>
      <c r="X431">
        <v>34.812399999999997</v>
      </c>
      <c r="Z431" t="s">
        <v>1181</v>
      </c>
      <c r="AA431" t="s">
        <v>809</v>
      </c>
      <c r="AB431" t="s">
        <v>1439</v>
      </c>
      <c r="AD431" t="s">
        <v>2145</v>
      </c>
      <c r="AE431">
        <v>34.812399999999997</v>
      </c>
      <c r="AF431">
        <v>51023</v>
      </c>
      <c r="AH431" t="s">
        <v>2000</v>
      </c>
    </row>
    <row r="432" spans="8:34" x14ac:dyDescent="0.25">
      <c r="H432">
        <f t="shared" si="61"/>
        <v>96152</v>
      </c>
      <c r="I432" t="s">
        <v>809</v>
      </c>
      <c r="J432">
        <v>48.2</v>
      </c>
      <c r="K432" t="s">
        <v>1596</v>
      </c>
      <c r="M432" t="str">
        <f t="shared" si="68"/>
        <v>AMID132T4</v>
      </c>
      <c r="N432" t="str">
        <f>VLOOKUP(H432,'TNB Load'!$A$2:$F$1448,6,FALSE)</f>
        <v>NS</v>
      </c>
      <c r="O432">
        <f t="shared" si="69"/>
        <v>31.603400000000001</v>
      </c>
      <c r="R432">
        <v>88174</v>
      </c>
      <c r="S432" t="s">
        <v>1193</v>
      </c>
      <c r="T432" t="s">
        <v>804</v>
      </c>
      <c r="U432" t="str">
        <f t="shared" si="62"/>
        <v>PCHJ132</v>
      </c>
      <c r="W432" t="str">
        <f t="shared" si="63"/>
        <v>PCHJ132T1</v>
      </c>
      <c r="X432">
        <v>30.607299999999999</v>
      </c>
      <c r="Z432" t="s">
        <v>1193</v>
      </c>
      <c r="AA432" t="s">
        <v>804</v>
      </c>
      <c r="AB432" t="s">
        <v>1469</v>
      </c>
      <c r="AD432" t="s">
        <v>2146</v>
      </c>
      <c r="AE432">
        <v>30.607299999999999</v>
      </c>
      <c r="AF432">
        <v>88174</v>
      </c>
      <c r="AH432" t="s">
        <v>2422</v>
      </c>
    </row>
    <row r="433" spans="8:34" x14ac:dyDescent="0.25">
      <c r="H433">
        <f t="shared" si="61"/>
        <v>96152</v>
      </c>
      <c r="I433" t="s">
        <v>808</v>
      </c>
      <c r="J433">
        <v>48.2</v>
      </c>
      <c r="K433" t="str">
        <f t="shared" ref="K433:K435" si="72">K432</f>
        <v>AMID132</v>
      </c>
      <c r="M433" t="str">
        <f t="shared" si="68"/>
        <v>AMID132T3</v>
      </c>
      <c r="N433" t="str">
        <f>VLOOKUP(H433,'TNB Load'!$A$2:$F$1448,6,FALSE)</f>
        <v>NS</v>
      </c>
      <c r="O433">
        <f t="shared" si="69"/>
        <v>31.955500000000001</v>
      </c>
      <c r="R433">
        <v>88174</v>
      </c>
      <c r="S433" t="s">
        <v>1193</v>
      </c>
      <c r="T433" t="s">
        <v>807</v>
      </c>
      <c r="U433" t="str">
        <f t="shared" si="62"/>
        <v>PCHJ132</v>
      </c>
      <c r="W433" t="str">
        <f t="shared" si="63"/>
        <v>PCHJ132T2</v>
      </c>
      <c r="X433">
        <v>30.647600000000001</v>
      </c>
      <c r="Z433" t="s">
        <v>1193</v>
      </c>
      <c r="AA433" t="s">
        <v>807</v>
      </c>
      <c r="AB433" t="s">
        <v>1469</v>
      </c>
      <c r="AD433" t="s">
        <v>2147</v>
      </c>
      <c r="AE433">
        <v>30.647600000000001</v>
      </c>
      <c r="AF433">
        <v>88174</v>
      </c>
      <c r="AH433" t="s">
        <v>2421</v>
      </c>
    </row>
    <row r="434" spans="8:34" x14ac:dyDescent="0.25">
      <c r="H434">
        <f t="shared" si="61"/>
        <v>96152</v>
      </c>
      <c r="I434" t="s">
        <v>807</v>
      </c>
      <c r="J434">
        <v>48.2</v>
      </c>
      <c r="K434" t="str">
        <f t="shared" si="72"/>
        <v>AMID132</v>
      </c>
      <c r="M434" t="str">
        <f t="shared" si="68"/>
        <v>AMID132T2</v>
      </c>
      <c r="N434" t="str">
        <f>VLOOKUP(H434,'TNB Load'!$A$2:$F$1448,6,FALSE)</f>
        <v>NS</v>
      </c>
      <c r="O434">
        <f t="shared" si="69"/>
        <v>7.4691000000000001</v>
      </c>
      <c r="R434">
        <v>88174</v>
      </c>
      <c r="S434" t="s">
        <v>1193</v>
      </c>
      <c r="T434" t="s">
        <v>808</v>
      </c>
      <c r="U434" t="str">
        <f t="shared" si="62"/>
        <v>PCHJ132</v>
      </c>
      <c r="W434" t="str">
        <f t="shared" si="63"/>
        <v>PCHJ132T3</v>
      </c>
      <c r="X434">
        <v>5.0594000000000001</v>
      </c>
      <c r="Z434" t="s">
        <v>1193</v>
      </c>
      <c r="AA434" t="s">
        <v>808</v>
      </c>
      <c r="AB434" t="s">
        <v>1469</v>
      </c>
      <c r="AD434" t="s">
        <v>2148</v>
      </c>
      <c r="AE434">
        <v>5.0594000000000001</v>
      </c>
      <c r="AF434">
        <v>88174</v>
      </c>
      <c r="AH434" t="s">
        <v>2420</v>
      </c>
    </row>
    <row r="435" spans="8:34" x14ac:dyDescent="0.25">
      <c r="H435">
        <f t="shared" si="61"/>
        <v>96152</v>
      </c>
      <c r="I435" t="s">
        <v>804</v>
      </c>
      <c r="J435">
        <v>48.2</v>
      </c>
      <c r="K435" t="str">
        <f t="shared" si="72"/>
        <v>AMID132</v>
      </c>
      <c r="M435" t="str">
        <f t="shared" si="68"/>
        <v>AMID132T1</v>
      </c>
      <c r="N435" t="str">
        <f>VLOOKUP(H435,'TNB Load'!$A$2:$F$1448,6,FALSE)</f>
        <v>NS</v>
      </c>
      <c r="O435">
        <f t="shared" si="69"/>
        <v>6.7225000000000001</v>
      </c>
      <c r="R435">
        <v>88174</v>
      </c>
      <c r="S435" t="s">
        <v>1193</v>
      </c>
      <c r="T435" t="s">
        <v>809</v>
      </c>
      <c r="U435" t="str">
        <f t="shared" si="62"/>
        <v>PCHJ132</v>
      </c>
      <c r="W435" t="str">
        <f t="shared" si="63"/>
        <v>PCHJ132T4</v>
      </c>
      <c r="X435">
        <v>5.0500999999999996</v>
      </c>
      <c r="Z435" t="s">
        <v>1193</v>
      </c>
      <c r="AA435" t="s">
        <v>809</v>
      </c>
      <c r="AB435" t="s">
        <v>1469</v>
      </c>
      <c r="AD435" t="s">
        <v>2149</v>
      </c>
      <c r="AE435">
        <v>5.0500999999999996</v>
      </c>
      <c r="AF435">
        <v>88174</v>
      </c>
      <c r="AH435" t="s">
        <v>2419</v>
      </c>
    </row>
    <row r="436" spans="8:34" x14ac:dyDescent="0.25">
      <c r="H436">
        <f t="shared" si="61"/>
        <v>96156</v>
      </c>
      <c r="I436" t="s">
        <v>809</v>
      </c>
      <c r="J436">
        <v>48.2</v>
      </c>
      <c r="K436" t="s">
        <v>1597</v>
      </c>
      <c r="M436" t="str">
        <f t="shared" si="68"/>
        <v>MTIN132T4</v>
      </c>
      <c r="N436" t="str">
        <f>VLOOKUP(H436,'TNB Load'!$A$2:$F$1448,6,FALSE)</f>
        <v>NS</v>
      </c>
      <c r="O436">
        <f t="shared" si="69"/>
        <v>19.993400000000001</v>
      </c>
      <c r="R436">
        <v>51103</v>
      </c>
      <c r="S436" t="s">
        <v>1194</v>
      </c>
      <c r="T436" t="s">
        <v>808</v>
      </c>
      <c r="U436" t="str">
        <f t="shared" si="62"/>
        <v>PCHP132</v>
      </c>
      <c r="W436" t="str">
        <f t="shared" si="63"/>
        <v>PCHP132T3</v>
      </c>
      <c r="X436">
        <v>25.645199999999999</v>
      </c>
      <c r="Z436" t="s">
        <v>1194</v>
      </c>
      <c r="AA436" t="s">
        <v>808</v>
      </c>
      <c r="AB436" t="s">
        <v>1547</v>
      </c>
      <c r="AD436" t="s">
        <v>2150</v>
      </c>
      <c r="AE436">
        <v>25.645199999999999</v>
      </c>
      <c r="AF436">
        <v>51103</v>
      </c>
      <c r="AH436" t="s">
        <v>2448</v>
      </c>
    </row>
    <row r="437" spans="8:34" x14ac:dyDescent="0.25">
      <c r="H437">
        <f t="shared" si="61"/>
        <v>96156</v>
      </c>
      <c r="I437" t="s">
        <v>808</v>
      </c>
      <c r="J437">
        <v>48.2</v>
      </c>
      <c r="K437" t="str">
        <f>K436</f>
        <v>MTIN132</v>
      </c>
      <c r="M437" t="str">
        <f t="shared" si="68"/>
        <v>MTIN132T3</v>
      </c>
      <c r="N437" t="str">
        <f>VLOOKUP(H437,'TNB Load'!$A$2:$F$1448,6,FALSE)</f>
        <v>NS</v>
      </c>
      <c r="O437">
        <f t="shared" si="69"/>
        <v>0</v>
      </c>
      <c r="R437">
        <v>551103</v>
      </c>
      <c r="S437" t="s">
        <v>1195</v>
      </c>
      <c r="T437" t="s">
        <v>804</v>
      </c>
      <c r="U437" t="str">
        <f t="shared" si="62"/>
        <v>PCHP132</v>
      </c>
      <c r="W437" t="str">
        <f t="shared" si="63"/>
        <v>PCHP132T1</v>
      </c>
      <c r="X437">
        <v>46.198799999999999</v>
      </c>
      <c r="Z437" t="s">
        <v>1195</v>
      </c>
      <c r="AA437" t="s">
        <v>804</v>
      </c>
      <c r="AB437" t="s">
        <v>1547</v>
      </c>
      <c r="AD437" t="s">
        <v>2151</v>
      </c>
      <c r="AE437">
        <v>46.198799999999999</v>
      </c>
      <c r="AF437">
        <v>551103</v>
      </c>
      <c r="AH437" t="s">
        <v>2447</v>
      </c>
    </row>
    <row r="438" spans="8:34" x14ac:dyDescent="0.25">
      <c r="H438">
        <f t="shared" si="61"/>
        <v>96188</v>
      </c>
      <c r="I438" t="s">
        <v>809</v>
      </c>
      <c r="J438">
        <v>48.2</v>
      </c>
      <c r="K438" t="s">
        <v>1598</v>
      </c>
      <c r="M438" t="str">
        <f t="shared" si="68"/>
        <v>PJAM132T4</v>
      </c>
      <c r="N438" t="str">
        <f>VLOOKUP(H438,'TNB Load'!$A$2:$F$1448,6,FALSE)</f>
        <v>NS</v>
      </c>
      <c r="O438">
        <f t="shared" si="69"/>
        <v>2.9615</v>
      </c>
      <c r="R438">
        <v>551103</v>
      </c>
      <c r="S438" t="s">
        <v>1195</v>
      </c>
      <c r="T438" t="s">
        <v>807</v>
      </c>
      <c r="U438" t="str">
        <f t="shared" si="62"/>
        <v>PCHP132</v>
      </c>
      <c r="W438" t="str">
        <f t="shared" si="63"/>
        <v>PCHP132T2</v>
      </c>
      <c r="X438">
        <v>46.370699999999999</v>
      </c>
      <c r="Z438" t="s">
        <v>1195</v>
      </c>
      <c r="AA438" t="s">
        <v>807</v>
      </c>
      <c r="AB438" t="s">
        <v>1547</v>
      </c>
      <c r="AD438" t="s">
        <v>2152</v>
      </c>
      <c r="AE438">
        <v>46.370699999999999</v>
      </c>
      <c r="AF438">
        <v>551103</v>
      </c>
      <c r="AH438" t="s">
        <v>2456</v>
      </c>
    </row>
    <row r="439" spans="8:34" x14ac:dyDescent="0.25">
      <c r="H439">
        <f t="shared" si="61"/>
        <v>96188</v>
      </c>
      <c r="I439" t="s">
        <v>808</v>
      </c>
      <c r="J439">
        <v>48.2</v>
      </c>
      <c r="K439" t="str">
        <f t="shared" ref="K439:K441" si="73">K438</f>
        <v>PJAM132</v>
      </c>
      <c r="M439" t="str">
        <f t="shared" si="68"/>
        <v>PJAM132T3</v>
      </c>
      <c r="N439" t="str">
        <f>VLOOKUP(H439,'TNB Load'!$A$2:$F$1448,6,FALSE)</f>
        <v>NS</v>
      </c>
      <c r="O439">
        <f t="shared" si="69"/>
        <v>2.7751000000000001</v>
      </c>
      <c r="R439">
        <v>63102</v>
      </c>
      <c r="S439" t="s">
        <v>1198</v>
      </c>
      <c r="T439" t="s">
        <v>804</v>
      </c>
      <c r="U439" t="str">
        <f t="shared" si="62"/>
        <v>PCTY132</v>
      </c>
      <c r="W439" t="str">
        <f t="shared" si="63"/>
        <v>PCTY132T1</v>
      </c>
      <c r="X439">
        <v>7.8646000000000003</v>
      </c>
      <c r="Z439" t="s">
        <v>1198</v>
      </c>
      <c r="AA439" t="s">
        <v>804</v>
      </c>
      <c r="AB439" t="s">
        <v>2153</v>
      </c>
      <c r="AD439" t="s">
        <v>2154</v>
      </c>
      <c r="AE439">
        <v>7.8646000000000003</v>
      </c>
      <c r="AF439">
        <v>63102</v>
      </c>
      <c r="AH439" t="s">
        <v>2455</v>
      </c>
    </row>
    <row r="440" spans="8:34" x14ac:dyDescent="0.25">
      <c r="H440">
        <f t="shared" si="61"/>
        <v>96188</v>
      </c>
      <c r="I440" t="s">
        <v>807</v>
      </c>
      <c r="J440">
        <v>48.2</v>
      </c>
      <c r="K440" t="str">
        <f t="shared" si="73"/>
        <v>PJAM132</v>
      </c>
      <c r="M440" t="str">
        <f t="shared" si="68"/>
        <v>PJAM132T2</v>
      </c>
      <c r="N440" t="str">
        <f>VLOOKUP(H440,'TNB Load'!$A$2:$F$1448,6,FALSE)</f>
        <v>NS</v>
      </c>
      <c r="O440">
        <f t="shared" si="69"/>
        <v>7.1501000000000001</v>
      </c>
      <c r="R440">
        <v>63102</v>
      </c>
      <c r="S440" t="s">
        <v>1198</v>
      </c>
      <c r="T440" t="s">
        <v>807</v>
      </c>
      <c r="U440" t="str">
        <f t="shared" si="62"/>
        <v>PCTY132</v>
      </c>
      <c r="W440" t="str">
        <f t="shared" si="63"/>
        <v>PCTY132T2</v>
      </c>
      <c r="X440">
        <v>12.387700000000001</v>
      </c>
      <c r="Z440" t="s">
        <v>1198</v>
      </c>
      <c r="AA440" t="s">
        <v>807</v>
      </c>
      <c r="AB440" t="s">
        <v>2153</v>
      </c>
      <c r="AD440" t="s">
        <v>2155</v>
      </c>
      <c r="AE440">
        <v>12.387700000000001</v>
      </c>
      <c r="AF440">
        <v>63102</v>
      </c>
      <c r="AH440" t="s">
        <v>2454</v>
      </c>
    </row>
    <row r="441" spans="8:34" x14ac:dyDescent="0.25">
      <c r="H441">
        <f t="shared" si="61"/>
        <v>96188</v>
      </c>
      <c r="I441" t="s">
        <v>804</v>
      </c>
      <c r="J441">
        <v>48.2</v>
      </c>
      <c r="K441" t="str">
        <f t="shared" si="73"/>
        <v>PJAM132</v>
      </c>
      <c r="M441" t="str">
        <f t="shared" si="68"/>
        <v>PJAM132T1</v>
      </c>
      <c r="N441" t="str">
        <f>VLOOKUP(H441,'TNB Load'!$A$2:$F$1448,6,FALSE)</f>
        <v>NS</v>
      </c>
      <c r="O441">
        <f t="shared" si="69"/>
        <v>7.5716000000000001</v>
      </c>
      <c r="R441">
        <v>63102</v>
      </c>
      <c r="S441" t="s">
        <v>1198</v>
      </c>
      <c r="T441" t="s">
        <v>808</v>
      </c>
      <c r="U441" t="str">
        <f t="shared" si="62"/>
        <v>PCTY132</v>
      </c>
      <c r="W441" t="str">
        <f t="shared" si="63"/>
        <v>PCTY132T3</v>
      </c>
      <c r="X441">
        <v>7.3178999999999998</v>
      </c>
      <c r="Z441" t="s">
        <v>1198</v>
      </c>
      <c r="AA441" t="s">
        <v>808</v>
      </c>
      <c r="AB441" t="s">
        <v>2153</v>
      </c>
      <c r="AD441" t="s">
        <v>2156</v>
      </c>
      <c r="AE441">
        <v>7.3178999999999998</v>
      </c>
      <c r="AF441">
        <v>63102</v>
      </c>
      <c r="AH441" t="s">
        <v>2453</v>
      </c>
    </row>
    <row r="442" spans="8:34" x14ac:dyDescent="0.25">
      <c r="H442">
        <f t="shared" si="61"/>
        <v>51092</v>
      </c>
      <c r="I442" t="s">
        <v>807</v>
      </c>
      <c r="J442">
        <v>48.2</v>
      </c>
      <c r="K442" t="s">
        <v>1599</v>
      </c>
      <c r="M442" t="str">
        <f t="shared" si="68"/>
        <v>KEST132T2</v>
      </c>
      <c r="N442" t="str">
        <f>VLOOKUP(H442,'TNB Load'!$A$2:$F$1448,6,FALSE)</f>
        <v>WPKL</v>
      </c>
      <c r="O442">
        <f t="shared" si="69"/>
        <v>45.7483</v>
      </c>
      <c r="R442">
        <v>63102</v>
      </c>
      <c r="S442" t="s">
        <v>1198</v>
      </c>
      <c r="T442" t="s">
        <v>809</v>
      </c>
      <c r="U442" t="str">
        <f t="shared" si="62"/>
        <v>PCTY132</v>
      </c>
      <c r="W442" t="str">
        <f t="shared" si="63"/>
        <v>PCTY132T4</v>
      </c>
      <c r="X442">
        <v>10.1717</v>
      </c>
      <c r="Z442" t="s">
        <v>1198</v>
      </c>
      <c r="AA442" t="s">
        <v>809</v>
      </c>
      <c r="AB442" t="s">
        <v>2153</v>
      </c>
      <c r="AD442" t="s">
        <v>2157</v>
      </c>
      <c r="AE442">
        <v>10.1717</v>
      </c>
      <c r="AF442">
        <v>63102</v>
      </c>
      <c r="AH442" t="s">
        <v>2322</v>
      </c>
    </row>
    <row r="443" spans="8:34" x14ac:dyDescent="0.25">
      <c r="H443">
        <f t="shared" si="61"/>
        <v>51092</v>
      </c>
      <c r="I443" t="s">
        <v>804</v>
      </c>
      <c r="J443">
        <v>48.2</v>
      </c>
      <c r="K443" t="str">
        <f>K442</f>
        <v>KEST132</v>
      </c>
      <c r="M443" t="str">
        <f t="shared" si="68"/>
        <v>KEST132T1</v>
      </c>
      <c r="N443" t="str">
        <f>VLOOKUP(H443,'TNB Load'!$A$2:$F$1448,6,FALSE)</f>
        <v>WPKL</v>
      </c>
      <c r="O443">
        <f t="shared" si="69"/>
        <v>45.934699999999999</v>
      </c>
      <c r="R443">
        <v>51049</v>
      </c>
      <c r="S443" t="s">
        <v>1212</v>
      </c>
      <c r="T443" t="s">
        <v>804</v>
      </c>
      <c r="U443" t="str">
        <f t="shared" si="62"/>
        <v>PIDH132</v>
      </c>
      <c r="W443" t="str">
        <f t="shared" si="63"/>
        <v>PIDH132T1</v>
      </c>
      <c r="X443">
        <v>41.472799999999999</v>
      </c>
      <c r="Z443" t="s">
        <v>1212</v>
      </c>
      <c r="AA443" t="s">
        <v>804</v>
      </c>
      <c r="AB443" t="s">
        <v>2158</v>
      </c>
      <c r="AD443" t="s">
        <v>2159</v>
      </c>
      <c r="AE443">
        <v>41.472799999999999</v>
      </c>
      <c r="AF443">
        <v>51049</v>
      </c>
      <c r="AH443" t="s">
        <v>2321</v>
      </c>
    </row>
    <row r="444" spans="8:34" x14ac:dyDescent="0.25">
      <c r="H444">
        <f t="shared" si="61"/>
        <v>51054</v>
      </c>
      <c r="I444" t="s">
        <v>807</v>
      </c>
      <c r="J444">
        <v>48.2</v>
      </c>
      <c r="K444" t="s">
        <v>1600</v>
      </c>
      <c r="M444" t="str">
        <f t="shared" si="68"/>
        <v>SMYH132T2</v>
      </c>
      <c r="N444" t="str">
        <f>VLOOKUP(H444,'TNB Load'!$A$2:$F$1448,6,FALSE)</f>
        <v>SELANGOR</v>
      </c>
      <c r="O444">
        <f t="shared" si="69"/>
        <v>12.1516</v>
      </c>
      <c r="R444">
        <v>51049</v>
      </c>
      <c r="S444" t="s">
        <v>1212</v>
      </c>
      <c r="T444" t="s">
        <v>807</v>
      </c>
      <c r="U444" t="str">
        <f t="shared" si="62"/>
        <v>PIDH132</v>
      </c>
      <c r="W444" t="str">
        <f t="shared" si="63"/>
        <v>PIDH132T2</v>
      </c>
      <c r="X444">
        <v>41.335000000000001</v>
      </c>
      <c r="Z444" t="s">
        <v>1212</v>
      </c>
      <c r="AA444" t="s">
        <v>807</v>
      </c>
      <c r="AB444" t="s">
        <v>2158</v>
      </c>
      <c r="AD444" t="s">
        <v>2160</v>
      </c>
      <c r="AE444">
        <v>41.335000000000001</v>
      </c>
      <c r="AF444">
        <v>51049</v>
      </c>
      <c r="AH444" t="s">
        <v>2224</v>
      </c>
    </row>
    <row r="445" spans="8:34" x14ac:dyDescent="0.25">
      <c r="H445">
        <f t="shared" si="61"/>
        <v>51054</v>
      </c>
      <c r="I445" t="s">
        <v>804</v>
      </c>
      <c r="J445">
        <v>48.2</v>
      </c>
      <c r="K445" t="str">
        <f>K444</f>
        <v>SMYH132</v>
      </c>
      <c r="M445" t="str">
        <f t="shared" si="68"/>
        <v>SMYH132T1</v>
      </c>
      <c r="N445" t="str">
        <f>VLOOKUP(H445,'TNB Load'!$A$2:$F$1448,6,FALSE)</f>
        <v>SELANGOR</v>
      </c>
      <c r="O445">
        <f t="shared" si="69"/>
        <v>8.4382999999999999</v>
      </c>
      <c r="R445">
        <v>51049</v>
      </c>
      <c r="S445" t="s">
        <v>1212</v>
      </c>
      <c r="T445" t="s">
        <v>808</v>
      </c>
      <c r="U445" t="str">
        <f t="shared" si="62"/>
        <v>PIDH132</v>
      </c>
      <c r="W445" t="str">
        <f t="shared" si="63"/>
        <v>PIDH132T3</v>
      </c>
      <c r="X445">
        <v>6.8777999999999997</v>
      </c>
      <c r="Z445" t="s">
        <v>1212</v>
      </c>
      <c r="AA445" t="s">
        <v>808</v>
      </c>
      <c r="AB445" t="s">
        <v>2158</v>
      </c>
      <c r="AD445" t="s">
        <v>2161</v>
      </c>
      <c r="AE445">
        <v>6.8777999999999997</v>
      </c>
      <c r="AF445">
        <v>51049</v>
      </c>
      <c r="AH445" t="s">
        <v>2223</v>
      </c>
    </row>
    <row r="446" spans="8:34" x14ac:dyDescent="0.25">
      <c r="H446">
        <f t="shared" si="61"/>
        <v>51053</v>
      </c>
      <c r="I446" t="s">
        <v>812</v>
      </c>
      <c r="J446">
        <v>48.2</v>
      </c>
      <c r="K446" t="s">
        <v>1601</v>
      </c>
      <c r="M446" t="str">
        <f t="shared" si="68"/>
        <v>BRNG132T6</v>
      </c>
      <c r="N446" t="str">
        <f>VLOOKUP(H446,'TNB Load'!$A$2:$F$1448,6,FALSE)</f>
        <v>SELANGOR</v>
      </c>
      <c r="O446">
        <f t="shared" ref="O446:O477" si="74">VLOOKUP(M446,$W$3:$X$1300,2,FALSE)</f>
        <v>33.675400000000003</v>
      </c>
      <c r="R446">
        <v>51049</v>
      </c>
      <c r="S446" t="s">
        <v>1212</v>
      </c>
      <c r="T446" t="s">
        <v>809</v>
      </c>
      <c r="U446" t="str">
        <f t="shared" si="62"/>
        <v>PIDH132</v>
      </c>
      <c r="W446" t="str">
        <f t="shared" si="63"/>
        <v>PIDH132T4</v>
      </c>
      <c r="X446">
        <v>12.9344</v>
      </c>
      <c r="Z446" t="s">
        <v>1212</v>
      </c>
      <c r="AA446" t="s">
        <v>809</v>
      </c>
      <c r="AB446" t="s">
        <v>2158</v>
      </c>
      <c r="AD446" t="s">
        <v>2162</v>
      </c>
      <c r="AE446">
        <v>12.9344</v>
      </c>
      <c r="AF446">
        <v>51049</v>
      </c>
      <c r="AH446" t="s">
        <v>2026</v>
      </c>
    </row>
    <row r="447" spans="8:34" x14ac:dyDescent="0.25">
      <c r="H447">
        <f t="shared" si="61"/>
        <v>51053</v>
      </c>
      <c r="I447" t="s">
        <v>810</v>
      </c>
      <c r="J447">
        <v>48.2</v>
      </c>
      <c r="K447" t="str">
        <f t="shared" ref="K447:K449" si="75">K446</f>
        <v>BRNG132</v>
      </c>
      <c r="M447" t="str">
        <f t="shared" si="68"/>
        <v>BRNG132T5</v>
      </c>
      <c r="N447" t="str">
        <f>VLOOKUP(H447,'TNB Load'!$A$2:$F$1448,6,FALSE)</f>
        <v>SELANGOR</v>
      </c>
      <c r="O447">
        <f t="shared" si="74"/>
        <v>34.000599999999999</v>
      </c>
      <c r="R447">
        <v>51049</v>
      </c>
      <c r="S447" t="s">
        <v>1212</v>
      </c>
      <c r="T447" t="s">
        <v>810</v>
      </c>
      <c r="U447" t="str">
        <f t="shared" si="62"/>
        <v>PIDH132</v>
      </c>
      <c r="W447" t="str">
        <f t="shared" si="63"/>
        <v>PIDH132T5</v>
      </c>
      <c r="X447">
        <v>39.991999999999997</v>
      </c>
      <c r="Z447" t="s">
        <v>1212</v>
      </c>
      <c r="AA447" t="s">
        <v>810</v>
      </c>
      <c r="AB447" t="s">
        <v>2158</v>
      </c>
      <c r="AD447" t="s">
        <v>2163</v>
      </c>
      <c r="AE447">
        <v>39.991999999999997</v>
      </c>
      <c r="AF447">
        <v>51049</v>
      </c>
      <c r="AH447" t="s">
        <v>2025</v>
      </c>
    </row>
    <row r="448" spans="8:34" x14ac:dyDescent="0.25">
      <c r="H448">
        <f t="shared" si="61"/>
        <v>51053</v>
      </c>
      <c r="I448" t="s">
        <v>807</v>
      </c>
      <c r="J448">
        <v>48.2</v>
      </c>
      <c r="K448" t="str">
        <f t="shared" si="75"/>
        <v>BRNG132</v>
      </c>
      <c r="M448" t="str">
        <f t="shared" si="68"/>
        <v>BRNG132T2</v>
      </c>
      <c r="N448" t="str">
        <f>VLOOKUP(H448,'TNB Load'!$A$2:$F$1448,6,FALSE)</f>
        <v>SELANGOR</v>
      </c>
      <c r="O448">
        <f t="shared" si="74"/>
        <v>19.687899999999999</v>
      </c>
      <c r="R448">
        <v>51049</v>
      </c>
      <c r="S448" t="s">
        <v>1212</v>
      </c>
      <c r="T448" t="s">
        <v>812</v>
      </c>
      <c r="U448" t="str">
        <f t="shared" si="62"/>
        <v>PIDH132</v>
      </c>
      <c r="W448" t="str">
        <f t="shared" si="63"/>
        <v>PIDH132T6</v>
      </c>
      <c r="X448">
        <v>38.172600000000003</v>
      </c>
      <c r="Z448" t="s">
        <v>1212</v>
      </c>
      <c r="AA448" t="s">
        <v>812</v>
      </c>
      <c r="AB448" t="s">
        <v>2158</v>
      </c>
      <c r="AD448" t="s">
        <v>2164</v>
      </c>
      <c r="AE448">
        <v>38.172600000000003</v>
      </c>
      <c r="AF448">
        <v>51049</v>
      </c>
      <c r="AH448" t="s">
        <v>2024</v>
      </c>
    </row>
    <row r="449" spans="8:34" x14ac:dyDescent="0.25">
      <c r="H449">
        <f t="shared" si="61"/>
        <v>51053</v>
      </c>
      <c r="I449" t="s">
        <v>804</v>
      </c>
      <c r="J449">
        <v>48.2</v>
      </c>
      <c r="K449" t="str">
        <f t="shared" si="75"/>
        <v>BRNG132</v>
      </c>
      <c r="M449" t="str">
        <f t="shared" si="68"/>
        <v>BRNG132T1</v>
      </c>
      <c r="N449" t="str">
        <f>VLOOKUP(H449,'TNB Load'!$A$2:$F$1448,6,FALSE)</f>
        <v>SELANGOR</v>
      </c>
      <c r="O449">
        <f t="shared" si="74"/>
        <v>0</v>
      </c>
      <c r="R449">
        <v>51082</v>
      </c>
      <c r="S449" t="s">
        <v>1215</v>
      </c>
      <c r="T449" t="s">
        <v>804</v>
      </c>
      <c r="U449" t="str">
        <f t="shared" si="62"/>
        <v>PJST132</v>
      </c>
      <c r="W449" t="str">
        <f t="shared" si="63"/>
        <v>PJST132T1</v>
      </c>
      <c r="X449">
        <v>26.5398</v>
      </c>
      <c r="Z449" t="s">
        <v>1215</v>
      </c>
      <c r="AA449" t="s">
        <v>804</v>
      </c>
      <c r="AB449" t="s">
        <v>1466</v>
      </c>
      <c r="AD449" t="s">
        <v>2165</v>
      </c>
      <c r="AE449">
        <v>26.5398</v>
      </c>
      <c r="AF449">
        <v>51082</v>
      </c>
      <c r="AH449" t="s">
        <v>2023</v>
      </c>
    </row>
    <row r="450" spans="8:34" x14ac:dyDescent="0.25">
      <c r="H450">
        <f t="shared" si="61"/>
        <v>88114</v>
      </c>
      <c r="I450" t="s">
        <v>807</v>
      </c>
      <c r="J450">
        <v>48.2</v>
      </c>
      <c r="K450" t="s">
        <v>1602</v>
      </c>
      <c r="M450" t="str">
        <f t="shared" si="68"/>
        <v>BMKM132T2</v>
      </c>
      <c r="N450" t="str">
        <f>VLOOKUP(H450,'TNB Load'!$A$2:$F$1448,6,FALSE)</f>
        <v>WPKL</v>
      </c>
      <c r="O450">
        <f t="shared" si="74"/>
        <v>14.174899999999999</v>
      </c>
      <c r="R450">
        <v>51082</v>
      </c>
      <c r="S450" t="s">
        <v>1215</v>
      </c>
      <c r="T450" t="s">
        <v>807</v>
      </c>
      <c r="U450" t="str">
        <f t="shared" si="62"/>
        <v>PJST132</v>
      </c>
      <c r="W450" t="str">
        <f t="shared" si="63"/>
        <v>PJST132T2</v>
      </c>
      <c r="X450">
        <v>26.548100000000002</v>
      </c>
      <c r="Z450" t="s">
        <v>1215</v>
      </c>
      <c r="AA450" t="s">
        <v>807</v>
      </c>
      <c r="AB450" t="s">
        <v>1466</v>
      </c>
      <c r="AD450" t="s">
        <v>2166</v>
      </c>
      <c r="AE450">
        <v>26.548100000000002</v>
      </c>
      <c r="AF450">
        <v>51082</v>
      </c>
      <c r="AH450" t="s">
        <v>2269</v>
      </c>
    </row>
    <row r="451" spans="8:34" x14ac:dyDescent="0.25">
      <c r="H451">
        <f t="shared" ref="H451:H507" si="76">VLOOKUP(AH451,$AD$3:$AF$1300,3,FALSE)</f>
        <v>88114</v>
      </c>
      <c r="I451" t="s">
        <v>804</v>
      </c>
      <c r="J451">
        <v>48.2</v>
      </c>
      <c r="K451" t="str">
        <f>K450</f>
        <v>BMKM132</v>
      </c>
      <c r="M451" t="str">
        <f t="shared" si="68"/>
        <v>BMKM132T1</v>
      </c>
      <c r="N451" t="str">
        <f>VLOOKUP(H451,'TNB Load'!$A$2:$F$1448,6,FALSE)</f>
        <v>WPKL</v>
      </c>
      <c r="O451">
        <f t="shared" si="74"/>
        <v>14.174899999999999</v>
      </c>
      <c r="R451">
        <v>51082</v>
      </c>
      <c r="S451" t="s">
        <v>1215</v>
      </c>
      <c r="T451" t="s">
        <v>808</v>
      </c>
      <c r="U451" t="str">
        <f t="shared" si="62"/>
        <v>PJST132</v>
      </c>
      <c r="W451" t="str">
        <f t="shared" si="63"/>
        <v>PJST132T3</v>
      </c>
      <c r="X451">
        <v>8.6257000000000001</v>
      </c>
      <c r="Z451" t="s">
        <v>1215</v>
      </c>
      <c r="AA451" t="s">
        <v>808</v>
      </c>
      <c r="AB451" t="s">
        <v>1466</v>
      </c>
      <c r="AD451" t="s">
        <v>2167</v>
      </c>
      <c r="AE451">
        <v>8.6257000000000001</v>
      </c>
      <c r="AF451">
        <v>51082</v>
      </c>
      <c r="AH451" t="s">
        <v>2268</v>
      </c>
    </row>
    <row r="452" spans="8:34" x14ac:dyDescent="0.25">
      <c r="H452">
        <f t="shared" si="76"/>
        <v>97116</v>
      </c>
      <c r="I452" t="s">
        <v>809</v>
      </c>
      <c r="J452">
        <v>48.2</v>
      </c>
      <c r="K452" t="s">
        <v>1603</v>
      </c>
      <c r="M452" t="str">
        <f t="shared" si="68"/>
        <v>KTGI132T4</v>
      </c>
      <c r="N452" t="str">
        <f>VLOOKUP(H452,'TNB Load'!$A$2:$F$1448,6,FALSE)</f>
        <v>JOHOR</v>
      </c>
      <c r="O452">
        <f t="shared" si="74"/>
        <v>5.8112000000000004</v>
      </c>
      <c r="R452">
        <v>51082</v>
      </c>
      <c r="S452" t="s">
        <v>1215</v>
      </c>
      <c r="T452" t="s">
        <v>809</v>
      </c>
      <c r="U452" t="str">
        <f t="shared" ref="U452:U515" si="77">LEFT(S452,7)</f>
        <v>PJST132</v>
      </c>
      <c r="W452" t="str">
        <f t="shared" ref="W452:W515" si="78">U452&amp;T452</f>
        <v>PJST132T4</v>
      </c>
      <c r="X452">
        <v>11.2217</v>
      </c>
      <c r="Z452" t="s">
        <v>1215</v>
      </c>
      <c r="AA452" t="s">
        <v>809</v>
      </c>
      <c r="AB452" t="s">
        <v>1466</v>
      </c>
      <c r="AD452" t="s">
        <v>2168</v>
      </c>
      <c r="AE452">
        <v>11.2217</v>
      </c>
      <c r="AF452">
        <v>51082</v>
      </c>
      <c r="AH452" t="s">
        <v>2679</v>
      </c>
    </row>
    <row r="453" spans="8:34" x14ac:dyDescent="0.25">
      <c r="H453">
        <f t="shared" si="76"/>
        <v>97116</v>
      </c>
      <c r="I453" t="s">
        <v>808</v>
      </c>
      <c r="J453">
        <v>48.2</v>
      </c>
      <c r="K453" t="str">
        <f>K452</f>
        <v>KTGI132</v>
      </c>
      <c r="M453" t="str">
        <f t="shared" si="68"/>
        <v>KTGI132T3</v>
      </c>
      <c r="N453" t="str">
        <f>VLOOKUP(H453,'TNB Load'!$A$2:$F$1448,6,FALSE)</f>
        <v>JOHOR</v>
      </c>
      <c r="O453">
        <f t="shared" si="74"/>
        <v>8.3232999999999997</v>
      </c>
      <c r="R453">
        <v>51015</v>
      </c>
      <c r="S453" t="s">
        <v>1220</v>
      </c>
      <c r="T453" t="s">
        <v>1202</v>
      </c>
      <c r="U453" t="str">
        <f t="shared" si="77"/>
        <v>PKLG132</v>
      </c>
      <c r="W453" t="str">
        <f t="shared" si="78"/>
        <v>PKLG132N1</v>
      </c>
      <c r="X453">
        <v>7.9494999999999996</v>
      </c>
      <c r="Z453" t="s">
        <v>1220</v>
      </c>
      <c r="AA453" t="s">
        <v>1202</v>
      </c>
      <c r="AB453" t="s">
        <v>2169</v>
      </c>
      <c r="AD453" t="s">
        <v>2170</v>
      </c>
      <c r="AE453">
        <v>7.9494999999999996</v>
      </c>
      <c r="AF453">
        <v>51015</v>
      </c>
      <c r="AH453" t="s">
        <v>2678</v>
      </c>
    </row>
    <row r="454" spans="8:34" x14ac:dyDescent="0.25">
      <c r="H454">
        <f t="shared" si="76"/>
        <v>97188</v>
      </c>
      <c r="I454" t="s">
        <v>809</v>
      </c>
      <c r="J454">
        <v>48.2</v>
      </c>
      <c r="K454" t="s">
        <v>1604</v>
      </c>
      <c r="M454" t="str">
        <f t="shared" si="68"/>
        <v>UTRM132T4</v>
      </c>
      <c r="N454" t="str">
        <f>VLOOKUP(H454,'TNB Load'!$A$2:$F$1448,6,FALSE)</f>
        <v>JOHOR</v>
      </c>
      <c r="O454">
        <f t="shared" si="74"/>
        <v>29.683599999999998</v>
      </c>
      <c r="R454">
        <v>51015</v>
      </c>
      <c r="S454" t="s">
        <v>1220</v>
      </c>
      <c r="T454" t="s">
        <v>1203</v>
      </c>
      <c r="U454" t="str">
        <f t="shared" si="77"/>
        <v>PKLG132</v>
      </c>
      <c r="W454" t="str">
        <f t="shared" si="78"/>
        <v>PKLG132N2</v>
      </c>
      <c r="X454">
        <v>7.8822000000000001</v>
      </c>
      <c r="Z454" t="s">
        <v>1220</v>
      </c>
      <c r="AA454" t="s">
        <v>1203</v>
      </c>
      <c r="AB454" t="s">
        <v>2169</v>
      </c>
      <c r="AD454" t="s">
        <v>2171</v>
      </c>
      <c r="AE454">
        <v>7.8822000000000001</v>
      </c>
      <c r="AF454">
        <v>51015</v>
      </c>
      <c r="AH454" t="s">
        <v>2880</v>
      </c>
    </row>
    <row r="455" spans="8:34" x14ac:dyDescent="0.25">
      <c r="H455">
        <f t="shared" si="76"/>
        <v>97188</v>
      </c>
      <c r="I455" t="s">
        <v>808</v>
      </c>
      <c r="J455">
        <v>48.2</v>
      </c>
      <c r="K455" t="str">
        <f t="shared" ref="K455:K457" si="79">K454</f>
        <v>UTRM132</v>
      </c>
      <c r="M455" t="str">
        <f t="shared" si="68"/>
        <v>UTRM132T3</v>
      </c>
      <c r="N455" t="str">
        <f>VLOOKUP(H455,'TNB Load'!$A$2:$F$1448,6,FALSE)</f>
        <v>JOHOR</v>
      </c>
      <c r="O455">
        <f t="shared" si="74"/>
        <v>30.555499999999999</v>
      </c>
      <c r="R455">
        <v>51015</v>
      </c>
      <c r="S455" t="s">
        <v>1220</v>
      </c>
      <c r="T455" t="s">
        <v>1221</v>
      </c>
      <c r="U455" t="str">
        <f t="shared" si="77"/>
        <v>PKLG132</v>
      </c>
      <c r="W455" t="str">
        <f t="shared" si="78"/>
        <v>PKLG132N3</v>
      </c>
      <c r="X455">
        <v>0</v>
      </c>
      <c r="Z455" t="s">
        <v>1220</v>
      </c>
      <c r="AA455" t="s">
        <v>1221</v>
      </c>
      <c r="AB455" t="s">
        <v>2169</v>
      </c>
      <c r="AD455" t="s">
        <v>2172</v>
      </c>
      <c r="AE455">
        <v>0</v>
      </c>
      <c r="AF455">
        <v>51015</v>
      </c>
      <c r="AH455" t="s">
        <v>2879</v>
      </c>
    </row>
    <row r="456" spans="8:34" x14ac:dyDescent="0.25">
      <c r="H456">
        <f t="shared" si="76"/>
        <v>97188</v>
      </c>
      <c r="I456" t="s">
        <v>807</v>
      </c>
      <c r="J456">
        <v>48.2</v>
      </c>
      <c r="K456" t="str">
        <f t="shared" si="79"/>
        <v>UTRM132</v>
      </c>
      <c r="M456" t="str">
        <f t="shared" si="68"/>
        <v>UTRM132T2</v>
      </c>
      <c r="N456" t="str">
        <f>VLOOKUP(H456,'TNB Load'!$A$2:$F$1448,6,FALSE)</f>
        <v>JOHOR</v>
      </c>
      <c r="O456">
        <f t="shared" si="74"/>
        <v>9.3102</v>
      </c>
      <c r="R456">
        <v>51015</v>
      </c>
      <c r="S456" t="s">
        <v>1220</v>
      </c>
      <c r="T456" t="s">
        <v>804</v>
      </c>
      <c r="U456" t="str">
        <f t="shared" si="77"/>
        <v>PKLG132</v>
      </c>
      <c r="W456" t="str">
        <f t="shared" si="78"/>
        <v>PKLG132T1</v>
      </c>
      <c r="X456">
        <v>0</v>
      </c>
      <c r="Z456" t="s">
        <v>1220</v>
      </c>
      <c r="AA456" t="s">
        <v>804</v>
      </c>
      <c r="AB456" t="s">
        <v>2169</v>
      </c>
      <c r="AD456" t="s">
        <v>2173</v>
      </c>
      <c r="AE456">
        <v>0</v>
      </c>
      <c r="AF456">
        <v>51015</v>
      </c>
      <c r="AH456" t="s">
        <v>2878</v>
      </c>
    </row>
    <row r="457" spans="8:34" x14ac:dyDescent="0.25">
      <c r="H457">
        <f t="shared" si="76"/>
        <v>97188</v>
      </c>
      <c r="I457" t="s">
        <v>804</v>
      </c>
      <c r="J457">
        <v>48.2</v>
      </c>
      <c r="K457" t="str">
        <f t="shared" si="79"/>
        <v>UTRM132</v>
      </c>
      <c r="M457" t="str">
        <f t="shared" si="68"/>
        <v>UTRM132T1</v>
      </c>
      <c r="N457" t="str">
        <f>VLOOKUP(H457,'TNB Load'!$A$2:$F$1448,6,FALSE)</f>
        <v>JOHOR</v>
      </c>
      <c r="O457">
        <f t="shared" si="74"/>
        <v>9.2790999999999997</v>
      </c>
      <c r="R457">
        <v>51015</v>
      </c>
      <c r="S457" t="s">
        <v>1220</v>
      </c>
      <c r="T457" t="s">
        <v>807</v>
      </c>
      <c r="U457" t="str">
        <f t="shared" si="77"/>
        <v>PKLG132</v>
      </c>
      <c r="W457" t="str">
        <f t="shared" si="78"/>
        <v>PKLG132T2</v>
      </c>
      <c r="X457">
        <v>0</v>
      </c>
      <c r="Z457" t="s">
        <v>1220</v>
      </c>
      <c r="AA457" t="s">
        <v>807</v>
      </c>
      <c r="AB457" t="s">
        <v>2169</v>
      </c>
      <c r="AD457" t="s">
        <v>2174</v>
      </c>
      <c r="AE457">
        <v>0</v>
      </c>
      <c r="AF457">
        <v>51015</v>
      </c>
      <c r="AH457" t="s">
        <v>2877</v>
      </c>
    </row>
    <row r="458" spans="8:34" x14ac:dyDescent="0.25">
      <c r="H458">
        <f t="shared" si="76"/>
        <v>97118</v>
      </c>
      <c r="I458" t="s">
        <v>807</v>
      </c>
      <c r="J458">
        <v>48.2</v>
      </c>
      <c r="K458" t="s">
        <v>1605</v>
      </c>
      <c r="M458" t="str">
        <f t="shared" si="68"/>
        <v>PUBB132T2</v>
      </c>
      <c r="N458" t="str">
        <f>VLOOKUP(H458,'TNB Load'!$A$2:$F$1448,6,FALSE)</f>
        <v>JOHOR</v>
      </c>
      <c r="O458">
        <f t="shared" si="74"/>
        <v>10.2514</v>
      </c>
      <c r="R458">
        <v>51042</v>
      </c>
      <c r="S458" t="s">
        <v>1229</v>
      </c>
      <c r="T458" t="s">
        <v>804</v>
      </c>
      <c r="U458" t="str">
        <f t="shared" si="77"/>
        <v>PMRN132</v>
      </c>
      <c r="W458" t="str">
        <f t="shared" si="78"/>
        <v>PMRN132T1</v>
      </c>
      <c r="X458">
        <v>13.0421</v>
      </c>
      <c r="Z458" t="s">
        <v>1229</v>
      </c>
      <c r="AA458" t="s">
        <v>804</v>
      </c>
      <c r="AB458" t="s">
        <v>2175</v>
      </c>
      <c r="AD458" t="s">
        <v>2176</v>
      </c>
      <c r="AE458">
        <v>13.0421</v>
      </c>
      <c r="AF458">
        <v>51042</v>
      </c>
      <c r="AH458" t="s">
        <v>2766</v>
      </c>
    </row>
    <row r="459" spans="8:34" x14ac:dyDescent="0.25">
      <c r="H459">
        <f t="shared" si="76"/>
        <v>97118</v>
      </c>
      <c r="I459" t="s">
        <v>804</v>
      </c>
      <c r="J459">
        <v>48.2</v>
      </c>
      <c r="K459" t="str">
        <f>K458</f>
        <v>PUBB132</v>
      </c>
      <c r="M459" t="str">
        <f t="shared" si="68"/>
        <v>PUBB132T1</v>
      </c>
      <c r="N459" t="str">
        <f>VLOOKUP(H459,'TNB Load'!$A$2:$F$1448,6,FALSE)</f>
        <v>JOHOR</v>
      </c>
      <c r="O459">
        <f t="shared" si="74"/>
        <v>10.158200000000001</v>
      </c>
      <c r="R459">
        <v>51042</v>
      </c>
      <c r="S459" t="s">
        <v>1229</v>
      </c>
      <c r="T459" t="s">
        <v>807</v>
      </c>
      <c r="U459" t="str">
        <f t="shared" si="77"/>
        <v>PMRN132</v>
      </c>
      <c r="W459" t="str">
        <f t="shared" si="78"/>
        <v>PMRN132T2</v>
      </c>
      <c r="X459">
        <v>14.163600000000001</v>
      </c>
      <c r="Z459" t="s">
        <v>1229</v>
      </c>
      <c r="AA459" t="s">
        <v>807</v>
      </c>
      <c r="AB459" t="s">
        <v>2175</v>
      </c>
      <c r="AD459" t="s">
        <v>2177</v>
      </c>
      <c r="AE459">
        <v>14.163600000000001</v>
      </c>
      <c r="AF459">
        <v>51042</v>
      </c>
      <c r="AH459" t="s">
        <v>2765</v>
      </c>
    </row>
    <row r="460" spans="8:34" x14ac:dyDescent="0.25">
      <c r="H460">
        <f t="shared" si="76"/>
        <v>97198</v>
      </c>
      <c r="I460" t="s">
        <v>807</v>
      </c>
      <c r="J460">
        <v>48.2</v>
      </c>
      <c r="K460" t="s">
        <v>1606</v>
      </c>
      <c r="M460" t="str">
        <f t="shared" si="68"/>
        <v>PLGI132T2</v>
      </c>
      <c r="N460" t="str">
        <f>VLOOKUP(H460,'TNB Load'!$A$2:$F$1448,6,FALSE)</f>
        <v>JOHOR</v>
      </c>
      <c r="O460">
        <f t="shared" si="74"/>
        <v>29.205200000000001</v>
      </c>
      <c r="R460">
        <v>51042</v>
      </c>
      <c r="S460" t="s">
        <v>1229</v>
      </c>
      <c r="T460" t="s">
        <v>808</v>
      </c>
      <c r="U460" t="str">
        <f t="shared" si="77"/>
        <v>PMRN132</v>
      </c>
      <c r="W460" t="str">
        <f t="shared" si="78"/>
        <v>PMRN132T3</v>
      </c>
      <c r="X460">
        <v>47.715800000000002</v>
      </c>
      <c r="Z460" t="s">
        <v>1229</v>
      </c>
      <c r="AA460" t="s">
        <v>808</v>
      </c>
      <c r="AB460" t="s">
        <v>2175</v>
      </c>
      <c r="AD460" t="s">
        <v>2178</v>
      </c>
      <c r="AE460">
        <v>47.715800000000002</v>
      </c>
      <c r="AF460">
        <v>51042</v>
      </c>
      <c r="AH460" t="s">
        <v>2729</v>
      </c>
    </row>
    <row r="461" spans="8:34" x14ac:dyDescent="0.25">
      <c r="H461">
        <f t="shared" si="76"/>
        <v>97198</v>
      </c>
      <c r="I461" t="s">
        <v>804</v>
      </c>
      <c r="J461">
        <v>48.2</v>
      </c>
      <c r="K461" t="str">
        <f>K460</f>
        <v>PLGI132</v>
      </c>
      <c r="M461" t="str">
        <f t="shared" si="68"/>
        <v>PLGI132T1</v>
      </c>
      <c r="N461" t="str">
        <f>VLOOKUP(H461,'TNB Load'!$A$2:$F$1448,6,FALSE)</f>
        <v>JOHOR</v>
      </c>
      <c r="O461">
        <f t="shared" si="74"/>
        <v>29.056100000000001</v>
      </c>
      <c r="R461">
        <v>51042</v>
      </c>
      <c r="S461" t="s">
        <v>1229</v>
      </c>
      <c r="T461" t="s">
        <v>809</v>
      </c>
      <c r="U461" t="str">
        <f t="shared" si="77"/>
        <v>PMRN132</v>
      </c>
      <c r="W461" t="str">
        <f t="shared" si="78"/>
        <v>PMRN132T4</v>
      </c>
      <c r="X461">
        <v>47.841099999999997</v>
      </c>
      <c r="Z461" t="s">
        <v>1229</v>
      </c>
      <c r="AA461" t="s">
        <v>809</v>
      </c>
      <c r="AB461" t="s">
        <v>2175</v>
      </c>
      <c r="AD461" t="s">
        <v>2179</v>
      </c>
      <c r="AE461">
        <v>47.841099999999997</v>
      </c>
      <c r="AF461">
        <v>51042</v>
      </c>
      <c r="AH461" t="s">
        <v>2728</v>
      </c>
    </row>
    <row r="462" spans="8:34" x14ac:dyDescent="0.25">
      <c r="H462">
        <f t="shared" si="76"/>
        <v>97111</v>
      </c>
      <c r="I462" t="s">
        <v>807</v>
      </c>
      <c r="J462">
        <v>48.2</v>
      </c>
      <c r="K462" t="s">
        <v>1607</v>
      </c>
      <c r="M462" t="str">
        <f t="shared" si="68"/>
        <v>RNGM132T2</v>
      </c>
      <c r="N462" t="str">
        <f>VLOOKUP(H462,'TNB Load'!$A$2:$F$1448,6,FALSE)</f>
        <v>JOHOR</v>
      </c>
      <c r="O462">
        <f t="shared" si="74"/>
        <v>4.4764999999999997</v>
      </c>
      <c r="R462">
        <v>51039</v>
      </c>
      <c r="S462" t="s">
        <v>1231</v>
      </c>
      <c r="T462" t="s">
        <v>804</v>
      </c>
      <c r="U462" t="str">
        <f t="shared" si="77"/>
        <v>PNGA132</v>
      </c>
      <c r="W462" t="str">
        <f t="shared" si="78"/>
        <v>PNGA132T1</v>
      </c>
      <c r="X462">
        <v>35.267000000000003</v>
      </c>
      <c r="Z462" t="s">
        <v>1231</v>
      </c>
      <c r="AA462" t="s">
        <v>804</v>
      </c>
      <c r="AB462" t="s">
        <v>2180</v>
      </c>
      <c r="AD462" t="s">
        <v>2181</v>
      </c>
      <c r="AE462">
        <v>35.267000000000003</v>
      </c>
      <c r="AF462">
        <v>51039</v>
      </c>
      <c r="AH462" t="s">
        <v>2770</v>
      </c>
    </row>
    <row r="463" spans="8:34" x14ac:dyDescent="0.25">
      <c r="H463">
        <f t="shared" si="76"/>
        <v>97111</v>
      </c>
      <c r="I463" t="s">
        <v>804</v>
      </c>
      <c r="J463">
        <v>48.2</v>
      </c>
      <c r="K463" t="str">
        <f>K462</f>
        <v>RNGM132</v>
      </c>
      <c r="M463" t="str">
        <f t="shared" si="68"/>
        <v>RNGM132T1</v>
      </c>
      <c r="N463" t="str">
        <f>VLOOKUP(H463,'TNB Load'!$A$2:$F$1448,6,FALSE)</f>
        <v>JOHOR</v>
      </c>
      <c r="O463">
        <f t="shared" si="74"/>
        <v>4.3905000000000003</v>
      </c>
      <c r="R463">
        <v>51039</v>
      </c>
      <c r="S463" t="s">
        <v>1231</v>
      </c>
      <c r="T463" t="s">
        <v>807</v>
      </c>
      <c r="U463" t="str">
        <f t="shared" si="77"/>
        <v>PNGA132</v>
      </c>
      <c r="W463" t="str">
        <f t="shared" si="78"/>
        <v>PNGA132T2</v>
      </c>
      <c r="X463">
        <v>35.333300000000001</v>
      </c>
      <c r="Z463" t="s">
        <v>1231</v>
      </c>
      <c r="AA463" t="s">
        <v>807</v>
      </c>
      <c r="AB463" t="s">
        <v>2180</v>
      </c>
      <c r="AD463" t="s">
        <v>2182</v>
      </c>
      <c r="AE463">
        <v>35.333300000000001</v>
      </c>
      <c r="AF463">
        <v>51039</v>
      </c>
      <c r="AH463" t="s">
        <v>2769</v>
      </c>
    </row>
    <row r="464" spans="8:34" x14ac:dyDescent="0.25">
      <c r="H464">
        <f t="shared" si="76"/>
        <v>97149</v>
      </c>
      <c r="I464" t="s">
        <v>809</v>
      </c>
      <c r="J464">
        <v>48.2</v>
      </c>
      <c r="K464" t="s">
        <v>1608</v>
      </c>
      <c r="M464" t="str">
        <f t="shared" si="68"/>
        <v>KLID132T4</v>
      </c>
      <c r="N464" t="str">
        <f>VLOOKUP(H464,'TNB Load'!$A$2:$F$1448,6,FALSE)</f>
        <v>JOHOR</v>
      </c>
      <c r="O464">
        <f t="shared" si="74"/>
        <v>10.1158</v>
      </c>
      <c r="R464">
        <v>51009</v>
      </c>
      <c r="S464" t="s">
        <v>1243</v>
      </c>
      <c r="T464" t="s">
        <v>804</v>
      </c>
      <c r="U464" t="str">
        <f t="shared" si="77"/>
        <v>PROT132</v>
      </c>
      <c r="W464" t="str">
        <f t="shared" si="78"/>
        <v>PROT132T1</v>
      </c>
      <c r="X464">
        <v>32.4039</v>
      </c>
      <c r="Z464" t="s">
        <v>1243</v>
      </c>
      <c r="AA464" t="s">
        <v>804</v>
      </c>
      <c r="AB464" t="s">
        <v>1582</v>
      </c>
      <c r="AD464" t="s">
        <v>2183</v>
      </c>
      <c r="AE464">
        <v>32.4039</v>
      </c>
      <c r="AF464">
        <v>51009</v>
      </c>
      <c r="AH464" t="s">
        <v>2658</v>
      </c>
    </row>
    <row r="465" spans="8:34" x14ac:dyDescent="0.25">
      <c r="H465">
        <f t="shared" si="76"/>
        <v>97149</v>
      </c>
      <c r="I465" t="s">
        <v>808</v>
      </c>
      <c r="J465">
        <v>48.2</v>
      </c>
      <c r="K465" t="str">
        <f t="shared" ref="K465:K467" si="80">K464</f>
        <v>KLID132</v>
      </c>
      <c r="M465" t="str">
        <f t="shared" si="68"/>
        <v>KLID132T3</v>
      </c>
      <c r="N465" t="str">
        <f>VLOOKUP(H465,'TNB Load'!$A$2:$F$1448,6,FALSE)</f>
        <v>JOHOR</v>
      </c>
      <c r="O465">
        <f t="shared" si="74"/>
        <v>6.3331</v>
      </c>
      <c r="R465">
        <v>51009</v>
      </c>
      <c r="S465" t="s">
        <v>1243</v>
      </c>
      <c r="T465" t="s">
        <v>807</v>
      </c>
      <c r="U465" t="str">
        <f t="shared" si="77"/>
        <v>PROT132</v>
      </c>
      <c r="W465" t="str">
        <f t="shared" si="78"/>
        <v>PROT132T2</v>
      </c>
      <c r="X465">
        <v>32.279600000000002</v>
      </c>
      <c r="Z465" t="s">
        <v>1243</v>
      </c>
      <c r="AA465" t="s">
        <v>807</v>
      </c>
      <c r="AB465" t="s">
        <v>1582</v>
      </c>
      <c r="AD465" t="s">
        <v>2184</v>
      </c>
      <c r="AE465">
        <v>32.279600000000002</v>
      </c>
      <c r="AF465">
        <v>51009</v>
      </c>
      <c r="AH465" t="s">
        <v>2657</v>
      </c>
    </row>
    <row r="466" spans="8:34" x14ac:dyDescent="0.25">
      <c r="H466">
        <f t="shared" si="76"/>
        <v>97149</v>
      </c>
      <c r="I466" t="s">
        <v>807</v>
      </c>
      <c r="J466">
        <v>48.2</v>
      </c>
      <c r="K466" t="str">
        <f t="shared" si="80"/>
        <v>KLID132</v>
      </c>
      <c r="M466" t="str">
        <f t="shared" si="68"/>
        <v>KLID132T2</v>
      </c>
      <c r="N466" t="str">
        <f>VLOOKUP(H466,'TNB Load'!$A$2:$F$1448,6,FALSE)</f>
        <v>JOHOR</v>
      </c>
      <c r="O466">
        <f t="shared" si="74"/>
        <v>10.852</v>
      </c>
      <c r="R466">
        <v>51009</v>
      </c>
      <c r="S466" t="s">
        <v>1243</v>
      </c>
      <c r="T466" t="s">
        <v>808</v>
      </c>
      <c r="U466" t="str">
        <f t="shared" si="77"/>
        <v>PROT132</v>
      </c>
      <c r="W466" t="str">
        <f t="shared" si="78"/>
        <v>PROT132T3</v>
      </c>
      <c r="X466">
        <v>49.7164</v>
      </c>
      <c r="Z466" t="s">
        <v>1243</v>
      </c>
      <c r="AA466" t="s">
        <v>808</v>
      </c>
      <c r="AB466" t="s">
        <v>1582</v>
      </c>
      <c r="AD466" t="s">
        <v>2185</v>
      </c>
      <c r="AE466">
        <v>49.7164</v>
      </c>
      <c r="AF466">
        <v>51009</v>
      </c>
      <c r="AH466" t="s">
        <v>2656</v>
      </c>
    </row>
    <row r="467" spans="8:34" x14ac:dyDescent="0.25">
      <c r="H467">
        <f t="shared" si="76"/>
        <v>97149</v>
      </c>
      <c r="I467" t="s">
        <v>804</v>
      </c>
      <c r="J467">
        <v>48.2</v>
      </c>
      <c r="K467" t="str">
        <f t="shared" si="80"/>
        <v>KLID132</v>
      </c>
      <c r="M467" t="str">
        <f t="shared" si="68"/>
        <v>KLID132T1</v>
      </c>
      <c r="N467" t="str">
        <f>VLOOKUP(H467,'TNB Load'!$A$2:$F$1448,6,FALSE)</f>
        <v>JOHOR</v>
      </c>
      <c r="O467">
        <f t="shared" si="74"/>
        <v>10.126099999999999</v>
      </c>
      <c r="R467">
        <v>88176</v>
      </c>
      <c r="S467" t="s">
        <v>1247</v>
      </c>
      <c r="T467" t="s">
        <v>804</v>
      </c>
      <c r="U467" t="str">
        <f t="shared" si="77"/>
        <v>PTAI132</v>
      </c>
      <c r="W467" t="str">
        <f t="shared" si="78"/>
        <v>PTAI132T1</v>
      </c>
      <c r="X467">
        <v>0</v>
      </c>
      <c r="Z467" t="s">
        <v>1247</v>
      </c>
      <c r="AA467" t="s">
        <v>804</v>
      </c>
      <c r="AB467" t="s">
        <v>2186</v>
      </c>
      <c r="AD467" t="s">
        <v>2187</v>
      </c>
      <c r="AE467">
        <v>0</v>
      </c>
      <c r="AF467">
        <v>88176</v>
      </c>
      <c r="AH467" t="s">
        <v>2655</v>
      </c>
    </row>
    <row r="468" spans="8:34" x14ac:dyDescent="0.25">
      <c r="H468">
        <f t="shared" si="76"/>
        <v>97131</v>
      </c>
      <c r="I468" t="s">
        <v>809</v>
      </c>
      <c r="J468">
        <v>48.2</v>
      </c>
      <c r="K468" t="s">
        <v>1609</v>
      </c>
      <c r="M468" t="str">
        <f t="shared" si="68"/>
        <v>MSNG132T4</v>
      </c>
      <c r="N468" t="str">
        <f>VLOOKUP(H468,'TNB Load'!$A$2:$F$1448,6,FALSE)</f>
        <v>JOHOR</v>
      </c>
      <c r="O468">
        <f t="shared" si="74"/>
        <v>6.8291000000000004</v>
      </c>
      <c r="R468">
        <v>88176</v>
      </c>
      <c r="S468" t="s">
        <v>1247</v>
      </c>
      <c r="T468" t="s">
        <v>807</v>
      </c>
      <c r="U468" t="str">
        <f t="shared" si="77"/>
        <v>PTAI132</v>
      </c>
      <c r="W468" t="str">
        <f t="shared" si="78"/>
        <v>PTAI132T2</v>
      </c>
      <c r="X468">
        <v>0</v>
      </c>
      <c r="Z468" t="s">
        <v>1247</v>
      </c>
      <c r="AA468" t="s">
        <v>807</v>
      </c>
      <c r="AB468" t="s">
        <v>2186</v>
      </c>
      <c r="AD468" t="s">
        <v>2188</v>
      </c>
      <c r="AE468">
        <v>0</v>
      </c>
      <c r="AF468">
        <v>88176</v>
      </c>
      <c r="AH468" t="s">
        <v>2695</v>
      </c>
    </row>
    <row r="469" spans="8:34" x14ac:dyDescent="0.25">
      <c r="H469">
        <f t="shared" si="76"/>
        <v>97131</v>
      </c>
      <c r="I469" t="s">
        <v>808</v>
      </c>
      <c r="J469">
        <v>48.2</v>
      </c>
      <c r="K469" t="str">
        <f t="shared" ref="K469:K471" si="81">K468</f>
        <v>MSNG132</v>
      </c>
      <c r="M469" t="str">
        <f t="shared" si="68"/>
        <v>MSNG132T3</v>
      </c>
      <c r="N469" t="str">
        <f>VLOOKUP(H469,'TNB Load'!$A$2:$F$1448,6,FALSE)</f>
        <v>JOHOR</v>
      </c>
      <c r="O469">
        <f t="shared" si="74"/>
        <v>6.8384</v>
      </c>
      <c r="R469">
        <v>88176</v>
      </c>
      <c r="S469" t="s">
        <v>1247</v>
      </c>
      <c r="T469" t="s">
        <v>808</v>
      </c>
      <c r="U469" t="str">
        <f t="shared" si="77"/>
        <v>PTAI132</v>
      </c>
      <c r="W469" t="str">
        <f t="shared" si="78"/>
        <v>PTAI132T3</v>
      </c>
      <c r="X469">
        <v>34.834200000000003</v>
      </c>
      <c r="Z469" t="s">
        <v>1247</v>
      </c>
      <c r="AA469" t="s">
        <v>808</v>
      </c>
      <c r="AB469" t="s">
        <v>2186</v>
      </c>
      <c r="AD469" t="s">
        <v>2189</v>
      </c>
      <c r="AE469">
        <v>34.834200000000003</v>
      </c>
      <c r="AF469">
        <v>88176</v>
      </c>
      <c r="AH469" t="s">
        <v>2694</v>
      </c>
    </row>
    <row r="470" spans="8:34" x14ac:dyDescent="0.25">
      <c r="H470">
        <f t="shared" si="76"/>
        <v>97131</v>
      </c>
      <c r="I470" t="s">
        <v>807</v>
      </c>
      <c r="J470">
        <v>48.2</v>
      </c>
      <c r="K470" t="str">
        <f t="shared" si="81"/>
        <v>MSNG132</v>
      </c>
      <c r="M470" t="str">
        <f t="shared" si="68"/>
        <v>MSNG132T2</v>
      </c>
      <c r="N470" t="str">
        <f>VLOOKUP(H470,'TNB Load'!$A$2:$F$1448,6,FALSE)</f>
        <v>JOHOR</v>
      </c>
      <c r="O470">
        <f t="shared" si="74"/>
        <v>3.8685999999999998</v>
      </c>
      <c r="R470">
        <v>88176</v>
      </c>
      <c r="S470" t="s">
        <v>1247</v>
      </c>
      <c r="T470" t="s">
        <v>809</v>
      </c>
      <c r="U470" t="str">
        <f t="shared" si="77"/>
        <v>PTAI132</v>
      </c>
      <c r="W470" t="str">
        <f t="shared" si="78"/>
        <v>PTAI132T4</v>
      </c>
      <c r="X470">
        <v>34.587699999999998</v>
      </c>
      <c r="Z470" t="s">
        <v>1247</v>
      </c>
      <c r="AA470" t="s">
        <v>809</v>
      </c>
      <c r="AB470" t="s">
        <v>2186</v>
      </c>
      <c r="AD470" t="s">
        <v>2190</v>
      </c>
      <c r="AE470">
        <v>34.587699999999998</v>
      </c>
      <c r="AF470">
        <v>88176</v>
      </c>
      <c r="AH470" t="s">
        <v>2693</v>
      </c>
    </row>
    <row r="471" spans="8:34" x14ac:dyDescent="0.25">
      <c r="H471">
        <f t="shared" si="76"/>
        <v>97131</v>
      </c>
      <c r="I471" t="s">
        <v>804</v>
      </c>
      <c r="J471">
        <v>48.2</v>
      </c>
      <c r="K471" t="str">
        <f t="shared" si="81"/>
        <v>MSNG132</v>
      </c>
      <c r="M471" t="str">
        <f t="shared" si="68"/>
        <v>MSNG132T1</v>
      </c>
      <c r="N471" t="str">
        <f>VLOOKUP(H471,'TNB Load'!$A$2:$F$1448,6,FALSE)</f>
        <v>JOHOR</v>
      </c>
      <c r="O471">
        <f t="shared" si="74"/>
        <v>2.8311000000000002</v>
      </c>
      <c r="R471">
        <v>51052</v>
      </c>
      <c r="S471" t="s">
        <v>1262</v>
      </c>
      <c r="T471" t="s">
        <v>804</v>
      </c>
      <c r="U471" t="str">
        <f t="shared" si="77"/>
        <v>RSID132</v>
      </c>
      <c r="W471" t="str">
        <f t="shared" si="78"/>
        <v>RSID132T1</v>
      </c>
      <c r="X471">
        <v>16.400200000000002</v>
      </c>
      <c r="Z471" t="s">
        <v>1262</v>
      </c>
      <c r="AA471" t="s">
        <v>804</v>
      </c>
      <c r="AB471" t="s">
        <v>1519</v>
      </c>
      <c r="AD471" t="s">
        <v>2191</v>
      </c>
      <c r="AE471">
        <v>16.400200000000002</v>
      </c>
      <c r="AF471">
        <v>51052</v>
      </c>
      <c r="AH471" t="s">
        <v>2692</v>
      </c>
    </row>
    <row r="472" spans="8:34" x14ac:dyDescent="0.25">
      <c r="H472">
        <f t="shared" si="76"/>
        <v>74133</v>
      </c>
      <c r="I472" t="s">
        <v>807</v>
      </c>
      <c r="J472">
        <v>48.2</v>
      </c>
      <c r="K472" t="s">
        <v>1610</v>
      </c>
      <c r="M472" t="str">
        <f t="shared" si="68"/>
        <v>TGMK132T2</v>
      </c>
      <c r="N472" t="str">
        <f>VLOOKUP(H472,'TNB Load'!$A$2:$F$1448,6,FALSE)</f>
        <v>PAHANG</v>
      </c>
      <c r="O472">
        <f t="shared" si="74"/>
        <v>13.741099999999999</v>
      </c>
      <c r="R472">
        <v>51052</v>
      </c>
      <c r="S472" t="s">
        <v>1262</v>
      </c>
      <c r="T472" t="s">
        <v>807</v>
      </c>
      <c r="U472" t="str">
        <f t="shared" si="77"/>
        <v>RSID132</v>
      </c>
      <c r="W472" t="str">
        <f t="shared" si="78"/>
        <v>RSID132T2</v>
      </c>
      <c r="X472">
        <v>16.311199999999999</v>
      </c>
      <c r="Z472" t="s">
        <v>1262</v>
      </c>
      <c r="AA472" t="s">
        <v>807</v>
      </c>
      <c r="AB472" t="s">
        <v>1519</v>
      </c>
      <c r="AD472" t="s">
        <v>2192</v>
      </c>
      <c r="AE472">
        <v>16.311199999999999</v>
      </c>
      <c r="AF472">
        <v>51052</v>
      </c>
      <c r="AH472" t="s">
        <v>2983</v>
      </c>
    </row>
    <row r="473" spans="8:34" x14ac:dyDescent="0.25">
      <c r="H473">
        <f t="shared" si="76"/>
        <v>74133</v>
      </c>
      <c r="I473" t="s">
        <v>804</v>
      </c>
      <c r="J473">
        <v>48.2</v>
      </c>
      <c r="K473" t="str">
        <f>K472</f>
        <v>TGMK132</v>
      </c>
      <c r="M473" t="str">
        <f t="shared" si="68"/>
        <v>TGMK132T1</v>
      </c>
      <c r="N473" t="str">
        <f>VLOOKUP(H473,'TNB Load'!$A$2:$F$1448,6,FALSE)</f>
        <v>PAHANG</v>
      </c>
      <c r="O473">
        <f t="shared" si="74"/>
        <v>13.7514</v>
      </c>
      <c r="R473">
        <v>51218</v>
      </c>
      <c r="S473" t="s">
        <v>1264</v>
      </c>
      <c r="T473" t="s">
        <v>804</v>
      </c>
      <c r="U473" t="str">
        <f t="shared" si="77"/>
        <v>RWSS132</v>
      </c>
      <c r="W473" t="str">
        <f t="shared" si="78"/>
        <v>RWSS132T1</v>
      </c>
      <c r="X473">
        <v>6.2586000000000004</v>
      </c>
      <c r="Z473" t="s">
        <v>1264</v>
      </c>
      <c r="AA473" t="s">
        <v>804</v>
      </c>
      <c r="AB473" t="s">
        <v>2193</v>
      </c>
      <c r="AD473" t="s">
        <v>2194</v>
      </c>
      <c r="AE473">
        <v>6.2586000000000004</v>
      </c>
      <c r="AF473">
        <v>51218</v>
      </c>
      <c r="AH473" t="s">
        <v>2982</v>
      </c>
    </row>
    <row r="474" spans="8:34" x14ac:dyDescent="0.25">
      <c r="H474">
        <f t="shared" si="76"/>
        <v>97138</v>
      </c>
      <c r="I474" t="s">
        <v>807</v>
      </c>
      <c r="J474">
        <v>48.2</v>
      </c>
      <c r="K474" t="s">
        <v>1611</v>
      </c>
      <c r="M474" t="str">
        <f t="shared" si="68"/>
        <v>NYOR132T2</v>
      </c>
      <c r="N474" t="str">
        <f>VLOOKUP(H474,'TNB Load'!$A$2:$F$1448,6,FALSE)</f>
        <v>JOHOR</v>
      </c>
      <c r="O474">
        <f t="shared" si="74"/>
        <v>16.610399999999998</v>
      </c>
      <c r="R474">
        <v>51034</v>
      </c>
      <c r="S474" t="s">
        <v>1270</v>
      </c>
      <c r="T474" t="s">
        <v>804</v>
      </c>
      <c r="U474" t="str">
        <f t="shared" si="77"/>
        <v>SBSR132</v>
      </c>
      <c r="W474" t="str">
        <f t="shared" si="78"/>
        <v>SBSR132T1</v>
      </c>
      <c r="X474">
        <v>14.1739</v>
      </c>
      <c r="Z474" t="s">
        <v>1270</v>
      </c>
      <c r="AA474" t="s">
        <v>804</v>
      </c>
      <c r="AB474" t="s">
        <v>2195</v>
      </c>
      <c r="AD474" t="s">
        <v>2196</v>
      </c>
      <c r="AE474">
        <v>14.1739</v>
      </c>
      <c r="AF474">
        <v>51034</v>
      </c>
      <c r="AH474" t="s">
        <v>2699</v>
      </c>
    </row>
    <row r="475" spans="8:34" x14ac:dyDescent="0.25">
      <c r="H475">
        <f t="shared" si="76"/>
        <v>97138</v>
      </c>
      <c r="I475" t="s">
        <v>804</v>
      </c>
      <c r="J475">
        <v>48.2</v>
      </c>
      <c r="K475" t="str">
        <f>K474</f>
        <v>NYOR132</v>
      </c>
      <c r="M475" t="str">
        <f t="shared" si="68"/>
        <v>NYOR132T1</v>
      </c>
      <c r="N475" t="str">
        <f>VLOOKUP(H475,'TNB Load'!$A$2:$F$1448,6,FALSE)</f>
        <v>JOHOR</v>
      </c>
      <c r="O475">
        <f t="shared" si="74"/>
        <v>11.3926</v>
      </c>
      <c r="R475">
        <v>51034</v>
      </c>
      <c r="S475" t="s">
        <v>1270</v>
      </c>
      <c r="T475" t="s">
        <v>807</v>
      </c>
      <c r="U475" t="str">
        <f t="shared" si="77"/>
        <v>SBSR132</v>
      </c>
      <c r="W475" t="str">
        <f t="shared" si="78"/>
        <v>SBSR132T2</v>
      </c>
      <c r="X475">
        <v>12.9406</v>
      </c>
      <c r="Z475" t="s">
        <v>1270</v>
      </c>
      <c r="AA475" t="s">
        <v>807</v>
      </c>
      <c r="AB475" t="s">
        <v>2195</v>
      </c>
      <c r="AD475" t="s">
        <v>2197</v>
      </c>
      <c r="AE475">
        <v>12.9406</v>
      </c>
      <c r="AF475">
        <v>51034</v>
      </c>
      <c r="AH475" t="s">
        <v>2698</v>
      </c>
    </row>
    <row r="476" spans="8:34" x14ac:dyDescent="0.25">
      <c r="H476">
        <f t="shared" si="76"/>
        <v>61137</v>
      </c>
      <c r="I476" s="246" t="s">
        <v>807</v>
      </c>
      <c r="J476" s="246">
        <v>48.1</v>
      </c>
      <c r="K476" s="246" t="s">
        <v>1531</v>
      </c>
      <c r="M476" t="str">
        <f t="shared" si="68"/>
        <v>KGAR132T2</v>
      </c>
      <c r="N476" t="str">
        <f>VLOOKUP(H476,'TNB Load'!$A$2:$F$1448,6,FALSE)</f>
        <v>PERLIS</v>
      </c>
      <c r="O476">
        <f t="shared" si="74"/>
        <v>11.7281</v>
      </c>
      <c r="R476">
        <v>51034</v>
      </c>
      <c r="S476" t="s">
        <v>1270</v>
      </c>
      <c r="T476" t="s">
        <v>808</v>
      </c>
      <c r="U476" t="str">
        <f t="shared" si="77"/>
        <v>SBSR132</v>
      </c>
      <c r="W476" t="str">
        <f t="shared" si="78"/>
        <v>SBSR132T3</v>
      </c>
      <c r="X476">
        <v>24.046399999999998</v>
      </c>
      <c r="Z476" t="s">
        <v>1270</v>
      </c>
      <c r="AA476" t="s">
        <v>808</v>
      </c>
      <c r="AB476" t="s">
        <v>2195</v>
      </c>
      <c r="AD476" t="s">
        <v>2198</v>
      </c>
      <c r="AE476">
        <v>24.046399999999998</v>
      </c>
      <c r="AF476">
        <v>51034</v>
      </c>
      <c r="AH476" t="s">
        <v>1642</v>
      </c>
    </row>
    <row r="477" spans="8:34" x14ac:dyDescent="0.25">
      <c r="H477">
        <f t="shared" si="76"/>
        <v>61137</v>
      </c>
      <c r="I477" s="246" t="s">
        <v>804</v>
      </c>
      <c r="J477" s="246">
        <v>48.1</v>
      </c>
      <c r="K477" s="246" t="str">
        <f>K476</f>
        <v>KGAR132</v>
      </c>
      <c r="M477" t="str">
        <f t="shared" si="68"/>
        <v>KGAR132T1</v>
      </c>
      <c r="N477" t="str">
        <f>VLOOKUP(H477,'TNB Load'!$A$2:$F$1448,6,FALSE)</f>
        <v>PERLIS</v>
      </c>
      <c r="O477">
        <f t="shared" si="74"/>
        <v>12.037699999999999</v>
      </c>
      <c r="R477">
        <v>51034</v>
      </c>
      <c r="S477" t="s">
        <v>1270</v>
      </c>
      <c r="T477" t="s">
        <v>809</v>
      </c>
      <c r="U477" t="str">
        <f t="shared" si="77"/>
        <v>SBSR132</v>
      </c>
      <c r="W477" t="str">
        <f t="shared" si="78"/>
        <v>SBSR132T4</v>
      </c>
      <c r="X477">
        <v>23.557600000000001</v>
      </c>
      <c r="Z477" t="s">
        <v>1270</v>
      </c>
      <c r="AA477" t="s">
        <v>809</v>
      </c>
      <c r="AB477" t="s">
        <v>2195</v>
      </c>
      <c r="AD477" t="s">
        <v>2199</v>
      </c>
      <c r="AE477">
        <v>23.557600000000001</v>
      </c>
      <c r="AF477">
        <v>51034</v>
      </c>
      <c r="AH477" t="s">
        <v>1641</v>
      </c>
    </row>
    <row r="478" spans="8:34" x14ac:dyDescent="0.25">
      <c r="H478">
        <f t="shared" si="76"/>
        <v>63111</v>
      </c>
      <c r="I478" s="246" t="s">
        <v>809</v>
      </c>
      <c r="J478" s="246">
        <v>48.1</v>
      </c>
      <c r="K478" s="246" t="s">
        <v>1612</v>
      </c>
      <c r="M478" t="str">
        <f t="shared" ref="M478:M507" si="82">K478&amp;I478</f>
        <v>SIKD132T4</v>
      </c>
      <c r="N478" t="str">
        <f>VLOOKUP(H478,'TNB Load'!$A$2:$F$1448,6,FALSE)</f>
        <v>PERAK</v>
      </c>
      <c r="O478">
        <f t="shared" ref="O478:O507" si="83">VLOOKUP(M478,$W$3:$X$1300,2,FALSE)</f>
        <v>23.921099999999999</v>
      </c>
      <c r="R478">
        <v>51032</v>
      </c>
      <c r="S478" t="s">
        <v>1276</v>
      </c>
      <c r="T478" t="s">
        <v>804</v>
      </c>
      <c r="U478" t="str">
        <f t="shared" si="77"/>
        <v>SDCA132</v>
      </c>
      <c r="W478" t="str">
        <f t="shared" si="78"/>
        <v>SDCA132T1</v>
      </c>
      <c r="X478">
        <v>17.6004</v>
      </c>
      <c r="Z478" t="s">
        <v>1276</v>
      </c>
      <c r="AA478" t="s">
        <v>804</v>
      </c>
      <c r="AB478" t="s">
        <v>2200</v>
      </c>
      <c r="AD478" t="s">
        <v>2201</v>
      </c>
      <c r="AE478">
        <v>17.6004</v>
      </c>
      <c r="AF478">
        <v>51032</v>
      </c>
      <c r="AH478" t="s">
        <v>1919</v>
      </c>
    </row>
    <row r="479" spans="8:34" x14ac:dyDescent="0.25">
      <c r="H479">
        <f t="shared" si="76"/>
        <v>63111</v>
      </c>
      <c r="I479" s="246" t="s">
        <v>808</v>
      </c>
      <c r="J479" s="246">
        <v>48.1</v>
      </c>
      <c r="K479" s="246" t="str">
        <f>K478</f>
        <v>SIKD132</v>
      </c>
      <c r="M479" t="str">
        <f t="shared" si="82"/>
        <v>SIKD132T3</v>
      </c>
      <c r="N479" t="str">
        <f>VLOOKUP(H479,'TNB Load'!$A$2:$F$1448,6,FALSE)</f>
        <v>PERAK</v>
      </c>
      <c r="O479">
        <f t="shared" si="83"/>
        <v>23.8703</v>
      </c>
      <c r="R479">
        <v>51032</v>
      </c>
      <c r="S479" t="s">
        <v>1276</v>
      </c>
      <c r="T479" t="s">
        <v>807</v>
      </c>
      <c r="U479" t="str">
        <f t="shared" si="77"/>
        <v>SDCA132</v>
      </c>
      <c r="W479" t="str">
        <f t="shared" si="78"/>
        <v>SDCA132T2</v>
      </c>
      <c r="X479">
        <v>17.6449</v>
      </c>
      <c r="Z479" t="s">
        <v>1276</v>
      </c>
      <c r="AA479" t="s">
        <v>807</v>
      </c>
      <c r="AB479" t="s">
        <v>2200</v>
      </c>
      <c r="AD479" t="s">
        <v>2202</v>
      </c>
      <c r="AE479">
        <v>17.6449</v>
      </c>
      <c r="AF479">
        <v>51032</v>
      </c>
      <c r="AH479" t="s">
        <v>1918</v>
      </c>
    </row>
    <row r="480" spans="8:34" x14ac:dyDescent="0.25">
      <c r="H480">
        <f t="shared" si="76"/>
        <v>51085</v>
      </c>
      <c r="I480" s="246" t="s">
        <v>809</v>
      </c>
      <c r="J480" s="246">
        <v>48.1</v>
      </c>
      <c r="K480" s="246" t="s">
        <v>1613</v>
      </c>
      <c r="M480" t="str">
        <f t="shared" si="82"/>
        <v>LKDG132T4</v>
      </c>
      <c r="N480" t="str">
        <f>VLOOKUP(H480,'TNB Load'!$A$2:$F$1448,6,FALSE)</f>
        <v>SELANGOR</v>
      </c>
      <c r="O480">
        <f t="shared" si="83"/>
        <v>28.47</v>
      </c>
      <c r="R480">
        <v>51027</v>
      </c>
      <c r="S480" t="s">
        <v>1284</v>
      </c>
      <c r="T480" t="s">
        <v>804</v>
      </c>
      <c r="U480" t="str">
        <f t="shared" si="77"/>
        <v>SHAB132</v>
      </c>
      <c r="W480" t="str">
        <f t="shared" si="78"/>
        <v>SHAB132T1</v>
      </c>
      <c r="X480">
        <v>25.234100000000002</v>
      </c>
      <c r="Z480" t="s">
        <v>1284</v>
      </c>
      <c r="AA480" t="s">
        <v>804</v>
      </c>
      <c r="AB480" t="s">
        <v>1549</v>
      </c>
      <c r="AD480" t="s">
        <v>2203</v>
      </c>
      <c r="AE480">
        <v>25.234100000000002</v>
      </c>
      <c r="AF480">
        <v>51027</v>
      </c>
      <c r="AH480" t="s">
        <v>2114</v>
      </c>
    </row>
    <row r="481" spans="8:34" x14ac:dyDescent="0.25">
      <c r="H481">
        <f t="shared" si="76"/>
        <v>51085</v>
      </c>
      <c r="I481" s="246" t="s">
        <v>808</v>
      </c>
      <c r="J481" s="246">
        <v>48.1</v>
      </c>
      <c r="K481" s="246" t="str">
        <f>K480</f>
        <v>LKDG132</v>
      </c>
      <c r="M481" t="str">
        <f t="shared" si="82"/>
        <v>LKDG132T3</v>
      </c>
      <c r="N481" t="str">
        <f>VLOOKUP(H481,'TNB Load'!$A$2:$F$1448,6,FALSE)</f>
        <v>SELANGOR</v>
      </c>
      <c r="O481">
        <f t="shared" si="83"/>
        <v>28.645</v>
      </c>
      <c r="R481">
        <v>51027</v>
      </c>
      <c r="S481" t="s">
        <v>1284</v>
      </c>
      <c r="T481" t="s">
        <v>807</v>
      </c>
      <c r="U481" t="str">
        <f t="shared" si="77"/>
        <v>SHAB132</v>
      </c>
      <c r="W481" t="str">
        <f t="shared" si="78"/>
        <v>SHAB132T2</v>
      </c>
      <c r="X481">
        <v>26.025200000000002</v>
      </c>
      <c r="Z481" t="s">
        <v>1284</v>
      </c>
      <c r="AA481" t="s">
        <v>807</v>
      </c>
      <c r="AB481" t="s">
        <v>1549</v>
      </c>
      <c r="AD481" t="s">
        <v>2204</v>
      </c>
      <c r="AE481">
        <v>26.025200000000002</v>
      </c>
      <c r="AF481">
        <v>51027</v>
      </c>
      <c r="AH481" t="s">
        <v>2113</v>
      </c>
    </row>
    <row r="482" spans="8:34" x14ac:dyDescent="0.25">
      <c r="H482">
        <f t="shared" si="76"/>
        <v>51075</v>
      </c>
      <c r="I482" s="246" t="s">
        <v>807</v>
      </c>
      <c r="J482" s="246">
        <v>48.1</v>
      </c>
      <c r="K482" s="246" t="s">
        <v>1614</v>
      </c>
      <c r="M482" t="str">
        <f t="shared" si="82"/>
        <v>SJTC132T2</v>
      </c>
      <c r="N482" t="str">
        <f>VLOOKUP(H482,'TNB Load'!$A$2:$F$1448,6,FALSE)</f>
        <v>SELANGOR</v>
      </c>
      <c r="O482">
        <f t="shared" si="83"/>
        <v>28.530100000000001</v>
      </c>
      <c r="R482">
        <v>51017</v>
      </c>
      <c r="S482" t="s">
        <v>1285</v>
      </c>
      <c r="T482" t="s">
        <v>804</v>
      </c>
      <c r="U482" t="str">
        <f t="shared" si="77"/>
        <v>SHAE132</v>
      </c>
      <c r="W482" t="str">
        <f t="shared" si="78"/>
        <v>SHAE132T1</v>
      </c>
      <c r="X482">
        <v>2.3765000000000001</v>
      </c>
      <c r="Z482" t="s">
        <v>1285</v>
      </c>
      <c r="AA482" t="s">
        <v>804</v>
      </c>
      <c r="AB482" t="s">
        <v>1444</v>
      </c>
      <c r="AD482" t="s">
        <v>2205</v>
      </c>
      <c r="AE482">
        <v>2.3765000000000001</v>
      </c>
      <c r="AF482">
        <v>51017</v>
      </c>
      <c r="AH482" t="s">
        <v>2222</v>
      </c>
    </row>
    <row r="483" spans="8:34" x14ac:dyDescent="0.25">
      <c r="H483">
        <f t="shared" si="76"/>
        <v>51075</v>
      </c>
      <c r="I483" s="246" t="s">
        <v>804</v>
      </c>
      <c r="J483" s="246">
        <v>48.1</v>
      </c>
      <c r="K483" s="246" t="str">
        <f>K482</f>
        <v>SJTC132</v>
      </c>
      <c r="M483" t="str">
        <f t="shared" si="82"/>
        <v>SJTC132T1</v>
      </c>
      <c r="N483" t="str">
        <f>VLOOKUP(H483,'TNB Load'!$A$2:$F$1448,6,FALSE)</f>
        <v>SELANGOR</v>
      </c>
      <c r="O483">
        <f t="shared" si="83"/>
        <v>28.460699999999999</v>
      </c>
      <c r="R483">
        <v>51017</v>
      </c>
      <c r="S483" t="s">
        <v>1285</v>
      </c>
      <c r="T483" t="s">
        <v>807</v>
      </c>
      <c r="U483" t="str">
        <f t="shared" si="77"/>
        <v>SHAE132</v>
      </c>
      <c r="W483" t="str">
        <f t="shared" si="78"/>
        <v>SHAE132T2</v>
      </c>
      <c r="X483">
        <v>5.6756000000000002</v>
      </c>
      <c r="Z483" t="s">
        <v>1285</v>
      </c>
      <c r="AA483" t="s">
        <v>807</v>
      </c>
      <c r="AB483" t="s">
        <v>1444</v>
      </c>
      <c r="AD483" t="s">
        <v>2206</v>
      </c>
      <c r="AE483">
        <v>5.6756000000000002</v>
      </c>
      <c r="AF483">
        <v>51017</v>
      </c>
      <c r="AH483" t="s">
        <v>2221</v>
      </c>
    </row>
    <row r="484" spans="8:34" x14ac:dyDescent="0.25">
      <c r="H484">
        <f t="shared" si="76"/>
        <v>62131</v>
      </c>
      <c r="I484" s="246" t="s">
        <v>807</v>
      </c>
      <c r="J484" s="246">
        <v>48.1</v>
      </c>
      <c r="K484" s="246" t="s">
        <v>1615</v>
      </c>
      <c r="M484" t="str">
        <f t="shared" si="82"/>
        <v>BBRU132T2</v>
      </c>
      <c r="N484" t="str">
        <f>VLOOKUP(H484,'TNB Load'!$A$2:$F$1448,6,FALSE)</f>
        <v>P PINANG</v>
      </c>
      <c r="O484">
        <f t="shared" si="83"/>
        <v>48.166200000000003</v>
      </c>
      <c r="R484">
        <v>51017</v>
      </c>
      <c r="S484" t="s">
        <v>1285</v>
      </c>
      <c r="T484" t="s">
        <v>808</v>
      </c>
      <c r="U484" t="str">
        <f t="shared" si="77"/>
        <v>SHAE132</v>
      </c>
      <c r="W484" t="str">
        <f t="shared" si="78"/>
        <v>SHAE132T3</v>
      </c>
      <c r="X484">
        <v>23.785399999999999</v>
      </c>
      <c r="Z484" t="s">
        <v>1285</v>
      </c>
      <c r="AA484" t="s">
        <v>808</v>
      </c>
      <c r="AB484" t="s">
        <v>1444</v>
      </c>
      <c r="AD484" t="s">
        <v>2207</v>
      </c>
      <c r="AE484">
        <v>23.785399999999999</v>
      </c>
      <c r="AF484">
        <v>51017</v>
      </c>
      <c r="AH484" t="s">
        <v>1730</v>
      </c>
    </row>
    <row r="485" spans="8:34" x14ac:dyDescent="0.25">
      <c r="H485">
        <f t="shared" si="76"/>
        <v>62131</v>
      </c>
      <c r="I485" s="246" t="s">
        <v>804</v>
      </c>
      <c r="J485" s="246">
        <v>48.1</v>
      </c>
      <c r="K485" s="246" t="str">
        <f>K484</f>
        <v>BBRU132</v>
      </c>
      <c r="M485" t="str">
        <f t="shared" si="82"/>
        <v>BBRU132T1</v>
      </c>
      <c r="N485" t="str">
        <f>VLOOKUP(H485,'TNB Load'!$A$2:$F$1448,6,FALSE)</f>
        <v>P PINANG</v>
      </c>
      <c r="O485">
        <f t="shared" si="83"/>
        <v>48.453000000000003</v>
      </c>
      <c r="R485">
        <v>51017</v>
      </c>
      <c r="S485" t="s">
        <v>1285</v>
      </c>
      <c r="T485" t="s">
        <v>809</v>
      </c>
      <c r="U485" t="str">
        <f t="shared" si="77"/>
        <v>SHAE132</v>
      </c>
      <c r="W485" t="str">
        <f t="shared" si="78"/>
        <v>SHAE132T4</v>
      </c>
      <c r="X485">
        <v>24.068100000000001</v>
      </c>
      <c r="Z485" t="s">
        <v>1285</v>
      </c>
      <c r="AA485" t="s">
        <v>809</v>
      </c>
      <c r="AB485" t="s">
        <v>1444</v>
      </c>
      <c r="AD485" t="s">
        <v>2208</v>
      </c>
      <c r="AE485">
        <v>24.068100000000001</v>
      </c>
      <c r="AF485">
        <v>51017</v>
      </c>
      <c r="AH485" t="s">
        <v>1729</v>
      </c>
    </row>
    <row r="486" spans="8:34" x14ac:dyDescent="0.25">
      <c r="H486">
        <f t="shared" si="76"/>
        <v>96133</v>
      </c>
      <c r="I486" s="246" t="s">
        <v>807</v>
      </c>
      <c r="J486" s="246">
        <v>48.1</v>
      </c>
      <c r="K486" s="246" t="s">
        <v>1616</v>
      </c>
      <c r="M486" t="str">
        <f t="shared" si="82"/>
        <v>SMRK132T2</v>
      </c>
      <c r="N486" t="str">
        <f>VLOOKUP(H486,'TNB Load'!$A$2:$F$1448,6,FALSE)</f>
        <v>NS</v>
      </c>
      <c r="O486">
        <f t="shared" si="83"/>
        <v>10.801299999999999</v>
      </c>
      <c r="R486">
        <v>51017</v>
      </c>
      <c r="S486" t="s">
        <v>1285</v>
      </c>
      <c r="T486" t="s">
        <v>810</v>
      </c>
      <c r="U486" t="str">
        <f t="shared" si="77"/>
        <v>SHAE132</v>
      </c>
      <c r="W486" t="str">
        <f t="shared" si="78"/>
        <v>SHAE132T5</v>
      </c>
      <c r="X486">
        <v>32.854300000000002</v>
      </c>
      <c r="Z486" t="s">
        <v>1285</v>
      </c>
      <c r="AA486" t="s">
        <v>810</v>
      </c>
      <c r="AB486" t="s">
        <v>1444</v>
      </c>
      <c r="AD486" t="s">
        <v>2209</v>
      </c>
      <c r="AE486">
        <v>32.854300000000002</v>
      </c>
      <c r="AF486">
        <v>51017</v>
      </c>
      <c r="AH486" t="s">
        <v>2479</v>
      </c>
    </row>
    <row r="487" spans="8:34" x14ac:dyDescent="0.25">
      <c r="H487">
        <f t="shared" si="76"/>
        <v>96133</v>
      </c>
      <c r="I487" s="246" t="s">
        <v>804</v>
      </c>
      <c r="J487" s="246">
        <v>48.1</v>
      </c>
      <c r="K487" s="246" t="str">
        <f>K486</f>
        <v>SMRK132</v>
      </c>
      <c r="M487" t="str">
        <f t="shared" si="82"/>
        <v>SMRK132T1</v>
      </c>
      <c r="N487" t="str">
        <f>VLOOKUP(H487,'TNB Load'!$A$2:$F$1448,6,FALSE)</f>
        <v>NS</v>
      </c>
      <c r="O487">
        <f t="shared" si="83"/>
        <v>11.5406</v>
      </c>
      <c r="R487">
        <v>51003</v>
      </c>
      <c r="S487" t="s">
        <v>1286</v>
      </c>
      <c r="T487" t="s">
        <v>804</v>
      </c>
      <c r="U487" t="str">
        <f t="shared" si="77"/>
        <v>SHAN132</v>
      </c>
      <c r="W487" t="str">
        <f t="shared" si="78"/>
        <v>SHAN132T1</v>
      </c>
      <c r="X487">
        <v>0</v>
      </c>
      <c r="Z487" t="s">
        <v>1286</v>
      </c>
      <c r="AA487" t="s">
        <v>804</v>
      </c>
      <c r="AB487" t="s">
        <v>1534</v>
      </c>
      <c r="AD487" t="s">
        <v>2210</v>
      </c>
      <c r="AE487">
        <v>0</v>
      </c>
      <c r="AF487">
        <v>51003</v>
      </c>
      <c r="AH487" t="s">
        <v>2478</v>
      </c>
    </row>
    <row r="488" spans="8:34" x14ac:dyDescent="0.25">
      <c r="H488">
        <f t="shared" si="76"/>
        <v>96194</v>
      </c>
      <c r="I488" s="246" t="s">
        <v>971</v>
      </c>
      <c r="J488" s="246">
        <v>48.1</v>
      </c>
      <c r="K488" s="246" t="s">
        <v>1617</v>
      </c>
      <c r="M488" t="str">
        <f t="shared" si="82"/>
        <v>HLNN132F4</v>
      </c>
      <c r="N488" t="str">
        <f>VLOOKUP(H488,'TNB Load'!$A$2:$F$1448,6,FALSE)</f>
        <v>NS</v>
      </c>
      <c r="O488">
        <f t="shared" si="83"/>
        <v>0</v>
      </c>
      <c r="R488">
        <v>51003</v>
      </c>
      <c r="S488" t="s">
        <v>1286</v>
      </c>
      <c r="T488" t="s">
        <v>807</v>
      </c>
      <c r="U488" t="str">
        <f t="shared" si="77"/>
        <v>SHAN132</v>
      </c>
      <c r="W488" t="str">
        <f t="shared" si="78"/>
        <v>SHAN132T2</v>
      </c>
      <c r="X488">
        <v>7.0000000000000001E-3</v>
      </c>
      <c r="Z488" t="s">
        <v>1286</v>
      </c>
      <c r="AA488" t="s">
        <v>807</v>
      </c>
      <c r="AB488" t="s">
        <v>1534</v>
      </c>
      <c r="AD488" t="s">
        <v>2211</v>
      </c>
      <c r="AE488">
        <v>7.0000000000000001E-3</v>
      </c>
      <c r="AF488">
        <v>51003</v>
      </c>
      <c r="AH488" t="s">
        <v>3141</v>
      </c>
    </row>
    <row r="489" spans="8:34" x14ac:dyDescent="0.25">
      <c r="H489">
        <f t="shared" si="76"/>
        <v>96194</v>
      </c>
      <c r="I489" s="246" t="s">
        <v>827</v>
      </c>
      <c r="J489" s="246">
        <v>48.1</v>
      </c>
      <c r="K489" s="246" t="str">
        <f t="shared" ref="K489:K491" si="84">K488</f>
        <v>HLNN132</v>
      </c>
      <c r="M489" t="str">
        <f t="shared" si="82"/>
        <v>HLNN132F3</v>
      </c>
      <c r="N489" t="str">
        <f>VLOOKUP(H489,'TNB Load'!$A$2:$F$1448,6,FALSE)</f>
        <v>NS</v>
      </c>
      <c r="O489">
        <f t="shared" si="83"/>
        <v>10.868600000000001</v>
      </c>
      <c r="R489">
        <v>51003</v>
      </c>
      <c r="S489" t="s">
        <v>1286</v>
      </c>
      <c r="T489" t="s">
        <v>808</v>
      </c>
      <c r="U489" t="str">
        <f t="shared" si="77"/>
        <v>SHAN132</v>
      </c>
      <c r="W489" t="str">
        <f t="shared" si="78"/>
        <v>SHAN132T3</v>
      </c>
      <c r="X489">
        <v>0</v>
      </c>
      <c r="Z489" t="s">
        <v>1286</v>
      </c>
      <c r="AA489" t="s">
        <v>808</v>
      </c>
      <c r="AB489" t="s">
        <v>1534</v>
      </c>
      <c r="AD489" t="s">
        <v>2212</v>
      </c>
      <c r="AE489">
        <v>0</v>
      </c>
      <c r="AF489">
        <v>51003</v>
      </c>
      <c r="AH489" t="s">
        <v>3142</v>
      </c>
    </row>
    <row r="490" spans="8:34" x14ac:dyDescent="0.25">
      <c r="H490">
        <f t="shared" si="76"/>
        <v>96194</v>
      </c>
      <c r="I490" s="246" t="s">
        <v>826</v>
      </c>
      <c r="J490" s="246">
        <v>48.1</v>
      </c>
      <c r="K490" s="246" t="str">
        <f t="shared" si="84"/>
        <v>HLNN132</v>
      </c>
      <c r="M490" t="str">
        <f t="shared" si="82"/>
        <v>HLNN132F2</v>
      </c>
      <c r="N490" t="str">
        <f>VLOOKUP(H490,'TNB Load'!$A$2:$F$1448,6,FALSE)</f>
        <v>NS</v>
      </c>
      <c r="O490">
        <f t="shared" si="83"/>
        <v>10.7143</v>
      </c>
      <c r="R490">
        <v>51007</v>
      </c>
      <c r="S490" t="s">
        <v>1287</v>
      </c>
      <c r="T490" t="s">
        <v>804</v>
      </c>
      <c r="U490" t="str">
        <f t="shared" si="77"/>
        <v>SHAS132</v>
      </c>
      <c r="W490" t="str">
        <f t="shared" si="78"/>
        <v>SHAS132T1</v>
      </c>
      <c r="X490">
        <v>38.927500000000002</v>
      </c>
      <c r="Z490" t="s">
        <v>1287</v>
      </c>
      <c r="AA490" t="s">
        <v>804</v>
      </c>
      <c r="AB490" t="s">
        <v>1445</v>
      </c>
      <c r="AD490" t="s">
        <v>2213</v>
      </c>
      <c r="AE490">
        <v>38.927500000000002</v>
      </c>
      <c r="AF490">
        <v>51007</v>
      </c>
      <c r="AH490" t="s">
        <v>3143</v>
      </c>
    </row>
    <row r="491" spans="8:34" x14ac:dyDescent="0.25">
      <c r="H491">
        <f t="shared" si="76"/>
        <v>96194</v>
      </c>
      <c r="I491" s="246" t="s">
        <v>823</v>
      </c>
      <c r="J491" s="246">
        <v>48.1</v>
      </c>
      <c r="K491" s="246" t="str">
        <f t="shared" si="84"/>
        <v>HLNN132</v>
      </c>
      <c r="M491" t="str">
        <f t="shared" si="82"/>
        <v>HLNN132F1</v>
      </c>
      <c r="N491" t="str">
        <f>VLOOKUP(H491,'TNB Load'!$A$2:$F$1448,6,FALSE)</f>
        <v>NS</v>
      </c>
      <c r="O491">
        <f t="shared" si="83"/>
        <v>0.1118</v>
      </c>
      <c r="R491">
        <v>51007</v>
      </c>
      <c r="S491" t="s">
        <v>1287</v>
      </c>
      <c r="T491" t="s">
        <v>807</v>
      </c>
      <c r="U491" t="str">
        <f t="shared" si="77"/>
        <v>SHAS132</v>
      </c>
      <c r="W491" t="str">
        <f t="shared" si="78"/>
        <v>SHAS132T2</v>
      </c>
      <c r="X491">
        <v>39.047600000000003</v>
      </c>
      <c r="Z491" t="s">
        <v>1287</v>
      </c>
      <c r="AA491" t="s">
        <v>807</v>
      </c>
      <c r="AB491" t="s">
        <v>1445</v>
      </c>
      <c r="AD491" t="s">
        <v>2214</v>
      </c>
      <c r="AE491">
        <v>39.047600000000003</v>
      </c>
      <c r="AF491">
        <v>51007</v>
      </c>
      <c r="AH491" t="s">
        <v>3144</v>
      </c>
    </row>
    <row r="492" spans="8:34" x14ac:dyDescent="0.25">
      <c r="H492">
        <f t="shared" si="76"/>
        <v>97142</v>
      </c>
      <c r="I492" s="246" t="s">
        <v>807</v>
      </c>
      <c r="J492" s="246">
        <v>48.1</v>
      </c>
      <c r="K492" s="246" t="s">
        <v>1618</v>
      </c>
      <c r="M492" t="str">
        <f t="shared" si="82"/>
        <v>SELG132T2</v>
      </c>
      <c r="N492" t="str">
        <f>VLOOKUP(H492,'TNB Load'!$A$2:$F$1448,6,FALSE)</f>
        <v>JOHOR</v>
      </c>
      <c r="O492">
        <f t="shared" si="83"/>
        <v>14.6927</v>
      </c>
      <c r="R492">
        <v>51041</v>
      </c>
      <c r="S492" t="s">
        <v>1288</v>
      </c>
      <c r="T492" t="s">
        <v>804</v>
      </c>
      <c r="U492" t="str">
        <f t="shared" si="77"/>
        <v>SHAW132</v>
      </c>
      <c r="W492" t="str">
        <f t="shared" si="78"/>
        <v>SHAW132T1</v>
      </c>
      <c r="X492">
        <v>9.2294</v>
      </c>
      <c r="Z492" t="s">
        <v>1288</v>
      </c>
      <c r="AA492" t="s">
        <v>804</v>
      </c>
      <c r="AB492" t="s">
        <v>1532</v>
      </c>
      <c r="AD492" t="s">
        <v>2215</v>
      </c>
      <c r="AE492">
        <v>9.2294</v>
      </c>
      <c r="AF492">
        <v>51041</v>
      </c>
      <c r="AH492" t="s">
        <v>2789</v>
      </c>
    </row>
    <row r="493" spans="8:34" x14ac:dyDescent="0.25">
      <c r="H493">
        <f t="shared" si="76"/>
        <v>97142</v>
      </c>
      <c r="I493" s="246" t="s">
        <v>804</v>
      </c>
      <c r="J493" s="246">
        <v>48.1</v>
      </c>
      <c r="K493" s="246" t="str">
        <f>K492</f>
        <v>SELG132</v>
      </c>
      <c r="M493" t="str">
        <f t="shared" si="82"/>
        <v>SELG132T1</v>
      </c>
      <c r="N493" t="str">
        <f>VLOOKUP(H493,'TNB Load'!$A$2:$F$1448,6,FALSE)</f>
        <v>JOHOR</v>
      </c>
      <c r="O493">
        <f t="shared" si="83"/>
        <v>14.6927</v>
      </c>
      <c r="R493">
        <v>51041</v>
      </c>
      <c r="S493" t="s">
        <v>1288</v>
      </c>
      <c r="T493" t="s">
        <v>807</v>
      </c>
      <c r="U493" t="str">
        <f t="shared" si="77"/>
        <v>SHAW132</v>
      </c>
      <c r="W493" t="str">
        <f t="shared" si="78"/>
        <v>SHAW132T2</v>
      </c>
      <c r="X493">
        <v>5.8288000000000002</v>
      </c>
      <c r="Z493" t="s">
        <v>1288</v>
      </c>
      <c r="AA493" t="s">
        <v>807</v>
      </c>
      <c r="AB493" t="s">
        <v>1532</v>
      </c>
      <c r="AD493" t="s">
        <v>2216</v>
      </c>
      <c r="AE493">
        <v>5.8288000000000002</v>
      </c>
      <c r="AF493">
        <v>51041</v>
      </c>
      <c r="AH493" t="s">
        <v>2788</v>
      </c>
    </row>
    <row r="494" spans="8:34" x14ac:dyDescent="0.25">
      <c r="H494">
        <f t="shared" si="76"/>
        <v>97152</v>
      </c>
      <c r="I494" s="246" t="s">
        <v>807</v>
      </c>
      <c r="J494" s="246">
        <v>48.1</v>
      </c>
      <c r="K494" s="246" t="s">
        <v>1619</v>
      </c>
      <c r="M494" t="str">
        <f t="shared" si="82"/>
        <v>STUL132T2</v>
      </c>
      <c r="N494" t="str">
        <f>VLOOKUP(H494,'TNB Load'!$A$2:$F$1448,6,FALSE)</f>
        <v>JOHOR</v>
      </c>
      <c r="O494">
        <f t="shared" si="83"/>
        <v>5.2778999999999998</v>
      </c>
      <c r="R494">
        <v>51041</v>
      </c>
      <c r="S494" t="s">
        <v>1288</v>
      </c>
      <c r="T494" t="s">
        <v>808</v>
      </c>
      <c r="U494" t="str">
        <f t="shared" si="77"/>
        <v>SHAW132</v>
      </c>
      <c r="W494" t="str">
        <f t="shared" si="78"/>
        <v>SHAW132T3</v>
      </c>
      <c r="X494">
        <v>28.591100000000001</v>
      </c>
      <c r="Z494" t="s">
        <v>1288</v>
      </c>
      <c r="AA494" t="s">
        <v>808</v>
      </c>
      <c r="AB494" t="s">
        <v>1532</v>
      </c>
      <c r="AD494" t="s">
        <v>2217</v>
      </c>
      <c r="AE494">
        <v>28.591100000000001</v>
      </c>
      <c r="AF494">
        <v>51041</v>
      </c>
      <c r="AH494" t="s">
        <v>2832</v>
      </c>
    </row>
    <row r="495" spans="8:34" x14ac:dyDescent="0.25">
      <c r="H495">
        <f t="shared" si="76"/>
        <v>97152</v>
      </c>
      <c r="I495" s="246" t="s">
        <v>804</v>
      </c>
      <c r="J495" s="246">
        <v>48.1</v>
      </c>
      <c r="K495" s="246" t="str">
        <f>K494</f>
        <v>STUL132</v>
      </c>
      <c r="M495" t="str">
        <f t="shared" si="82"/>
        <v>STUL132T1</v>
      </c>
      <c r="N495" t="str">
        <f>VLOOKUP(H495,'TNB Load'!$A$2:$F$1448,6,FALSE)</f>
        <v>JOHOR</v>
      </c>
      <c r="O495">
        <f t="shared" si="83"/>
        <v>5.2914000000000003</v>
      </c>
      <c r="R495">
        <v>51041</v>
      </c>
      <c r="S495" t="s">
        <v>1288</v>
      </c>
      <c r="T495" t="s">
        <v>809</v>
      </c>
      <c r="U495" t="str">
        <f t="shared" si="77"/>
        <v>SHAW132</v>
      </c>
      <c r="W495" t="str">
        <f t="shared" si="78"/>
        <v>SHAW132T4</v>
      </c>
      <c r="X495">
        <v>28.456499999999998</v>
      </c>
      <c r="Z495" t="s">
        <v>1288</v>
      </c>
      <c r="AA495" t="s">
        <v>809</v>
      </c>
      <c r="AB495" t="s">
        <v>1532</v>
      </c>
      <c r="AD495" t="s">
        <v>2218</v>
      </c>
      <c r="AE495">
        <v>28.456499999999998</v>
      </c>
      <c r="AF495">
        <v>51041</v>
      </c>
      <c r="AH495" t="s">
        <v>2831</v>
      </c>
    </row>
    <row r="496" spans="8:34" x14ac:dyDescent="0.25">
      <c r="H496">
        <f t="shared" si="76"/>
        <v>97146</v>
      </c>
      <c r="I496" s="246" t="s">
        <v>809</v>
      </c>
      <c r="J496" s="246">
        <v>48.1</v>
      </c>
      <c r="K496" s="246" t="s">
        <v>1620</v>
      </c>
      <c r="M496" t="str">
        <f t="shared" si="82"/>
        <v>SGAD132T4</v>
      </c>
      <c r="N496" t="str">
        <f>VLOOKUP(H496,'TNB Load'!$A$2:$F$1448,6,FALSE)</f>
        <v>JOHOR</v>
      </c>
      <c r="O496">
        <f t="shared" si="83"/>
        <v>10.7537</v>
      </c>
      <c r="R496">
        <v>51002</v>
      </c>
      <c r="S496" t="s">
        <v>1290</v>
      </c>
      <c r="T496" t="s">
        <v>804</v>
      </c>
      <c r="U496" t="str">
        <f t="shared" si="77"/>
        <v>SHLB132</v>
      </c>
      <c r="W496" t="str">
        <f t="shared" si="78"/>
        <v>SHLB132T1</v>
      </c>
      <c r="X496">
        <v>27.409600000000001</v>
      </c>
      <c r="Z496" t="s">
        <v>1290</v>
      </c>
      <c r="AA496" t="s">
        <v>804</v>
      </c>
      <c r="AB496" t="s">
        <v>1535</v>
      </c>
      <c r="AD496" t="s">
        <v>2219</v>
      </c>
      <c r="AE496">
        <v>27.409600000000001</v>
      </c>
      <c r="AF496">
        <v>51002</v>
      </c>
      <c r="AH496" t="s">
        <v>2793</v>
      </c>
    </row>
    <row r="497" spans="8:34" x14ac:dyDescent="0.25">
      <c r="H497">
        <f t="shared" si="76"/>
        <v>97146</v>
      </c>
      <c r="I497" s="246" t="s">
        <v>808</v>
      </c>
      <c r="J497" s="246">
        <v>48.1</v>
      </c>
      <c r="K497" s="246" t="str">
        <f t="shared" ref="K497:K499" si="85">K496</f>
        <v>SGAD132</v>
      </c>
      <c r="M497" t="str">
        <f t="shared" si="82"/>
        <v>SGAD132T3</v>
      </c>
      <c r="N497" t="str">
        <f>VLOOKUP(H497,'TNB Load'!$A$2:$F$1448,6,FALSE)</f>
        <v>JOHOR</v>
      </c>
      <c r="O497">
        <f t="shared" si="83"/>
        <v>11.9062</v>
      </c>
      <c r="R497">
        <v>51002</v>
      </c>
      <c r="S497" t="s">
        <v>1290</v>
      </c>
      <c r="T497" t="s">
        <v>807</v>
      </c>
      <c r="U497" t="str">
        <f t="shared" si="77"/>
        <v>SHLB132</v>
      </c>
      <c r="W497" t="str">
        <f t="shared" si="78"/>
        <v>SHLB132T2</v>
      </c>
      <c r="X497">
        <v>27.513200000000001</v>
      </c>
      <c r="Z497" t="s">
        <v>1290</v>
      </c>
      <c r="AA497" t="s">
        <v>807</v>
      </c>
      <c r="AB497" t="s">
        <v>1535</v>
      </c>
      <c r="AD497" t="s">
        <v>2220</v>
      </c>
      <c r="AE497">
        <v>27.513200000000001</v>
      </c>
      <c r="AF497">
        <v>51002</v>
      </c>
      <c r="AH497" t="s">
        <v>2792</v>
      </c>
    </row>
    <row r="498" spans="8:34" x14ac:dyDescent="0.25">
      <c r="H498">
        <f t="shared" si="76"/>
        <v>97146</v>
      </c>
      <c r="I498" s="246" t="s">
        <v>807</v>
      </c>
      <c r="J498" s="246">
        <v>48.1</v>
      </c>
      <c r="K498" s="246" t="str">
        <f t="shared" si="85"/>
        <v>SGAD132</v>
      </c>
      <c r="M498" t="str">
        <f t="shared" si="82"/>
        <v>SGAD132T2</v>
      </c>
      <c r="N498" t="str">
        <f>VLOOKUP(H498,'TNB Load'!$A$2:$F$1448,6,FALSE)</f>
        <v>JOHOR</v>
      </c>
      <c r="O498">
        <f t="shared" si="83"/>
        <v>8.7022999999999993</v>
      </c>
      <c r="R498">
        <v>51075</v>
      </c>
      <c r="S498" t="s">
        <v>1297</v>
      </c>
      <c r="T498" t="s">
        <v>804</v>
      </c>
      <c r="U498" t="str">
        <f t="shared" si="77"/>
        <v>SJTC132</v>
      </c>
      <c r="W498" t="str">
        <f t="shared" si="78"/>
        <v>SJTC132T1</v>
      </c>
      <c r="X498">
        <v>28.460699999999999</v>
      </c>
      <c r="Z498" t="s">
        <v>1297</v>
      </c>
      <c r="AA498" t="s">
        <v>804</v>
      </c>
      <c r="AB498" t="s">
        <v>1614</v>
      </c>
      <c r="AD498" t="s">
        <v>2221</v>
      </c>
      <c r="AE498">
        <v>28.460699999999999</v>
      </c>
      <c r="AF498">
        <v>51075</v>
      </c>
      <c r="AH498" t="s">
        <v>2791</v>
      </c>
    </row>
    <row r="499" spans="8:34" x14ac:dyDescent="0.25">
      <c r="H499">
        <f t="shared" si="76"/>
        <v>97146</v>
      </c>
      <c r="I499" s="246" t="s">
        <v>804</v>
      </c>
      <c r="J499" s="246">
        <v>48.1</v>
      </c>
      <c r="K499" s="246" t="str">
        <f t="shared" si="85"/>
        <v>SGAD132</v>
      </c>
      <c r="M499" t="str">
        <f t="shared" si="82"/>
        <v>SGAD132T1</v>
      </c>
      <c r="N499" t="str">
        <f>VLOOKUP(H499,'TNB Load'!$A$2:$F$1448,6,FALSE)</f>
        <v>JOHOR</v>
      </c>
      <c r="O499">
        <f t="shared" si="83"/>
        <v>15.217700000000001</v>
      </c>
      <c r="R499">
        <v>51075</v>
      </c>
      <c r="S499" t="s">
        <v>1297</v>
      </c>
      <c r="T499" t="s">
        <v>807</v>
      </c>
      <c r="U499" t="str">
        <f t="shared" si="77"/>
        <v>SJTC132</v>
      </c>
      <c r="W499" t="str">
        <f t="shared" si="78"/>
        <v>SJTC132T2</v>
      </c>
      <c r="X499">
        <v>28.530100000000001</v>
      </c>
      <c r="Z499" t="s">
        <v>1297</v>
      </c>
      <c r="AA499" t="s">
        <v>807</v>
      </c>
      <c r="AB499" t="s">
        <v>1614</v>
      </c>
      <c r="AD499" t="s">
        <v>2222</v>
      </c>
      <c r="AE499">
        <v>28.530100000000001</v>
      </c>
      <c r="AF499">
        <v>51075</v>
      </c>
      <c r="AH499" t="s">
        <v>2790</v>
      </c>
    </row>
    <row r="500" spans="8:34" x14ac:dyDescent="0.25">
      <c r="H500">
        <f t="shared" si="76"/>
        <v>97103</v>
      </c>
      <c r="I500" s="246" t="s">
        <v>809</v>
      </c>
      <c r="J500" s="246">
        <v>48.1</v>
      </c>
      <c r="K500" s="246" t="s">
        <v>1621</v>
      </c>
      <c r="M500" t="str">
        <f t="shared" si="82"/>
        <v>PJML132T4</v>
      </c>
      <c r="N500" t="str">
        <f>VLOOKUP(H500,'TNB Load'!$A$2:$F$1448,6,FALSE)</f>
        <v>JOHOR</v>
      </c>
      <c r="O500">
        <f t="shared" si="83"/>
        <v>9.5803999999999991</v>
      </c>
      <c r="R500">
        <v>51054</v>
      </c>
      <c r="S500" t="s">
        <v>1308</v>
      </c>
      <c r="T500" t="s">
        <v>804</v>
      </c>
      <c r="U500" t="str">
        <f t="shared" si="77"/>
        <v>SMYH132</v>
      </c>
      <c r="W500" t="str">
        <f t="shared" si="78"/>
        <v>SMYH132T1</v>
      </c>
      <c r="X500">
        <v>8.4382999999999999</v>
      </c>
      <c r="Z500" t="s">
        <v>1308</v>
      </c>
      <c r="AA500" t="s">
        <v>804</v>
      </c>
      <c r="AB500" t="s">
        <v>1600</v>
      </c>
      <c r="AD500" t="s">
        <v>2223</v>
      </c>
      <c r="AE500">
        <v>8.4382999999999999</v>
      </c>
      <c r="AF500">
        <v>51054</v>
      </c>
      <c r="AH500" t="s">
        <v>2727</v>
      </c>
    </row>
    <row r="501" spans="8:34" x14ac:dyDescent="0.25">
      <c r="H501">
        <f t="shared" si="76"/>
        <v>97103</v>
      </c>
      <c r="I501" s="246" t="s">
        <v>808</v>
      </c>
      <c r="J501" s="246">
        <v>48.1</v>
      </c>
      <c r="K501" s="246" t="str">
        <f>K500</f>
        <v>PJML132</v>
      </c>
      <c r="M501" t="str">
        <f t="shared" si="82"/>
        <v>PJML132T3</v>
      </c>
      <c r="N501" t="str">
        <f>VLOOKUP(H501,'TNB Load'!$A$2:$F$1448,6,FALSE)</f>
        <v>JOHOR</v>
      </c>
      <c r="O501">
        <f t="shared" si="83"/>
        <v>9.6156000000000006</v>
      </c>
      <c r="R501">
        <v>51054</v>
      </c>
      <c r="S501" t="s">
        <v>1308</v>
      </c>
      <c r="T501" t="s">
        <v>807</v>
      </c>
      <c r="U501" t="str">
        <f t="shared" si="77"/>
        <v>SMYH132</v>
      </c>
      <c r="W501" t="str">
        <f t="shared" si="78"/>
        <v>SMYH132T2</v>
      </c>
      <c r="X501">
        <v>12.1516</v>
      </c>
      <c r="Z501" t="s">
        <v>1308</v>
      </c>
      <c r="AA501" t="s">
        <v>807</v>
      </c>
      <c r="AB501" t="s">
        <v>1600</v>
      </c>
      <c r="AD501" t="s">
        <v>2224</v>
      </c>
      <c r="AE501">
        <v>12.1516</v>
      </c>
      <c r="AF501">
        <v>51054</v>
      </c>
      <c r="AH501" t="s">
        <v>2726</v>
      </c>
    </row>
    <row r="502" spans="8:34" x14ac:dyDescent="0.25">
      <c r="H502">
        <f t="shared" si="76"/>
        <v>97104</v>
      </c>
      <c r="I502" s="246" t="s">
        <v>807</v>
      </c>
      <c r="J502" s="246">
        <v>48.1</v>
      </c>
      <c r="K502" s="246" t="s">
        <v>1622</v>
      </c>
      <c r="M502" t="str">
        <f t="shared" si="82"/>
        <v>PYSF132T2</v>
      </c>
      <c r="N502" t="str">
        <f>VLOOKUP(H502,'TNB Load'!$A$2:$F$1448,6,FALSE)</f>
        <v>JOHOR</v>
      </c>
      <c r="O502">
        <f t="shared" si="83"/>
        <v>3.9866999999999999</v>
      </c>
      <c r="R502">
        <v>51030</v>
      </c>
      <c r="S502" t="s">
        <v>1321</v>
      </c>
      <c r="T502" t="s">
        <v>804</v>
      </c>
      <c r="U502" t="str">
        <f t="shared" si="77"/>
        <v>SRDG132</v>
      </c>
      <c r="W502" t="str">
        <f t="shared" si="78"/>
        <v>SRDG132T1</v>
      </c>
      <c r="X502">
        <v>30.291399999999999</v>
      </c>
      <c r="Z502" t="s">
        <v>1321</v>
      </c>
      <c r="AA502" t="s">
        <v>804</v>
      </c>
      <c r="AB502" t="s">
        <v>2225</v>
      </c>
      <c r="AD502" t="s">
        <v>2226</v>
      </c>
      <c r="AE502">
        <v>30.291399999999999</v>
      </c>
      <c r="AF502">
        <v>51030</v>
      </c>
      <c r="AH502" t="s">
        <v>2768</v>
      </c>
    </row>
    <row r="503" spans="8:34" x14ac:dyDescent="0.25">
      <c r="H503">
        <f t="shared" si="76"/>
        <v>97104</v>
      </c>
      <c r="I503" s="246" t="s">
        <v>804</v>
      </c>
      <c r="J503" s="246">
        <v>48.1</v>
      </c>
      <c r="K503" s="246" t="str">
        <f>K502</f>
        <v>PYSF132</v>
      </c>
      <c r="M503" t="str">
        <f t="shared" si="82"/>
        <v>PYSF132T1</v>
      </c>
      <c r="N503" t="str">
        <f>VLOOKUP(H503,'TNB Load'!$A$2:$F$1448,6,FALSE)</f>
        <v>JOHOR</v>
      </c>
      <c r="O503">
        <f t="shared" si="83"/>
        <v>4.0208000000000004</v>
      </c>
      <c r="R503">
        <v>51030</v>
      </c>
      <c r="S503" t="s">
        <v>1321</v>
      </c>
      <c r="T503" t="s">
        <v>807</v>
      </c>
      <c r="U503" t="str">
        <f t="shared" si="77"/>
        <v>SRDG132</v>
      </c>
      <c r="W503" t="str">
        <f t="shared" si="78"/>
        <v>SRDG132T2</v>
      </c>
      <c r="X503">
        <v>0</v>
      </c>
      <c r="Z503" t="s">
        <v>1321</v>
      </c>
      <c r="AA503" t="s">
        <v>807</v>
      </c>
      <c r="AB503" t="s">
        <v>2225</v>
      </c>
      <c r="AD503" t="s">
        <v>2227</v>
      </c>
      <c r="AE503">
        <v>0</v>
      </c>
      <c r="AF503">
        <v>51030</v>
      </c>
      <c r="AH503" t="s">
        <v>2767</v>
      </c>
    </row>
    <row r="504" spans="8:34" x14ac:dyDescent="0.25">
      <c r="H504">
        <f t="shared" si="76"/>
        <v>97120</v>
      </c>
      <c r="I504" s="246" t="s">
        <v>807</v>
      </c>
      <c r="J504" s="246">
        <v>48.1</v>
      </c>
      <c r="K504" s="246" t="s">
        <v>1623</v>
      </c>
      <c r="M504" t="str">
        <f t="shared" si="82"/>
        <v>PSRI132T2</v>
      </c>
      <c r="N504" t="str">
        <f>VLOOKUP(H504,'TNB Load'!$A$2:$F$1448,6,FALSE)</f>
        <v>JOHOR</v>
      </c>
      <c r="O504">
        <f t="shared" si="83"/>
        <v>16.16</v>
      </c>
      <c r="R504">
        <v>51029</v>
      </c>
      <c r="S504" t="s">
        <v>1335</v>
      </c>
      <c r="T504" t="s">
        <v>804</v>
      </c>
      <c r="U504" t="str">
        <f t="shared" si="77"/>
        <v>SSWW132</v>
      </c>
      <c r="W504" t="str">
        <f t="shared" si="78"/>
        <v>SSWW132T1</v>
      </c>
      <c r="X504">
        <v>0</v>
      </c>
      <c r="Z504" t="s">
        <v>1335</v>
      </c>
      <c r="AA504" t="s">
        <v>804</v>
      </c>
      <c r="AB504" t="s">
        <v>2228</v>
      </c>
      <c r="AD504" t="s">
        <v>2229</v>
      </c>
      <c r="AE504">
        <v>0</v>
      </c>
      <c r="AF504">
        <v>51029</v>
      </c>
      <c r="AH504" t="s">
        <v>2764</v>
      </c>
    </row>
    <row r="505" spans="8:34" x14ac:dyDescent="0.25">
      <c r="H505">
        <f t="shared" si="76"/>
        <v>97120</v>
      </c>
      <c r="I505" s="246" t="s">
        <v>804</v>
      </c>
      <c r="J505" s="246">
        <v>48.1</v>
      </c>
      <c r="K505" s="246" t="str">
        <f>K504</f>
        <v>PSRI132</v>
      </c>
      <c r="M505" t="str">
        <f t="shared" si="82"/>
        <v>PSRI132T1</v>
      </c>
      <c r="N505" t="str">
        <f>VLOOKUP(H505,'TNB Load'!$A$2:$F$1448,6,FALSE)</f>
        <v>JOHOR</v>
      </c>
      <c r="O505">
        <f t="shared" si="83"/>
        <v>6.8032000000000004</v>
      </c>
      <c r="R505">
        <v>51029</v>
      </c>
      <c r="S505" t="s">
        <v>1335</v>
      </c>
      <c r="T505" t="s">
        <v>807</v>
      </c>
      <c r="U505" t="str">
        <f t="shared" si="77"/>
        <v>SSWW132</v>
      </c>
      <c r="W505" t="str">
        <f t="shared" si="78"/>
        <v>SSWW132T2</v>
      </c>
      <c r="X505">
        <v>9.4634</v>
      </c>
      <c r="Z505" t="s">
        <v>1335</v>
      </c>
      <c r="AA505" t="s">
        <v>807</v>
      </c>
      <c r="AB505" t="s">
        <v>2228</v>
      </c>
      <c r="AD505" t="s">
        <v>2230</v>
      </c>
      <c r="AE505">
        <v>9.4634</v>
      </c>
      <c r="AF505">
        <v>51029</v>
      </c>
      <c r="AH505" t="s">
        <v>2763</v>
      </c>
    </row>
    <row r="506" spans="8:34" x14ac:dyDescent="0.25">
      <c r="H506">
        <f t="shared" si="76"/>
        <v>97125</v>
      </c>
      <c r="I506" s="246" t="s">
        <v>809</v>
      </c>
      <c r="J506" s="246">
        <v>48.1</v>
      </c>
      <c r="K506" s="246" t="s">
        <v>1624</v>
      </c>
      <c r="M506" t="str">
        <f t="shared" si="82"/>
        <v>SSLG132T4</v>
      </c>
      <c r="N506" t="str">
        <f>VLOOKUP(H506,'TNB Load'!$A$2:$F$1448,6,FALSE)</f>
        <v>JOHOR</v>
      </c>
      <c r="O506">
        <f t="shared" si="83"/>
        <v>4.5106000000000002</v>
      </c>
      <c r="R506">
        <v>51013</v>
      </c>
      <c r="S506" t="s">
        <v>1337</v>
      </c>
      <c r="T506" t="s">
        <v>804</v>
      </c>
      <c r="U506" t="str">
        <f t="shared" si="77"/>
        <v>STIA132</v>
      </c>
      <c r="W506" t="str">
        <f t="shared" si="78"/>
        <v>STIA132T1</v>
      </c>
      <c r="X506">
        <v>33.1173</v>
      </c>
      <c r="Z506" t="s">
        <v>1337</v>
      </c>
      <c r="AA506" t="s">
        <v>804</v>
      </c>
      <c r="AB506" t="s">
        <v>1425</v>
      </c>
      <c r="AD506" t="s">
        <v>2231</v>
      </c>
      <c r="AE506">
        <v>33.1173</v>
      </c>
      <c r="AF506">
        <v>51013</v>
      </c>
      <c r="AH506" t="s">
        <v>2825</v>
      </c>
    </row>
    <row r="507" spans="8:34" x14ac:dyDescent="0.25">
      <c r="H507">
        <f t="shared" si="76"/>
        <v>97125</v>
      </c>
      <c r="I507" s="246" t="s">
        <v>808</v>
      </c>
      <c r="J507" s="246">
        <v>48.1</v>
      </c>
      <c r="K507" s="246" t="str">
        <f>K506</f>
        <v>SSLG132</v>
      </c>
      <c r="M507" t="str">
        <f t="shared" si="82"/>
        <v>SSLG132T3</v>
      </c>
      <c r="N507" t="str">
        <f>VLOOKUP(H507,'TNB Load'!$A$2:$F$1448,6,FALSE)</f>
        <v>JOHOR</v>
      </c>
      <c r="O507">
        <f t="shared" si="83"/>
        <v>4.5012999999999996</v>
      </c>
      <c r="R507">
        <v>51013</v>
      </c>
      <c r="S507" t="s">
        <v>1337</v>
      </c>
      <c r="T507" t="s">
        <v>807</v>
      </c>
      <c r="U507" t="str">
        <f t="shared" si="77"/>
        <v>STIA132</v>
      </c>
      <c r="W507" t="str">
        <f t="shared" si="78"/>
        <v>STIA132T2</v>
      </c>
      <c r="X507">
        <v>36.979700000000001</v>
      </c>
      <c r="Z507" t="s">
        <v>1337</v>
      </c>
      <c r="AA507" t="s">
        <v>807</v>
      </c>
      <c r="AB507" t="s">
        <v>1425</v>
      </c>
      <c r="AD507" t="s">
        <v>2232</v>
      </c>
      <c r="AE507">
        <v>36.979700000000001</v>
      </c>
      <c r="AF507">
        <v>51013</v>
      </c>
      <c r="AH507" t="s">
        <v>2824</v>
      </c>
    </row>
    <row r="508" spans="8:34" x14ac:dyDescent="0.25">
      <c r="R508">
        <v>51020</v>
      </c>
      <c r="S508" t="s">
        <v>1365</v>
      </c>
      <c r="T508" t="s">
        <v>804</v>
      </c>
      <c r="U508" t="str">
        <f t="shared" si="77"/>
        <v>TJYA132</v>
      </c>
      <c r="W508" t="str">
        <f t="shared" si="78"/>
        <v>TJYA132T1</v>
      </c>
      <c r="X508">
        <v>26.490100000000002</v>
      </c>
      <c r="Z508" t="s">
        <v>1365</v>
      </c>
      <c r="AA508" t="s">
        <v>804</v>
      </c>
      <c r="AB508" t="s">
        <v>2233</v>
      </c>
      <c r="AD508" t="s">
        <v>2234</v>
      </c>
      <c r="AE508">
        <v>26.490100000000002</v>
      </c>
      <c r="AF508">
        <v>51020</v>
      </c>
    </row>
    <row r="509" spans="8:34" x14ac:dyDescent="0.25">
      <c r="R509">
        <v>51020</v>
      </c>
      <c r="S509" t="s">
        <v>1365</v>
      </c>
      <c r="T509" t="s">
        <v>807</v>
      </c>
      <c r="U509" t="str">
        <f t="shared" si="77"/>
        <v>TJYA132</v>
      </c>
      <c r="W509" t="str">
        <f t="shared" si="78"/>
        <v>TJYA132T2</v>
      </c>
      <c r="X509">
        <v>26.880500000000001</v>
      </c>
      <c r="Z509" t="s">
        <v>1365</v>
      </c>
      <c r="AA509" t="s">
        <v>807</v>
      </c>
      <c r="AB509" t="s">
        <v>2233</v>
      </c>
      <c r="AD509" t="s">
        <v>2235</v>
      </c>
      <c r="AE509">
        <v>26.880500000000001</v>
      </c>
      <c r="AF509">
        <v>51020</v>
      </c>
    </row>
    <row r="510" spans="8:34" x14ac:dyDescent="0.25">
      <c r="R510">
        <v>51020</v>
      </c>
      <c r="S510" t="s">
        <v>1365</v>
      </c>
      <c r="T510" t="s">
        <v>808</v>
      </c>
      <c r="U510" t="str">
        <f t="shared" si="77"/>
        <v>TJYA132</v>
      </c>
      <c r="W510" t="str">
        <f t="shared" si="78"/>
        <v>TJYA132T3</v>
      </c>
      <c r="X510">
        <v>16.226299999999998</v>
      </c>
      <c r="Z510" t="s">
        <v>1365</v>
      </c>
      <c r="AA510" t="s">
        <v>808</v>
      </c>
      <c r="AB510" t="s">
        <v>2233</v>
      </c>
      <c r="AD510" t="s">
        <v>2236</v>
      </c>
      <c r="AE510">
        <v>16.226299999999998</v>
      </c>
      <c r="AF510">
        <v>51020</v>
      </c>
    </row>
    <row r="511" spans="8:34" x14ac:dyDescent="0.25">
      <c r="R511">
        <v>51084</v>
      </c>
      <c r="S511" t="s">
        <v>1381</v>
      </c>
      <c r="T511" t="s">
        <v>804</v>
      </c>
      <c r="U511" t="str">
        <f t="shared" si="77"/>
        <v>TMSY132</v>
      </c>
      <c r="W511" t="str">
        <f t="shared" si="78"/>
        <v>TMSY132T1</v>
      </c>
      <c r="X511">
        <v>15.5138</v>
      </c>
      <c r="Z511" t="s">
        <v>1381</v>
      </c>
      <c r="AA511" t="s">
        <v>804</v>
      </c>
      <c r="AB511" t="s">
        <v>1480</v>
      </c>
      <c r="AD511" t="s">
        <v>2237</v>
      </c>
      <c r="AE511">
        <v>15.5138</v>
      </c>
      <c r="AF511">
        <v>51084</v>
      </c>
    </row>
    <row r="512" spans="8:34" x14ac:dyDescent="0.25">
      <c r="R512">
        <v>51084</v>
      </c>
      <c r="S512" t="s">
        <v>1381</v>
      </c>
      <c r="T512" t="s">
        <v>807</v>
      </c>
      <c r="U512" t="str">
        <f t="shared" si="77"/>
        <v>TMSY132</v>
      </c>
      <c r="W512" t="str">
        <f t="shared" si="78"/>
        <v>TMSY132T2</v>
      </c>
      <c r="X512">
        <v>15.476599999999999</v>
      </c>
      <c r="Z512" t="s">
        <v>1381</v>
      </c>
      <c r="AA512" t="s">
        <v>807</v>
      </c>
      <c r="AB512" t="s">
        <v>1480</v>
      </c>
      <c r="AD512" t="s">
        <v>2238</v>
      </c>
      <c r="AE512">
        <v>15.476599999999999</v>
      </c>
      <c r="AF512">
        <v>51084</v>
      </c>
    </row>
    <row r="513" spans="18:32" x14ac:dyDescent="0.25">
      <c r="R513">
        <v>51084</v>
      </c>
      <c r="S513" t="s">
        <v>1381</v>
      </c>
      <c r="T513" t="s">
        <v>808</v>
      </c>
      <c r="U513" t="str">
        <f t="shared" si="77"/>
        <v>TMSY132</v>
      </c>
      <c r="W513" t="str">
        <f t="shared" si="78"/>
        <v>TMSY132T3</v>
      </c>
      <c r="X513">
        <v>1.6351</v>
      </c>
      <c r="Z513" t="s">
        <v>1381</v>
      </c>
      <c r="AA513" t="s">
        <v>808</v>
      </c>
      <c r="AB513" t="s">
        <v>1480</v>
      </c>
      <c r="AD513" t="s">
        <v>2239</v>
      </c>
      <c r="AE513">
        <v>1.6351</v>
      </c>
      <c r="AF513">
        <v>51084</v>
      </c>
    </row>
    <row r="514" spans="18:32" x14ac:dyDescent="0.25">
      <c r="R514">
        <v>51084</v>
      </c>
      <c r="S514" t="s">
        <v>1381</v>
      </c>
      <c r="T514" t="s">
        <v>809</v>
      </c>
      <c r="U514" t="str">
        <f t="shared" si="77"/>
        <v>TMSY132</v>
      </c>
      <c r="W514" t="str">
        <f t="shared" si="78"/>
        <v>TMSY132T4</v>
      </c>
      <c r="X514">
        <v>2.3008999999999999</v>
      </c>
      <c r="Z514" t="s">
        <v>1381</v>
      </c>
      <c r="AA514" t="s">
        <v>809</v>
      </c>
      <c r="AB514" t="s">
        <v>1480</v>
      </c>
      <c r="AD514" t="s">
        <v>2240</v>
      </c>
      <c r="AE514">
        <v>2.3008999999999999</v>
      </c>
      <c r="AF514">
        <v>51084</v>
      </c>
    </row>
    <row r="515" spans="18:32" x14ac:dyDescent="0.25">
      <c r="R515">
        <v>51051</v>
      </c>
      <c r="S515" t="s">
        <v>1385</v>
      </c>
      <c r="T515" t="s">
        <v>804</v>
      </c>
      <c r="U515" t="str">
        <f t="shared" si="77"/>
        <v>TPGR132</v>
      </c>
      <c r="W515" t="str">
        <f t="shared" si="78"/>
        <v>TPGR132T1</v>
      </c>
      <c r="X515">
        <v>16.613499999999998</v>
      </c>
      <c r="Z515" t="s">
        <v>1385</v>
      </c>
      <c r="AA515" t="s">
        <v>804</v>
      </c>
      <c r="AB515" t="s">
        <v>1533</v>
      </c>
      <c r="AD515" t="s">
        <v>2241</v>
      </c>
      <c r="AE515">
        <v>16.613499999999998</v>
      </c>
      <c r="AF515">
        <v>51051</v>
      </c>
    </row>
    <row r="516" spans="18:32" x14ac:dyDescent="0.25">
      <c r="R516">
        <v>51051</v>
      </c>
      <c r="S516" t="s">
        <v>1385</v>
      </c>
      <c r="T516" t="s">
        <v>807</v>
      </c>
      <c r="U516" t="str">
        <f t="shared" ref="U516:U579" si="86">LEFT(S516,7)</f>
        <v>TPGR132</v>
      </c>
      <c r="W516" t="str">
        <f t="shared" ref="W516:W579" si="87">U516&amp;T516</f>
        <v>TPGR132T2</v>
      </c>
      <c r="X516">
        <v>9.2201000000000004</v>
      </c>
      <c r="Z516" t="s">
        <v>1385</v>
      </c>
      <c r="AA516" t="s">
        <v>807</v>
      </c>
      <c r="AB516" t="s">
        <v>1533</v>
      </c>
      <c r="AD516" t="s">
        <v>2242</v>
      </c>
      <c r="AE516">
        <v>9.2201000000000004</v>
      </c>
      <c r="AF516">
        <v>51051</v>
      </c>
    </row>
    <row r="517" spans="18:32" x14ac:dyDescent="0.25">
      <c r="R517">
        <v>51051</v>
      </c>
      <c r="S517" t="s">
        <v>1385</v>
      </c>
      <c r="T517" t="s">
        <v>808</v>
      </c>
      <c r="U517" t="str">
        <f t="shared" si="86"/>
        <v>TPGR132</v>
      </c>
      <c r="W517" t="str">
        <f t="shared" si="87"/>
        <v>TPGR132T3</v>
      </c>
      <c r="X517">
        <v>45.288600000000002</v>
      </c>
      <c r="Z517" t="s">
        <v>1385</v>
      </c>
      <c r="AA517" t="s">
        <v>808</v>
      </c>
      <c r="AB517" t="s">
        <v>1533</v>
      </c>
      <c r="AD517" t="s">
        <v>2243</v>
      </c>
      <c r="AE517">
        <v>45.288600000000002</v>
      </c>
      <c r="AF517">
        <v>51051</v>
      </c>
    </row>
    <row r="518" spans="18:32" x14ac:dyDescent="0.25">
      <c r="R518">
        <v>51051</v>
      </c>
      <c r="S518" t="s">
        <v>1385</v>
      </c>
      <c r="T518" t="s">
        <v>809</v>
      </c>
      <c r="U518" t="str">
        <f t="shared" si="86"/>
        <v>TPGR132</v>
      </c>
      <c r="W518" t="str">
        <f t="shared" si="87"/>
        <v>TPGR132T4</v>
      </c>
      <c r="X518">
        <v>45.545400000000001</v>
      </c>
      <c r="Z518" t="s">
        <v>1385</v>
      </c>
      <c r="AA518" t="s">
        <v>809</v>
      </c>
      <c r="AB518" t="s">
        <v>1533</v>
      </c>
      <c r="AD518" t="s">
        <v>2244</v>
      </c>
      <c r="AE518">
        <v>45.545400000000001</v>
      </c>
      <c r="AF518">
        <v>51051</v>
      </c>
    </row>
    <row r="519" spans="18:32" x14ac:dyDescent="0.25">
      <c r="R519">
        <v>51100</v>
      </c>
      <c r="S519" t="s">
        <v>1404</v>
      </c>
      <c r="T519" t="s">
        <v>804</v>
      </c>
      <c r="U519" t="str">
        <f t="shared" si="86"/>
        <v>UYAM132</v>
      </c>
      <c r="W519" t="str">
        <f t="shared" si="87"/>
        <v>UYAM132T1</v>
      </c>
      <c r="X519">
        <v>11.714600000000001</v>
      </c>
      <c r="Z519" t="s">
        <v>1404</v>
      </c>
      <c r="AA519" t="s">
        <v>804</v>
      </c>
      <c r="AB519" t="s">
        <v>2245</v>
      </c>
      <c r="AD519" t="s">
        <v>2246</v>
      </c>
      <c r="AE519">
        <v>11.714600000000001</v>
      </c>
      <c r="AF519">
        <v>51100</v>
      </c>
    </row>
    <row r="520" spans="18:32" x14ac:dyDescent="0.25">
      <c r="R520">
        <v>51100</v>
      </c>
      <c r="S520" t="s">
        <v>1404</v>
      </c>
      <c r="T520" t="s">
        <v>807</v>
      </c>
      <c r="U520" t="str">
        <f t="shared" si="86"/>
        <v>UYAM132</v>
      </c>
      <c r="W520" t="str">
        <f t="shared" si="87"/>
        <v>UYAM132T2</v>
      </c>
      <c r="X520">
        <v>12.6569</v>
      </c>
      <c r="Z520" t="s">
        <v>1404</v>
      </c>
      <c r="AA520" t="s">
        <v>807</v>
      </c>
      <c r="AB520" t="s">
        <v>2245</v>
      </c>
      <c r="AD520" t="s">
        <v>2247</v>
      </c>
      <c r="AE520">
        <v>12.6569</v>
      </c>
      <c r="AF520">
        <v>51100</v>
      </c>
    </row>
    <row r="521" spans="18:32" x14ac:dyDescent="0.25">
      <c r="R521">
        <v>51100</v>
      </c>
      <c r="S521" t="s">
        <v>1404</v>
      </c>
      <c r="T521" t="s">
        <v>808</v>
      </c>
      <c r="U521" t="str">
        <f t="shared" si="86"/>
        <v>UYAM132</v>
      </c>
      <c r="W521" t="str">
        <f t="shared" si="87"/>
        <v>UYAM132T3</v>
      </c>
      <c r="X521">
        <v>3.7961</v>
      </c>
      <c r="Z521" t="s">
        <v>1404</v>
      </c>
      <c r="AA521" t="s">
        <v>808</v>
      </c>
      <c r="AB521" t="s">
        <v>2245</v>
      </c>
      <c r="AD521" t="s">
        <v>2248</v>
      </c>
      <c r="AE521">
        <v>3.7961</v>
      </c>
      <c r="AF521">
        <v>51100</v>
      </c>
    </row>
    <row r="522" spans="18:32" x14ac:dyDescent="0.25">
      <c r="R522">
        <v>51100</v>
      </c>
      <c r="S522" t="s">
        <v>1404</v>
      </c>
      <c r="T522" t="s">
        <v>809</v>
      </c>
      <c r="U522" t="str">
        <f t="shared" si="86"/>
        <v>UYAM132</v>
      </c>
      <c r="W522" t="str">
        <f t="shared" si="87"/>
        <v>UYAM132T4</v>
      </c>
      <c r="X522">
        <v>3.7629999999999999</v>
      </c>
      <c r="Z522" t="s">
        <v>1404</v>
      </c>
      <c r="AA522" t="s">
        <v>809</v>
      </c>
      <c r="AB522" t="s">
        <v>2245</v>
      </c>
      <c r="AD522" t="s">
        <v>2249</v>
      </c>
      <c r="AE522">
        <v>3.7629999999999999</v>
      </c>
      <c r="AF522">
        <v>51100</v>
      </c>
    </row>
    <row r="523" spans="18:32" x14ac:dyDescent="0.25">
      <c r="R523">
        <v>51046</v>
      </c>
      <c r="S523" t="s">
        <v>1409</v>
      </c>
      <c r="T523" t="s">
        <v>804</v>
      </c>
      <c r="U523" t="str">
        <f t="shared" si="86"/>
        <v>VMBR132</v>
      </c>
      <c r="W523" t="str">
        <f t="shared" si="87"/>
        <v>VMBR132T1</v>
      </c>
      <c r="X523">
        <v>41.532800000000002</v>
      </c>
      <c r="Z523" t="s">
        <v>1409</v>
      </c>
      <c r="AA523" t="s">
        <v>804</v>
      </c>
      <c r="AB523" t="s">
        <v>2250</v>
      </c>
      <c r="AD523" t="s">
        <v>2251</v>
      </c>
      <c r="AE523">
        <v>41.532800000000002</v>
      </c>
      <c r="AF523">
        <v>51046</v>
      </c>
    </row>
    <row r="524" spans="18:32" x14ac:dyDescent="0.25">
      <c r="R524">
        <v>51046</v>
      </c>
      <c r="S524" t="s">
        <v>1409</v>
      </c>
      <c r="T524" t="s">
        <v>807</v>
      </c>
      <c r="U524" t="str">
        <f t="shared" si="86"/>
        <v>VMBR132</v>
      </c>
      <c r="W524" t="str">
        <f t="shared" si="87"/>
        <v>VMBR132T2</v>
      </c>
      <c r="X524">
        <v>41.075099999999999</v>
      </c>
      <c r="Z524" t="s">
        <v>1409</v>
      </c>
      <c r="AA524" t="s">
        <v>807</v>
      </c>
      <c r="AB524" t="s">
        <v>2250</v>
      </c>
      <c r="AD524" t="s">
        <v>2252</v>
      </c>
      <c r="AE524">
        <v>41.075099999999999</v>
      </c>
      <c r="AF524">
        <v>51046</v>
      </c>
    </row>
    <row r="525" spans="18:32" x14ac:dyDescent="0.25">
      <c r="R525">
        <v>51061</v>
      </c>
      <c r="S525" t="s">
        <v>803</v>
      </c>
      <c r="T525" t="s">
        <v>810</v>
      </c>
      <c r="U525" t="str">
        <f t="shared" si="86"/>
        <v>ABBA132</v>
      </c>
      <c r="W525" t="str">
        <f t="shared" si="87"/>
        <v>ABBA132T5</v>
      </c>
      <c r="X525">
        <v>17.322900000000001</v>
      </c>
      <c r="Z525" t="s">
        <v>803</v>
      </c>
      <c r="AA525" t="s">
        <v>810</v>
      </c>
      <c r="AB525" t="s">
        <v>1962</v>
      </c>
      <c r="AD525" t="s">
        <v>2253</v>
      </c>
      <c r="AE525">
        <v>17.322900000000001</v>
      </c>
      <c r="AF525">
        <v>51061</v>
      </c>
    </row>
    <row r="526" spans="18:32" x14ac:dyDescent="0.25">
      <c r="R526">
        <v>51061</v>
      </c>
      <c r="S526" t="s">
        <v>803</v>
      </c>
      <c r="T526" t="s">
        <v>812</v>
      </c>
      <c r="U526" t="str">
        <f t="shared" si="86"/>
        <v>ABBA132</v>
      </c>
      <c r="W526" t="str">
        <f t="shared" si="87"/>
        <v>ABBA132T6</v>
      </c>
      <c r="X526">
        <v>17.3322</v>
      </c>
      <c r="Z526" t="s">
        <v>803</v>
      </c>
      <c r="AA526" t="s">
        <v>812</v>
      </c>
      <c r="AB526" t="s">
        <v>1962</v>
      </c>
      <c r="AD526" t="s">
        <v>2254</v>
      </c>
      <c r="AE526">
        <v>17.3322</v>
      </c>
      <c r="AF526">
        <v>51061</v>
      </c>
    </row>
    <row r="527" spans="18:32" x14ac:dyDescent="0.25">
      <c r="R527">
        <v>51142</v>
      </c>
      <c r="S527" t="s">
        <v>828</v>
      </c>
      <c r="T527" t="s">
        <v>804</v>
      </c>
      <c r="U527" t="str">
        <f t="shared" si="86"/>
        <v>AMDC132</v>
      </c>
      <c r="W527" t="str">
        <f t="shared" si="87"/>
        <v>AMDC132T1</v>
      </c>
      <c r="X527">
        <v>0.39250000000000002</v>
      </c>
      <c r="Z527" t="s">
        <v>828</v>
      </c>
      <c r="AA527" t="s">
        <v>804</v>
      </c>
      <c r="AB527" t="s">
        <v>2255</v>
      </c>
      <c r="AD527" t="s">
        <v>2256</v>
      </c>
      <c r="AE527">
        <v>0.39250000000000002</v>
      </c>
      <c r="AF527">
        <v>51142</v>
      </c>
    </row>
    <row r="528" spans="18:32" x14ac:dyDescent="0.25">
      <c r="R528">
        <v>51142</v>
      </c>
      <c r="S528" t="s">
        <v>828</v>
      </c>
      <c r="T528" t="s">
        <v>807</v>
      </c>
      <c r="U528" t="str">
        <f t="shared" si="86"/>
        <v>AMDC132</v>
      </c>
      <c r="W528" t="str">
        <f t="shared" si="87"/>
        <v>AMDC132T2</v>
      </c>
      <c r="X528">
        <v>0.92989999999999995</v>
      </c>
      <c r="Z528" t="s">
        <v>828</v>
      </c>
      <c r="AA528" t="s">
        <v>807</v>
      </c>
      <c r="AB528" t="s">
        <v>2255</v>
      </c>
      <c r="AD528" t="s">
        <v>2257</v>
      </c>
      <c r="AE528">
        <v>0.92989999999999995</v>
      </c>
      <c r="AF528">
        <v>51142</v>
      </c>
    </row>
    <row r="529" spans="18:32" x14ac:dyDescent="0.25">
      <c r="R529">
        <v>88120</v>
      </c>
      <c r="S529" t="s">
        <v>831</v>
      </c>
      <c r="T529" t="s">
        <v>808</v>
      </c>
      <c r="U529" t="str">
        <f t="shared" si="86"/>
        <v>AMPG132</v>
      </c>
      <c r="W529" t="str">
        <f t="shared" si="87"/>
        <v>AMPG132T3</v>
      </c>
      <c r="X529">
        <v>42.570399999999999</v>
      </c>
      <c r="Z529" t="s">
        <v>831</v>
      </c>
      <c r="AA529" t="s">
        <v>808</v>
      </c>
      <c r="AB529" t="s">
        <v>1461</v>
      </c>
      <c r="AD529" t="s">
        <v>2258</v>
      </c>
      <c r="AE529">
        <v>42.570399999999999</v>
      </c>
      <c r="AF529">
        <v>88120</v>
      </c>
    </row>
    <row r="530" spans="18:32" x14ac:dyDescent="0.25">
      <c r="R530">
        <v>88120</v>
      </c>
      <c r="S530" t="s">
        <v>831</v>
      </c>
      <c r="T530" t="s">
        <v>809</v>
      </c>
      <c r="U530" t="str">
        <f t="shared" si="86"/>
        <v>AMPG132</v>
      </c>
      <c r="W530" t="str">
        <f t="shared" si="87"/>
        <v>AMPG132T4</v>
      </c>
      <c r="X530">
        <v>42.476100000000002</v>
      </c>
      <c r="Z530" t="s">
        <v>831</v>
      </c>
      <c r="AA530" t="s">
        <v>809</v>
      </c>
      <c r="AB530" t="s">
        <v>1461</v>
      </c>
      <c r="AD530" t="s">
        <v>2259</v>
      </c>
      <c r="AE530">
        <v>42.476100000000002</v>
      </c>
      <c r="AF530">
        <v>88120</v>
      </c>
    </row>
    <row r="531" spans="18:32" x14ac:dyDescent="0.25">
      <c r="R531">
        <v>88120</v>
      </c>
      <c r="S531" t="s">
        <v>831</v>
      </c>
      <c r="T531" t="s">
        <v>810</v>
      </c>
      <c r="U531" t="str">
        <f t="shared" si="86"/>
        <v>AMPG132</v>
      </c>
      <c r="W531" t="str">
        <f t="shared" si="87"/>
        <v>AMPG132T5</v>
      </c>
      <c r="X531">
        <v>30.023299999999999</v>
      </c>
      <c r="Z531" t="s">
        <v>831</v>
      </c>
      <c r="AA531" t="s">
        <v>810</v>
      </c>
      <c r="AB531" t="s">
        <v>1461</v>
      </c>
      <c r="AD531" t="s">
        <v>2260</v>
      </c>
      <c r="AE531">
        <v>30.023299999999999</v>
      </c>
      <c r="AF531">
        <v>88120</v>
      </c>
    </row>
    <row r="532" spans="18:32" x14ac:dyDescent="0.25">
      <c r="R532">
        <v>88120</v>
      </c>
      <c r="S532" t="s">
        <v>831</v>
      </c>
      <c r="T532" t="s">
        <v>812</v>
      </c>
      <c r="U532" t="str">
        <f t="shared" si="86"/>
        <v>AMPG132</v>
      </c>
      <c r="W532" t="str">
        <f t="shared" si="87"/>
        <v>AMPG132T6</v>
      </c>
      <c r="X532">
        <v>29.454799999999999</v>
      </c>
      <c r="Z532" t="s">
        <v>831</v>
      </c>
      <c r="AA532" t="s">
        <v>812</v>
      </c>
      <c r="AB532" t="s">
        <v>1461</v>
      </c>
      <c r="AD532" t="s">
        <v>2261</v>
      </c>
      <c r="AE532">
        <v>29.454799999999999</v>
      </c>
      <c r="AF532">
        <v>88120</v>
      </c>
    </row>
    <row r="533" spans="18:32" x14ac:dyDescent="0.25">
      <c r="R533">
        <v>88123</v>
      </c>
      <c r="S533" t="s">
        <v>852</v>
      </c>
      <c r="T533" t="s">
        <v>804</v>
      </c>
      <c r="U533" t="str">
        <f t="shared" si="86"/>
        <v>BBCC132</v>
      </c>
      <c r="W533" t="str">
        <f t="shared" si="87"/>
        <v>BBCC132T1</v>
      </c>
      <c r="X533">
        <v>4.1254</v>
      </c>
      <c r="Z533" t="s">
        <v>852</v>
      </c>
      <c r="AA533" t="s">
        <v>804</v>
      </c>
      <c r="AB533" t="s">
        <v>2262</v>
      </c>
      <c r="AD533" t="s">
        <v>2263</v>
      </c>
      <c r="AE533">
        <v>4.1254</v>
      </c>
      <c r="AF533">
        <v>88123</v>
      </c>
    </row>
    <row r="534" spans="18:32" x14ac:dyDescent="0.25">
      <c r="R534">
        <v>88123</v>
      </c>
      <c r="S534" t="s">
        <v>852</v>
      </c>
      <c r="T534" t="s">
        <v>807</v>
      </c>
      <c r="U534" t="str">
        <f t="shared" si="86"/>
        <v>BBCC132</v>
      </c>
      <c r="W534" t="str">
        <f t="shared" si="87"/>
        <v>BBCC132T2</v>
      </c>
      <c r="X534">
        <v>4.1647999999999996</v>
      </c>
      <c r="Z534" t="s">
        <v>852</v>
      </c>
      <c r="AA534" t="s">
        <v>807</v>
      </c>
      <c r="AB534" t="s">
        <v>2262</v>
      </c>
      <c r="AD534" t="s">
        <v>2264</v>
      </c>
      <c r="AE534">
        <v>4.1647999999999996</v>
      </c>
      <c r="AF534">
        <v>88123</v>
      </c>
    </row>
    <row r="535" spans="18:32" x14ac:dyDescent="0.25">
      <c r="R535">
        <v>88141</v>
      </c>
      <c r="S535" t="s">
        <v>872</v>
      </c>
      <c r="T535" t="s">
        <v>804</v>
      </c>
      <c r="U535" t="str">
        <f t="shared" si="86"/>
        <v>BFLD132</v>
      </c>
      <c r="W535" t="str">
        <f t="shared" si="87"/>
        <v>BFLD132T1</v>
      </c>
      <c r="X535">
        <v>22.200099999999999</v>
      </c>
      <c r="Z535" t="s">
        <v>872</v>
      </c>
      <c r="AA535" t="s">
        <v>804</v>
      </c>
      <c r="AB535" t="s">
        <v>2265</v>
      </c>
      <c r="AD535" t="s">
        <v>2266</v>
      </c>
      <c r="AE535">
        <v>22.200099999999999</v>
      </c>
      <c r="AF535">
        <v>88141</v>
      </c>
    </row>
    <row r="536" spans="18:32" x14ac:dyDescent="0.25">
      <c r="R536">
        <v>88141</v>
      </c>
      <c r="S536" t="s">
        <v>872</v>
      </c>
      <c r="T536" t="s">
        <v>807</v>
      </c>
      <c r="U536" t="str">
        <f t="shared" si="86"/>
        <v>BFLD132</v>
      </c>
      <c r="W536" t="str">
        <f t="shared" si="87"/>
        <v>BFLD132T2</v>
      </c>
      <c r="X536">
        <v>22.55</v>
      </c>
      <c r="Z536" t="s">
        <v>872</v>
      </c>
      <c r="AA536" t="s">
        <v>807</v>
      </c>
      <c r="AB536" t="s">
        <v>2265</v>
      </c>
      <c r="AD536" t="s">
        <v>2267</v>
      </c>
      <c r="AE536">
        <v>22.55</v>
      </c>
      <c r="AF536">
        <v>88141</v>
      </c>
    </row>
    <row r="537" spans="18:32" x14ac:dyDescent="0.25">
      <c r="R537">
        <v>88114</v>
      </c>
      <c r="S537" t="s">
        <v>890</v>
      </c>
      <c r="T537" t="s">
        <v>804</v>
      </c>
      <c r="U537" t="str">
        <f t="shared" si="86"/>
        <v>BMKM132</v>
      </c>
      <c r="W537" t="str">
        <f t="shared" si="87"/>
        <v>BMKM132T1</v>
      </c>
      <c r="X537">
        <v>14.174899999999999</v>
      </c>
      <c r="Z537" t="s">
        <v>890</v>
      </c>
      <c r="AA537" t="s">
        <v>804</v>
      </c>
      <c r="AB537" t="s">
        <v>1602</v>
      </c>
      <c r="AD537" t="s">
        <v>2268</v>
      </c>
      <c r="AE537">
        <v>14.174899999999999</v>
      </c>
      <c r="AF537">
        <v>88114</v>
      </c>
    </row>
    <row r="538" spans="18:32" x14ac:dyDescent="0.25">
      <c r="R538">
        <v>88114</v>
      </c>
      <c r="S538" t="s">
        <v>890</v>
      </c>
      <c r="T538" t="s">
        <v>807</v>
      </c>
      <c r="U538" t="str">
        <f t="shared" si="86"/>
        <v>BMKM132</v>
      </c>
      <c r="W538" t="str">
        <f t="shared" si="87"/>
        <v>BMKM132T2</v>
      </c>
      <c r="X538">
        <v>14.174899999999999</v>
      </c>
      <c r="Z538" t="s">
        <v>890</v>
      </c>
      <c r="AA538" t="s">
        <v>807</v>
      </c>
      <c r="AB538" t="s">
        <v>1602</v>
      </c>
      <c r="AD538" t="s">
        <v>2269</v>
      </c>
      <c r="AE538">
        <v>14.174899999999999</v>
      </c>
      <c r="AF538">
        <v>88114</v>
      </c>
    </row>
    <row r="539" spans="18:32" x14ac:dyDescent="0.25">
      <c r="R539">
        <v>51053</v>
      </c>
      <c r="S539" t="s">
        <v>903</v>
      </c>
      <c r="T539" t="s">
        <v>810</v>
      </c>
      <c r="U539" t="str">
        <f t="shared" si="86"/>
        <v>BRNG132</v>
      </c>
      <c r="W539" t="str">
        <f t="shared" si="87"/>
        <v>BRNG132T5</v>
      </c>
      <c r="X539">
        <v>34.000599999999999</v>
      </c>
      <c r="Z539" t="s">
        <v>903</v>
      </c>
      <c r="AA539" t="s">
        <v>810</v>
      </c>
      <c r="AB539" t="s">
        <v>1601</v>
      </c>
      <c r="AD539" t="s">
        <v>2270</v>
      </c>
      <c r="AE539">
        <v>34.000599999999999</v>
      </c>
      <c r="AF539">
        <v>51053</v>
      </c>
    </row>
    <row r="540" spans="18:32" x14ac:dyDescent="0.25">
      <c r="R540">
        <v>51053</v>
      </c>
      <c r="S540" t="s">
        <v>903</v>
      </c>
      <c r="T540" t="s">
        <v>812</v>
      </c>
      <c r="U540" t="str">
        <f t="shared" si="86"/>
        <v>BRNG132</v>
      </c>
      <c r="W540" t="str">
        <f t="shared" si="87"/>
        <v>BRNG132T6</v>
      </c>
      <c r="X540">
        <v>33.675400000000003</v>
      </c>
      <c r="Z540" t="s">
        <v>903</v>
      </c>
      <c r="AA540" t="s">
        <v>812</v>
      </c>
      <c r="AB540" t="s">
        <v>1601</v>
      </c>
      <c r="AD540" t="s">
        <v>2271</v>
      </c>
      <c r="AE540">
        <v>33.675400000000003</v>
      </c>
      <c r="AF540">
        <v>51053</v>
      </c>
    </row>
    <row r="541" spans="18:32" x14ac:dyDescent="0.25">
      <c r="R541">
        <v>88136</v>
      </c>
      <c r="S541" t="s">
        <v>918</v>
      </c>
      <c r="T541" t="s">
        <v>804</v>
      </c>
      <c r="U541" t="str">
        <f t="shared" si="86"/>
        <v>BTRZ132</v>
      </c>
      <c r="W541" t="str">
        <f t="shared" si="87"/>
        <v>BTRZ132T1</v>
      </c>
      <c r="X541">
        <v>15.6692</v>
      </c>
      <c r="Z541" t="s">
        <v>918</v>
      </c>
      <c r="AA541" t="s">
        <v>804</v>
      </c>
      <c r="AB541" t="s">
        <v>2272</v>
      </c>
      <c r="AD541" t="s">
        <v>2273</v>
      </c>
      <c r="AE541">
        <v>15.6692</v>
      </c>
      <c r="AF541">
        <v>88136</v>
      </c>
    </row>
    <row r="542" spans="18:32" x14ac:dyDescent="0.25">
      <c r="R542">
        <v>88136</v>
      </c>
      <c r="S542" t="s">
        <v>918</v>
      </c>
      <c r="T542" t="s">
        <v>807</v>
      </c>
      <c r="U542" t="str">
        <f t="shared" si="86"/>
        <v>BTRZ132</v>
      </c>
      <c r="W542" t="str">
        <f t="shared" si="87"/>
        <v>BTRZ132T2</v>
      </c>
      <c r="X542">
        <v>0</v>
      </c>
      <c r="Z542" t="s">
        <v>918</v>
      </c>
      <c r="AA542" t="s">
        <v>807</v>
      </c>
      <c r="AB542" t="s">
        <v>2272</v>
      </c>
      <c r="AD542" t="s">
        <v>2274</v>
      </c>
      <c r="AE542">
        <v>0</v>
      </c>
      <c r="AF542">
        <v>88136</v>
      </c>
    </row>
    <row r="543" spans="18:32" x14ac:dyDescent="0.25">
      <c r="R543">
        <v>88136</v>
      </c>
      <c r="S543" t="s">
        <v>918</v>
      </c>
      <c r="T543" t="s">
        <v>808</v>
      </c>
      <c r="U543" t="str">
        <f t="shared" si="86"/>
        <v>BTRZ132</v>
      </c>
      <c r="W543" t="str">
        <f t="shared" si="87"/>
        <v>BTRZ132T3</v>
      </c>
      <c r="X543">
        <v>41.164200000000001</v>
      </c>
      <c r="Z543" t="s">
        <v>918</v>
      </c>
      <c r="AA543" t="s">
        <v>808</v>
      </c>
      <c r="AB543" t="s">
        <v>2272</v>
      </c>
      <c r="AD543" t="s">
        <v>2275</v>
      </c>
      <c r="AE543">
        <v>41.164200000000001</v>
      </c>
      <c r="AF543">
        <v>88136</v>
      </c>
    </row>
    <row r="544" spans="18:32" x14ac:dyDescent="0.25">
      <c r="R544">
        <v>88136</v>
      </c>
      <c r="S544" t="s">
        <v>918</v>
      </c>
      <c r="T544" t="s">
        <v>809</v>
      </c>
      <c r="U544" t="str">
        <f t="shared" si="86"/>
        <v>BTRZ132</v>
      </c>
      <c r="W544" t="str">
        <f t="shared" si="87"/>
        <v>BTRZ132T4</v>
      </c>
      <c r="X544">
        <v>41.460299999999997</v>
      </c>
      <c r="Z544" t="s">
        <v>918</v>
      </c>
      <c r="AA544" t="s">
        <v>809</v>
      </c>
      <c r="AB544" t="s">
        <v>2272</v>
      </c>
      <c r="AD544" t="s">
        <v>2276</v>
      </c>
      <c r="AE544">
        <v>41.460299999999997</v>
      </c>
      <c r="AF544">
        <v>88136</v>
      </c>
    </row>
    <row r="545" spans="18:32" x14ac:dyDescent="0.25">
      <c r="R545">
        <v>51089</v>
      </c>
      <c r="S545" t="s">
        <v>923</v>
      </c>
      <c r="T545" t="s">
        <v>807</v>
      </c>
      <c r="U545" t="str">
        <f t="shared" si="86"/>
        <v>CBJC132</v>
      </c>
      <c r="W545" t="str">
        <f t="shared" si="87"/>
        <v>CBJC132T2</v>
      </c>
      <c r="X545">
        <v>27.307099999999998</v>
      </c>
      <c r="Z545" t="s">
        <v>923</v>
      </c>
      <c r="AA545" t="s">
        <v>807</v>
      </c>
      <c r="AB545" t="s">
        <v>1634</v>
      </c>
      <c r="AD545" t="s">
        <v>2277</v>
      </c>
      <c r="AE545">
        <v>27.307099999999998</v>
      </c>
      <c r="AF545">
        <v>51089</v>
      </c>
    </row>
    <row r="546" spans="18:32" x14ac:dyDescent="0.25">
      <c r="R546">
        <v>51089</v>
      </c>
      <c r="S546" t="s">
        <v>923</v>
      </c>
      <c r="T546" t="s">
        <v>808</v>
      </c>
      <c r="U546" t="str">
        <f t="shared" si="86"/>
        <v>CBJC132</v>
      </c>
      <c r="W546" t="str">
        <f t="shared" si="87"/>
        <v>CBJC132T3</v>
      </c>
      <c r="X546">
        <v>6.2461000000000002</v>
      </c>
      <c r="Z546" t="s">
        <v>923</v>
      </c>
      <c r="AA546" t="s">
        <v>808</v>
      </c>
      <c r="AB546" t="s">
        <v>1634</v>
      </c>
      <c r="AD546" t="s">
        <v>2278</v>
      </c>
      <c r="AE546">
        <v>6.2461000000000002</v>
      </c>
      <c r="AF546">
        <v>51089</v>
      </c>
    </row>
    <row r="547" spans="18:32" x14ac:dyDescent="0.25">
      <c r="R547">
        <v>51089</v>
      </c>
      <c r="S547" t="s">
        <v>923</v>
      </c>
      <c r="T547" t="s">
        <v>809</v>
      </c>
      <c r="U547" t="str">
        <f t="shared" si="86"/>
        <v>CBJC132</v>
      </c>
      <c r="W547" t="str">
        <f t="shared" si="87"/>
        <v>CBJC132T4</v>
      </c>
      <c r="X547">
        <v>6.2161</v>
      </c>
      <c r="Z547" t="s">
        <v>923</v>
      </c>
      <c r="AA547" t="s">
        <v>809</v>
      </c>
      <c r="AB547" t="s">
        <v>1634</v>
      </c>
      <c r="AD547" t="s">
        <v>2279</v>
      </c>
      <c r="AE547">
        <v>6.2161</v>
      </c>
      <c r="AF547">
        <v>51089</v>
      </c>
    </row>
    <row r="548" spans="18:32" x14ac:dyDescent="0.25">
      <c r="R548">
        <v>88164</v>
      </c>
      <c r="S548" t="s">
        <v>935</v>
      </c>
      <c r="T548" t="s">
        <v>804</v>
      </c>
      <c r="U548" t="str">
        <f t="shared" si="86"/>
        <v>COCH132</v>
      </c>
      <c r="W548" t="str">
        <f t="shared" si="87"/>
        <v>COCH132T1</v>
      </c>
      <c r="X548">
        <v>4.7839999999999998</v>
      </c>
      <c r="Z548" t="s">
        <v>935</v>
      </c>
      <c r="AA548" t="s">
        <v>804</v>
      </c>
      <c r="AB548" t="s">
        <v>2280</v>
      </c>
      <c r="AD548" t="s">
        <v>2281</v>
      </c>
      <c r="AE548">
        <v>4.7839999999999998</v>
      </c>
      <c r="AF548">
        <v>88164</v>
      </c>
    </row>
    <row r="549" spans="18:32" x14ac:dyDescent="0.25">
      <c r="R549">
        <v>88164</v>
      </c>
      <c r="S549" t="s">
        <v>935</v>
      </c>
      <c r="T549" t="s">
        <v>807</v>
      </c>
      <c r="U549" t="str">
        <f t="shared" si="86"/>
        <v>COCH132</v>
      </c>
      <c r="W549" t="str">
        <f t="shared" si="87"/>
        <v>COCH132T2</v>
      </c>
      <c r="X549">
        <v>4.7736000000000001</v>
      </c>
      <c r="Z549" t="s">
        <v>935</v>
      </c>
      <c r="AA549" t="s">
        <v>807</v>
      </c>
      <c r="AB549" t="s">
        <v>2280</v>
      </c>
      <c r="AD549" t="s">
        <v>2282</v>
      </c>
      <c r="AE549">
        <v>4.7736000000000001</v>
      </c>
      <c r="AF549">
        <v>88164</v>
      </c>
    </row>
    <row r="550" spans="18:32" x14ac:dyDescent="0.25">
      <c r="R550">
        <v>88104</v>
      </c>
      <c r="S550" t="s">
        <v>940</v>
      </c>
      <c r="T550" t="s">
        <v>804</v>
      </c>
      <c r="U550" t="str">
        <f t="shared" si="86"/>
        <v>DCTY132</v>
      </c>
      <c r="W550" t="str">
        <f t="shared" si="87"/>
        <v>DCTY132T1</v>
      </c>
      <c r="X550">
        <v>12.895099999999999</v>
      </c>
      <c r="Z550" t="s">
        <v>940</v>
      </c>
      <c r="AA550" t="s">
        <v>804</v>
      </c>
      <c r="AB550" t="s">
        <v>1426</v>
      </c>
      <c r="AD550" t="s">
        <v>2283</v>
      </c>
      <c r="AE550">
        <v>12.895099999999999</v>
      </c>
      <c r="AF550">
        <v>88104</v>
      </c>
    </row>
    <row r="551" spans="18:32" x14ac:dyDescent="0.25">
      <c r="R551">
        <v>88104</v>
      </c>
      <c r="S551" t="s">
        <v>940</v>
      </c>
      <c r="T551" t="s">
        <v>807</v>
      </c>
      <c r="U551" t="str">
        <f t="shared" si="86"/>
        <v>DCTY132</v>
      </c>
      <c r="W551" t="str">
        <f t="shared" si="87"/>
        <v>DCTY132T2</v>
      </c>
      <c r="X551">
        <v>12.9489</v>
      </c>
      <c r="Z551" t="s">
        <v>940</v>
      </c>
      <c r="AA551" t="s">
        <v>807</v>
      </c>
      <c r="AB551" t="s">
        <v>1426</v>
      </c>
      <c r="AD551" t="s">
        <v>2284</v>
      </c>
      <c r="AE551">
        <v>12.9489</v>
      </c>
      <c r="AF551">
        <v>88104</v>
      </c>
    </row>
    <row r="552" spans="18:32" x14ac:dyDescent="0.25">
      <c r="R552">
        <v>88195</v>
      </c>
      <c r="S552" t="s">
        <v>941</v>
      </c>
      <c r="T552" t="s">
        <v>804</v>
      </c>
      <c r="U552" t="str">
        <f t="shared" si="86"/>
        <v>DDSA132</v>
      </c>
      <c r="W552" t="str">
        <f t="shared" si="87"/>
        <v>DDSA132T1</v>
      </c>
      <c r="X552">
        <v>7.1957000000000004</v>
      </c>
      <c r="Z552" t="s">
        <v>941</v>
      </c>
      <c r="AA552" t="s">
        <v>804</v>
      </c>
      <c r="AB552" t="s">
        <v>1431</v>
      </c>
      <c r="AD552" t="s">
        <v>2285</v>
      </c>
      <c r="AE552">
        <v>7.1957000000000004</v>
      </c>
      <c r="AF552">
        <v>88195</v>
      </c>
    </row>
    <row r="553" spans="18:32" x14ac:dyDescent="0.25">
      <c r="R553">
        <v>88195</v>
      </c>
      <c r="S553" t="s">
        <v>941</v>
      </c>
      <c r="T553" t="s">
        <v>807</v>
      </c>
      <c r="U553" t="str">
        <f t="shared" si="86"/>
        <v>DDSA132</v>
      </c>
      <c r="W553" t="str">
        <f t="shared" si="87"/>
        <v>DDSA132T2</v>
      </c>
      <c r="X553">
        <v>5.8040000000000003</v>
      </c>
      <c r="Z553" t="s">
        <v>941</v>
      </c>
      <c r="AA553" t="s">
        <v>807</v>
      </c>
      <c r="AB553" t="s">
        <v>1431</v>
      </c>
      <c r="AD553" t="s">
        <v>2286</v>
      </c>
      <c r="AE553">
        <v>5.8040000000000003</v>
      </c>
      <c r="AF553">
        <v>88195</v>
      </c>
    </row>
    <row r="554" spans="18:32" x14ac:dyDescent="0.25">
      <c r="R554">
        <v>88195</v>
      </c>
      <c r="S554" t="s">
        <v>941</v>
      </c>
      <c r="T554" t="s">
        <v>808</v>
      </c>
      <c r="U554" t="str">
        <f t="shared" si="86"/>
        <v>DDSA132</v>
      </c>
      <c r="W554" t="str">
        <f t="shared" si="87"/>
        <v>DDSA132T3</v>
      </c>
      <c r="X554">
        <v>30.677700000000002</v>
      </c>
      <c r="Z554" t="s">
        <v>941</v>
      </c>
      <c r="AA554" t="s">
        <v>808</v>
      </c>
      <c r="AB554" t="s">
        <v>1431</v>
      </c>
      <c r="AD554" t="s">
        <v>2287</v>
      </c>
      <c r="AE554">
        <v>30.677700000000002</v>
      </c>
      <c r="AF554">
        <v>88195</v>
      </c>
    </row>
    <row r="555" spans="18:32" x14ac:dyDescent="0.25">
      <c r="R555">
        <v>88195</v>
      </c>
      <c r="S555" t="s">
        <v>941</v>
      </c>
      <c r="T555" t="s">
        <v>809</v>
      </c>
      <c r="U555" t="str">
        <f t="shared" si="86"/>
        <v>DDSA132</v>
      </c>
      <c r="W555" t="str">
        <f t="shared" si="87"/>
        <v>DDSA132T4</v>
      </c>
      <c r="X555">
        <v>30.694299999999998</v>
      </c>
      <c r="Z555" t="s">
        <v>941</v>
      </c>
      <c r="AA555" t="s">
        <v>809</v>
      </c>
      <c r="AB555" t="s">
        <v>1431</v>
      </c>
      <c r="AD555" t="s">
        <v>2288</v>
      </c>
      <c r="AE555">
        <v>30.694299999999998</v>
      </c>
      <c r="AF555">
        <v>88195</v>
      </c>
    </row>
    <row r="556" spans="18:32" x14ac:dyDescent="0.25">
      <c r="R556">
        <v>88112</v>
      </c>
      <c r="S556" t="s">
        <v>945</v>
      </c>
      <c r="T556" t="s">
        <v>804</v>
      </c>
      <c r="U556" t="str">
        <f t="shared" si="86"/>
        <v>DMHT132</v>
      </c>
      <c r="W556" t="str">
        <f t="shared" si="87"/>
        <v>DMHT132T1</v>
      </c>
      <c r="X556">
        <v>15.1669</v>
      </c>
      <c r="Z556" t="s">
        <v>945</v>
      </c>
      <c r="AA556" t="s">
        <v>804</v>
      </c>
      <c r="AB556" t="s">
        <v>2289</v>
      </c>
      <c r="AD556" t="s">
        <v>2290</v>
      </c>
      <c r="AE556">
        <v>15.1669</v>
      </c>
      <c r="AF556">
        <v>88112</v>
      </c>
    </row>
    <row r="557" spans="18:32" x14ac:dyDescent="0.25">
      <c r="R557">
        <v>88112</v>
      </c>
      <c r="S557" t="s">
        <v>945</v>
      </c>
      <c r="T557" t="s">
        <v>807</v>
      </c>
      <c r="U557" t="str">
        <f t="shared" si="86"/>
        <v>DMHT132</v>
      </c>
      <c r="W557" t="str">
        <f t="shared" si="87"/>
        <v>DMHT132T2</v>
      </c>
      <c r="X557">
        <v>15.099600000000001</v>
      </c>
      <c r="Z557" t="s">
        <v>945</v>
      </c>
      <c r="AA557" t="s">
        <v>807</v>
      </c>
      <c r="AB557" t="s">
        <v>2289</v>
      </c>
      <c r="AD557" t="s">
        <v>2291</v>
      </c>
      <c r="AE557">
        <v>15.099600000000001</v>
      </c>
      <c r="AF557">
        <v>88112</v>
      </c>
    </row>
    <row r="558" spans="18:32" x14ac:dyDescent="0.25">
      <c r="R558">
        <v>88112</v>
      </c>
      <c r="S558" t="s">
        <v>945</v>
      </c>
      <c r="T558" t="s">
        <v>808</v>
      </c>
      <c r="U558" t="str">
        <f t="shared" si="86"/>
        <v>DMHT132</v>
      </c>
      <c r="W558" t="str">
        <f t="shared" si="87"/>
        <v>DMHT132T3</v>
      </c>
      <c r="X558">
        <v>6.6458000000000004</v>
      </c>
      <c r="Z558" t="s">
        <v>945</v>
      </c>
      <c r="AA558" t="s">
        <v>808</v>
      </c>
      <c r="AB558" t="s">
        <v>2289</v>
      </c>
      <c r="AD558" t="s">
        <v>2292</v>
      </c>
      <c r="AE558">
        <v>6.6458000000000004</v>
      </c>
      <c r="AF558">
        <v>88112</v>
      </c>
    </row>
    <row r="559" spans="18:32" x14ac:dyDescent="0.25">
      <c r="R559">
        <v>88112</v>
      </c>
      <c r="S559" t="s">
        <v>945</v>
      </c>
      <c r="T559" t="s">
        <v>809</v>
      </c>
      <c r="U559" t="str">
        <f t="shared" si="86"/>
        <v>DMHT132</v>
      </c>
      <c r="W559" t="str">
        <f t="shared" si="87"/>
        <v>DMHT132T4</v>
      </c>
      <c r="X559">
        <v>6.6210000000000004</v>
      </c>
      <c r="Z559" t="s">
        <v>945</v>
      </c>
      <c r="AA559" t="s">
        <v>809</v>
      </c>
      <c r="AB559" t="s">
        <v>2289</v>
      </c>
      <c r="AD559" t="s">
        <v>2293</v>
      </c>
      <c r="AE559">
        <v>6.6210000000000004</v>
      </c>
      <c r="AF559">
        <v>88112</v>
      </c>
    </row>
    <row r="560" spans="18:32" x14ac:dyDescent="0.25">
      <c r="R560">
        <v>88113</v>
      </c>
      <c r="S560" t="s">
        <v>948</v>
      </c>
      <c r="T560" t="s">
        <v>804</v>
      </c>
      <c r="U560" t="str">
        <f t="shared" si="86"/>
        <v>DWGI132</v>
      </c>
      <c r="W560" t="str">
        <f t="shared" si="87"/>
        <v>DWGI132T1</v>
      </c>
      <c r="X560">
        <v>5.9923999999999999</v>
      </c>
      <c r="Z560" t="s">
        <v>948</v>
      </c>
      <c r="AA560" t="s">
        <v>804</v>
      </c>
      <c r="AB560" t="s">
        <v>2294</v>
      </c>
      <c r="AD560" t="s">
        <v>2295</v>
      </c>
      <c r="AE560">
        <v>5.9923999999999999</v>
      </c>
      <c r="AF560">
        <v>88113</v>
      </c>
    </row>
    <row r="561" spans="18:32" x14ac:dyDescent="0.25">
      <c r="R561">
        <v>88113</v>
      </c>
      <c r="S561" t="s">
        <v>948</v>
      </c>
      <c r="T561" t="s">
        <v>807</v>
      </c>
      <c r="U561" t="str">
        <f t="shared" si="86"/>
        <v>DWGI132</v>
      </c>
      <c r="W561" t="str">
        <f t="shared" si="87"/>
        <v>DWGI132T2</v>
      </c>
      <c r="X561">
        <v>5.9406999999999996</v>
      </c>
      <c r="Z561" t="s">
        <v>948</v>
      </c>
      <c r="AA561" t="s">
        <v>807</v>
      </c>
      <c r="AB561" t="s">
        <v>2294</v>
      </c>
      <c r="AD561" t="s">
        <v>2296</v>
      </c>
      <c r="AE561">
        <v>5.9406999999999996</v>
      </c>
      <c r="AF561">
        <v>88113</v>
      </c>
    </row>
    <row r="562" spans="18:32" x14ac:dyDescent="0.25">
      <c r="R562">
        <v>88133</v>
      </c>
      <c r="S562" t="s">
        <v>985</v>
      </c>
      <c r="T562" t="s">
        <v>804</v>
      </c>
      <c r="U562" t="str">
        <f t="shared" si="86"/>
        <v>GWAY132</v>
      </c>
      <c r="W562" t="str">
        <f t="shared" si="87"/>
        <v>GWAY132T1</v>
      </c>
      <c r="X562">
        <v>13.3186</v>
      </c>
      <c r="Z562" t="s">
        <v>985</v>
      </c>
      <c r="AA562" t="s">
        <v>804</v>
      </c>
      <c r="AB562" t="s">
        <v>1590</v>
      </c>
      <c r="AD562" t="s">
        <v>2297</v>
      </c>
      <c r="AE562">
        <v>13.3186</v>
      </c>
      <c r="AF562">
        <v>88133</v>
      </c>
    </row>
    <row r="563" spans="18:32" x14ac:dyDescent="0.25">
      <c r="R563">
        <v>88133</v>
      </c>
      <c r="S563" t="s">
        <v>985</v>
      </c>
      <c r="T563" t="s">
        <v>807</v>
      </c>
      <c r="U563" t="str">
        <f t="shared" si="86"/>
        <v>GWAY132</v>
      </c>
      <c r="W563" t="str">
        <f t="shared" si="87"/>
        <v>GWAY132T2</v>
      </c>
      <c r="X563">
        <v>13.302</v>
      </c>
      <c r="Z563" t="s">
        <v>985</v>
      </c>
      <c r="AA563" t="s">
        <v>807</v>
      </c>
      <c r="AB563" t="s">
        <v>1590</v>
      </c>
      <c r="AD563" t="s">
        <v>2298</v>
      </c>
      <c r="AE563">
        <v>13.302</v>
      </c>
      <c r="AF563">
        <v>88133</v>
      </c>
    </row>
    <row r="564" spans="18:32" x14ac:dyDescent="0.25">
      <c r="R564">
        <v>88156</v>
      </c>
      <c r="S564" t="s">
        <v>988</v>
      </c>
      <c r="T564" t="s">
        <v>804</v>
      </c>
      <c r="U564" t="str">
        <f t="shared" si="86"/>
        <v>HKCK132</v>
      </c>
      <c r="W564" t="str">
        <f t="shared" si="87"/>
        <v>HKCK132T1</v>
      </c>
      <c r="X564">
        <v>7.5384000000000002</v>
      </c>
      <c r="Z564" t="s">
        <v>988</v>
      </c>
      <c r="AA564" t="s">
        <v>804</v>
      </c>
      <c r="AB564" t="s">
        <v>2299</v>
      </c>
      <c r="AD564" t="s">
        <v>2300</v>
      </c>
      <c r="AE564">
        <v>7.5384000000000002</v>
      </c>
      <c r="AF564">
        <v>88156</v>
      </c>
    </row>
    <row r="565" spans="18:32" x14ac:dyDescent="0.25">
      <c r="R565">
        <v>88156</v>
      </c>
      <c r="S565" t="s">
        <v>988</v>
      </c>
      <c r="T565" t="s">
        <v>807</v>
      </c>
      <c r="U565" t="str">
        <f t="shared" si="86"/>
        <v>HKCK132</v>
      </c>
      <c r="W565" t="str">
        <f t="shared" si="87"/>
        <v>HKCK132T2</v>
      </c>
      <c r="X565">
        <v>7.8769999999999998</v>
      </c>
      <c r="Z565" t="s">
        <v>988</v>
      </c>
      <c r="AA565" t="s">
        <v>807</v>
      </c>
      <c r="AB565" t="s">
        <v>2299</v>
      </c>
      <c r="AD565" t="s">
        <v>2301</v>
      </c>
      <c r="AE565">
        <v>7.8769999999999998</v>
      </c>
      <c r="AF565">
        <v>88156</v>
      </c>
    </row>
    <row r="566" spans="18:32" x14ac:dyDescent="0.25">
      <c r="R566">
        <v>88156</v>
      </c>
      <c r="S566" t="s">
        <v>988</v>
      </c>
      <c r="T566" t="s">
        <v>808</v>
      </c>
      <c r="U566" t="str">
        <f t="shared" si="86"/>
        <v>HKCK132</v>
      </c>
      <c r="W566" t="str">
        <f t="shared" si="87"/>
        <v>HKCK132T3</v>
      </c>
      <c r="X566">
        <v>42.111600000000003</v>
      </c>
      <c r="Z566" t="s">
        <v>988</v>
      </c>
      <c r="AA566" t="s">
        <v>808</v>
      </c>
      <c r="AB566" t="s">
        <v>2299</v>
      </c>
      <c r="AD566" t="s">
        <v>2302</v>
      </c>
      <c r="AE566">
        <v>42.111600000000003</v>
      </c>
      <c r="AF566">
        <v>88156</v>
      </c>
    </row>
    <row r="567" spans="18:32" x14ac:dyDescent="0.25">
      <c r="R567">
        <v>88156</v>
      </c>
      <c r="S567" t="s">
        <v>988</v>
      </c>
      <c r="T567" t="s">
        <v>809</v>
      </c>
      <c r="U567" t="str">
        <f t="shared" si="86"/>
        <v>HKCK132</v>
      </c>
      <c r="W567" t="str">
        <f t="shared" si="87"/>
        <v>HKCK132T4</v>
      </c>
      <c r="X567">
        <v>41.701599999999999</v>
      </c>
      <c r="Z567" t="s">
        <v>988</v>
      </c>
      <c r="AA567" t="s">
        <v>809</v>
      </c>
      <c r="AB567" t="s">
        <v>2299</v>
      </c>
      <c r="AD567" t="s">
        <v>2303</v>
      </c>
      <c r="AE567">
        <v>41.701599999999999</v>
      </c>
      <c r="AF567">
        <v>88156</v>
      </c>
    </row>
    <row r="568" spans="18:32" x14ac:dyDescent="0.25">
      <c r="R568">
        <v>51219</v>
      </c>
      <c r="S568" t="s">
        <v>1001</v>
      </c>
      <c r="T568" t="s">
        <v>804</v>
      </c>
      <c r="U568" t="str">
        <f t="shared" si="86"/>
        <v>ICNC132</v>
      </c>
      <c r="W568" t="str">
        <f t="shared" si="87"/>
        <v>ICNC132T1</v>
      </c>
      <c r="X568">
        <v>0</v>
      </c>
      <c r="Z568" t="s">
        <v>1001</v>
      </c>
      <c r="AA568" t="s">
        <v>804</v>
      </c>
      <c r="AB568" t="s">
        <v>2304</v>
      </c>
      <c r="AD568" t="s">
        <v>2305</v>
      </c>
      <c r="AE568">
        <v>0</v>
      </c>
      <c r="AF568">
        <v>51219</v>
      </c>
    </row>
    <row r="569" spans="18:32" x14ac:dyDescent="0.25">
      <c r="R569">
        <v>51219</v>
      </c>
      <c r="S569" t="s">
        <v>1001</v>
      </c>
      <c r="T569" t="s">
        <v>807</v>
      </c>
      <c r="U569" t="str">
        <f t="shared" si="86"/>
        <v>ICNC132</v>
      </c>
      <c r="W569" t="str">
        <f t="shared" si="87"/>
        <v>ICNC132T2</v>
      </c>
      <c r="X569">
        <v>0</v>
      </c>
      <c r="Z569" t="s">
        <v>1001</v>
      </c>
      <c r="AA569" t="s">
        <v>807</v>
      </c>
      <c r="AB569" t="s">
        <v>2304</v>
      </c>
      <c r="AD569" t="s">
        <v>2306</v>
      </c>
      <c r="AE569">
        <v>0</v>
      </c>
      <c r="AF569">
        <v>51219</v>
      </c>
    </row>
    <row r="570" spans="18:32" x14ac:dyDescent="0.25">
      <c r="R570">
        <v>88161</v>
      </c>
      <c r="S570" t="s">
        <v>1003</v>
      </c>
      <c r="T570" t="s">
        <v>804</v>
      </c>
      <c r="U570" t="str">
        <f t="shared" si="86"/>
        <v>IMBI132</v>
      </c>
      <c r="W570" t="str">
        <f t="shared" si="87"/>
        <v>IMBI132T1</v>
      </c>
      <c r="X570">
        <v>3.2193999999999998</v>
      </c>
      <c r="Z570" t="s">
        <v>1003</v>
      </c>
      <c r="AA570" t="s">
        <v>804</v>
      </c>
      <c r="AB570" t="s">
        <v>1588</v>
      </c>
      <c r="AD570" t="s">
        <v>2307</v>
      </c>
      <c r="AE570">
        <v>3.2193999999999998</v>
      </c>
      <c r="AF570">
        <v>88161</v>
      </c>
    </row>
    <row r="571" spans="18:32" x14ac:dyDescent="0.25">
      <c r="R571">
        <v>88161</v>
      </c>
      <c r="S571" t="s">
        <v>1003</v>
      </c>
      <c r="T571" t="s">
        <v>807</v>
      </c>
      <c r="U571" t="str">
        <f t="shared" si="86"/>
        <v>IMBI132</v>
      </c>
      <c r="W571" t="str">
        <f t="shared" si="87"/>
        <v>IMBI132T2</v>
      </c>
      <c r="X571">
        <v>10.9939</v>
      </c>
      <c r="Z571" t="s">
        <v>1003</v>
      </c>
      <c r="AA571" t="s">
        <v>807</v>
      </c>
      <c r="AB571" t="s">
        <v>1588</v>
      </c>
      <c r="AD571" t="s">
        <v>2308</v>
      </c>
      <c r="AE571">
        <v>10.9939</v>
      </c>
      <c r="AF571">
        <v>88161</v>
      </c>
    </row>
    <row r="572" spans="18:32" x14ac:dyDescent="0.25">
      <c r="R572">
        <v>88161</v>
      </c>
      <c r="S572" t="s">
        <v>1003</v>
      </c>
      <c r="T572" t="s">
        <v>808</v>
      </c>
      <c r="U572" t="str">
        <f t="shared" si="86"/>
        <v>IMBI132</v>
      </c>
      <c r="W572" t="str">
        <f t="shared" si="87"/>
        <v>IMBI132T3</v>
      </c>
      <c r="X572">
        <v>25.444299999999998</v>
      </c>
      <c r="Z572" t="s">
        <v>1003</v>
      </c>
      <c r="AA572" t="s">
        <v>808</v>
      </c>
      <c r="AB572" t="s">
        <v>1588</v>
      </c>
      <c r="AD572" t="s">
        <v>2309</v>
      </c>
      <c r="AE572">
        <v>25.444299999999998</v>
      </c>
      <c r="AF572">
        <v>88161</v>
      </c>
    </row>
    <row r="573" spans="18:32" x14ac:dyDescent="0.25">
      <c r="R573">
        <v>88161</v>
      </c>
      <c r="S573" t="s">
        <v>1003</v>
      </c>
      <c r="T573" t="s">
        <v>809</v>
      </c>
      <c r="U573" t="str">
        <f t="shared" si="86"/>
        <v>IMBI132</v>
      </c>
      <c r="W573" t="str">
        <f t="shared" si="87"/>
        <v>IMBI132T4</v>
      </c>
      <c r="X573">
        <v>25.618200000000002</v>
      </c>
      <c r="Z573" t="s">
        <v>1003</v>
      </c>
      <c r="AA573" t="s">
        <v>809</v>
      </c>
      <c r="AB573" t="s">
        <v>1588</v>
      </c>
      <c r="AD573" t="s">
        <v>2310</v>
      </c>
      <c r="AE573">
        <v>25.618200000000002</v>
      </c>
      <c r="AF573">
        <v>88161</v>
      </c>
    </row>
    <row r="574" spans="18:32" x14ac:dyDescent="0.25">
      <c r="R574">
        <v>88161</v>
      </c>
      <c r="S574" t="s">
        <v>1003</v>
      </c>
      <c r="T574" t="s">
        <v>810</v>
      </c>
      <c r="U574" t="str">
        <f t="shared" si="86"/>
        <v>IMBI132</v>
      </c>
      <c r="W574" t="str">
        <f t="shared" si="87"/>
        <v>IMBI132T5</v>
      </c>
      <c r="X574">
        <v>33.947800000000001</v>
      </c>
      <c r="Z574" t="s">
        <v>1003</v>
      </c>
      <c r="AA574" t="s">
        <v>810</v>
      </c>
      <c r="AB574" t="s">
        <v>1588</v>
      </c>
      <c r="AD574" t="s">
        <v>2311</v>
      </c>
      <c r="AE574">
        <v>33.947800000000001</v>
      </c>
      <c r="AF574">
        <v>88161</v>
      </c>
    </row>
    <row r="575" spans="18:32" x14ac:dyDescent="0.25">
      <c r="R575">
        <v>51101</v>
      </c>
      <c r="S575" t="s">
        <v>1007</v>
      </c>
      <c r="T575" t="s">
        <v>804</v>
      </c>
      <c r="U575" t="str">
        <f t="shared" si="86"/>
        <v>IOIM132</v>
      </c>
      <c r="W575" t="str">
        <f t="shared" si="87"/>
        <v>IOIM132T1</v>
      </c>
      <c r="X575">
        <v>16.620799999999999</v>
      </c>
      <c r="Z575" t="s">
        <v>1007</v>
      </c>
      <c r="AA575" t="s">
        <v>804</v>
      </c>
      <c r="AB575" t="s">
        <v>2312</v>
      </c>
      <c r="AD575" t="s">
        <v>2313</v>
      </c>
      <c r="AE575">
        <v>16.620799999999999</v>
      </c>
      <c r="AF575">
        <v>51101</v>
      </c>
    </row>
    <row r="576" spans="18:32" x14ac:dyDescent="0.25">
      <c r="R576">
        <v>51101</v>
      </c>
      <c r="S576" t="s">
        <v>1007</v>
      </c>
      <c r="T576" t="s">
        <v>807</v>
      </c>
      <c r="U576" t="str">
        <f t="shared" si="86"/>
        <v>IOIM132</v>
      </c>
      <c r="W576" t="str">
        <f t="shared" si="87"/>
        <v>IOIM132T2</v>
      </c>
      <c r="X576">
        <v>16.5214</v>
      </c>
      <c r="Z576" t="s">
        <v>1007</v>
      </c>
      <c r="AA576" t="s">
        <v>807</v>
      </c>
      <c r="AB576" t="s">
        <v>2312</v>
      </c>
      <c r="AD576" t="s">
        <v>2314</v>
      </c>
      <c r="AE576">
        <v>16.5214</v>
      </c>
      <c r="AF576">
        <v>51101</v>
      </c>
    </row>
    <row r="577" spans="18:32" x14ac:dyDescent="0.25">
      <c r="R577">
        <v>51066</v>
      </c>
      <c r="S577" t="s">
        <v>1011</v>
      </c>
      <c r="T577" t="s">
        <v>804</v>
      </c>
      <c r="U577" t="str">
        <f t="shared" si="86"/>
        <v>JDHL132</v>
      </c>
      <c r="W577" t="str">
        <f t="shared" si="87"/>
        <v>JDHL132T1</v>
      </c>
      <c r="X577">
        <v>0</v>
      </c>
      <c r="Z577" t="s">
        <v>1011</v>
      </c>
      <c r="AA577" t="s">
        <v>804</v>
      </c>
      <c r="AB577" t="s">
        <v>2315</v>
      </c>
      <c r="AD577" t="s">
        <v>2316</v>
      </c>
      <c r="AE577">
        <v>0</v>
      </c>
      <c r="AF577">
        <v>51066</v>
      </c>
    </row>
    <row r="578" spans="18:32" x14ac:dyDescent="0.25">
      <c r="R578">
        <v>51066</v>
      </c>
      <c r="S578" t="s">
        <v>1011</v>
      </c>
      <c r="T578" t="s">
        <v>807</v>
      </c>
      <c r="U578" t="str">
        <f t="shared" si="86"/>
        <v>JDHL132</v>
      </c>
      <c r="W578" t="str">
        <f t="shared" si="87"/>
        <v>JDHL132T2</v>
      </c>
      <c r="X578">
        <v>0</v>
      </c>
      <c r="Z578" t="s">
        <v>1011</v>
      </c>
      <c r="AA578" t="s">
        <v>807</v>
      </c>
      <c r="AB578" t="s">
        <v>2315</v>
      </c>
      <c r="AD578" t="s">
        <v>2317</v>
      </c>
      <c r="AE578">
        <v>0</v>
      </c>
      <c r="AF578">
        <v>51066</v>
      </c>
    </row>
    <row r="579" spans="18:32" x14ac:dyDescent="0.25">
      <c r="R579">
        <v>88157</v>
      </c>
      <c r="S579" t="s">
        <v>1015</v>
      </c>
      <c r="T579" t="s">
        <v>804</v>
      </c>
      <c r="U579" t="str">
        <f t="shared" si="86"/>
        <v>JING132</v>
      </c>
      <c r="W579" t="str">
        <f t="shared" si="87"/>
        <v>JING132T1</v>
      </c>
      <c r="X579">
        <v>0</v>
      </c>
      <c r="Z579" t="s">
        <v>1015</v>
      </c>
      <c r="AA579" t="s">
        <v>804</v>
      </c>
      <c r="AB579" t="s">
        <v>2318</v>
      </c>
      <c r="AD579" t="s">
        <v>2319</v>
      </c>
      <c r="AE579">
        <v>0</v>
      </c>
      <c r="AF579">
        <v>88157</v>
      </c>
    </row>
    <row r="580" spans="18:32" x14ac:dyDescent="0.25">
      <c r="R580">
        <v>88157</v>
      </c>
      <c r="S580" t="s">
        <v>1015</v>
      </c>
      <c r="T580" t="s">
        <v>807</v>
      </c>
      <c r="U580" t="str">
        <f t="shared" ref="U580:U643" si="88">LEFT(S580,7)</f>
        <v>JING132</v>
      </c>
      <c r="W580" t="str">
        <f t="shared" ref="W580:W643" si="89">U580&amp;T580</f>
        <v>JING132T2</v>
      </c>
      <c r="X580">
        <v>0</v>
      </c>
      <c r="Z580" t="s">
        <v>1015</v>
      </c>
      <c r="AA580" t="s">
        <v>807</v>
      </c>
      <c r="AB580" t="s">
        <v>2318</v>
      </c>
      <c r="AD580" t="s">
        <v>2320</v>
      </c>
      <c r="AE580">
        <v>0</v>
      </c>
      <c r="AF580">
        <v>88157</v>
      </c>
    </row>
    <row r="581" spans="18:32" x14ac:dyDescent="0.25">
      <c r="R581">
        <v>51092</v>
      </c>
      <c r="S581" t="s">
        <v>1036</v>
      </c>
      <c r="T581" t="s">
        <v>804</v>
      </c>
      <c r="U581" t="str">
        <f t="shared" si="88"/>
        <v>KEST132</v>
      </c>
      <c r="W581" t="str">
        <f t="shared" si="89"/>
        <v>KEST132T1</v>
      </c>
      <c r="X581">
        <v>45.934699999999999</v>
      </c>
      <c r="Z581" t="s">
        <v>1036</v>
      </c>
      <c r="AA581" t="s">
        <v>804</v>
      </c>
      <c r="AB581" t="s">
        <v>1599</v>
      </c>
      <c r="AD581" t="s">
        <v>2321</v>
      </c>
      <c r="AE581">
        <v>45.934699999999999</v>
      </c>
      <c r="AF581">
        <v>51092</v>
      </c>
    </row>
    <row r="582" spans="18:32" x14ac:dyDescent="0.25">
      <c r="R582">
        <v>51092</v>
      </c>
      <c r="S582" t="s">
        <v>1036</v>
      </c>
      <c r="T582" t="s">
        <v>807</v>
      </c>
      <c r="U582" t="str">
        <f t="shared" si="88"/>
        <v>KEST132</v>
      </c>
      <c r="W582" t="str">
        <f t="shared" si="89"/>
        <v>KEST132T2</v>
      </c>
      <c r="X582">
        <v>45.7483</v>
      </c>
      <c r="Z582" t="s">
        <v>1036</v>
      </c>
      <c r="AA582" t="s">
        <v>807</v>
      </c>
      <c r="AB582" t="s">
        <v>1599</v>
      </c>
      <c r="AD582" t="s">
        <v>2322</v>
      </c>
      <c r="AE582">
        <v>45.7483</v>
      </c>
      <c r="AF582">
        <v>51092</v>
      </c>
    </row>
    <row r="583" spans="18:32" x14ac:dyDescent="0.25">
      <c r="R583">
        <v>88146</v>
      </c>
      <c r="S583" t="s">
        <v>1059</v>
      </c>
      <c r="T583" t="s">
        <v>808</v>
      </c>
      <c r="U583" t="str">
        <f t="shared" si="88"/>
        <v>KLCC132</v>
      </c>
      <c r="W583" t="str">
        <f t="shared" si="89"/>
        <v>KLCC132T3</v>
      </c>
      <c r="X583">
        <v>20.4801</v>
      </c>
      <c r="Z583" t="s">
        <v>1059</v>
      </c>
      <c r="AA583" t="s">
        <v>808</v>
      </c>
      <c r="AB583" t="s">
        <v>2323</v>
      </c>
      <c r="AD583" t="s">
        <v>2324</v>
      </c>
      <c r="AE583">
        <v>20.4801</v>
      </c>
      <c r="AF583">
        <v>88146</v>
      </c>
    </row>
    <row r="584" spans="18:32" x14ac:dyDescent="0.25">
      <c r="R584">
        <v>88146</v>
      </c>
      <c r="S584" t="s">
        <v>1059</v>
      </c>
      <c r="T584" t="s">
        <v>809</v>
      </c>
      <c r="U584" t="str">
        <f t="shared" si="88"/>
        <v>KLCC132</v>
      </c>
      <c r="W584" t="str">
        <f t="shared" si="89"/>
        <v>KLCC132T4</v>
      </c>
      <c r="X584">
        <v>20.4345</v>
      </c>
      <c r="Z584" t="s">
        <v>1059</v>
      </c>
      <c r="AA584" t="s">
        <v>809</v>
      </c>
      <c r="AB584" t="s">
        <v>2323</v>
      </c>
      <c r="AD584" t="s">
        <v>2325</v>
      </c>
      <c r="AE584">
        <v>20.4345</v>
      </c>
      <c r="AF584">
        <v>88146</v>
      </c>
    </row>
    <row r="585" spans="18:32" x14ac:dyDescent="0.25">
      <c r="R585">
        <v>588146</v>
      </c>
      <c r="S585" t="s">
        <v>1060</v>
      </c>
      <c r="T585" t="s">
        <v>804</v>
      </c>
      <c r="U585" t="str">
        <f t="shared" si="88"/>
        <v>KLCC132</v>
      </c>
      <c r="W585" t="str">
        <f t="shared" si="89"/>
        <v>KLCC132T1</v>
      </c>
      <c r="X585">
        <v>6.3859000000000004</v>
      </c>
      <c r="Z585" t="s">
        <v>1060</v>
      </c>
      <c r="AA585" t="s">
        <v>804</v>
      </c>
      <c r="AB585" t="s">
        <v>2323</v>
      </c>
      <c r="AD585" t="s">
        <v>2326</v>
      </c>
      <c r="AE585">
        <v>6.3859000000000004</v>
      </c>
      <c r="AF585">
        <v>588146</v>
      </c>
    </row>
    <row r="586" spans="18:32" x14ac:dyDescent="0.25">
      <c r="R586">
        <v>588146</v>
      </c>
      <c r="S586" t="s">
        <v>1060</v>
      </c>
      <c r="T586" t="s">
        <v>807</v>
      </c>
      <c r="U586" t="str">
        <f t="shared" si="88"/>
        <v>KLCC132</v>
      </c>
      <c r="W586" t="str">
        <f t="shared" si="89"/>
        <v>KLCC132T2</v>
      </c>
      <c r="X586">
        <v>6.9161000000000001</v>
      </c>
      <c r="Z586" t="s">
        <v>1060</v>
      </c>
      <c r="AA586" t="s">
        <v>807</v>
      </c>
      <c r="AB586" t="s">
        <v>2323</v>
      </c>
      <c r="AD586" t="s">
        <v>2327</v>
      </c>
      <c r="AE586">
        <v>6.9161000000000001</v>
      </c>
      <c r="AF586">
        <v>588146</v>
      </c>
    </row>
    <row r="587" spans="18:32" x14ac:dyDescent="0.25">
      <c r="R587">
        <v>88121</v>
      </c>
      <c r="S587" t="s">
        <v>1067</v>
      </c>
      <c r="T587" t="s">
        <v>804</v>
      </c>
      <c r="U587" t="str">
        <f t="shared" si="88"/>
        <v>KLJT132</v>
      </c>
      <c r="W587" t="str">
        <f t="shared" si="89"/>
        <v>KLJT132T1</v>
      </c>
      <c r="X587">
        <v>18.887499999999999</v>
      </c>
      <c r="Z587" t="s">
        <v>1067</v>
      </c>
      <c r="AA587" t="s">
        <v>804</v>
      </c>
      <c r="AB587" t="s">
        <v>2328</v>
      </c>
      <c r="AD587" t="s">
        <v>2329</v>
      </c>
      <c r="AE587">
        <v>18.887499999999999</v>
      </c>
      <c r="AF587">
        <v>88121</v>
      </c>
    </row>
    <row r="588" spans="18:32" x14ac:dyDescent="0.25">
      <c r="R588">
        <v>88121</v>
      </c>
      <c r="S588" t="s">
        <v>1067</v>
      </c>
      <c r="T588" t="s">
        <v>807</v>
      </c>
      <c r="U588" t="str">
        <f t="shared" si="88"/>
        <v>KLJT132</v>
      </c>
      <c r="W588" t="str">
        <f t="shared" si="89"/>
        <v>KLJT132T2</v>
      </c>
      <c r="X588">
        <v>18.812899999999999</v>
      </c>
      <c r="Z588" t="s">
        <v>1067</v>
      </c>
      <c r="AA588" t="s">
        <v>807</v>
      </c>
      <c r="AB588" t="s">
        <v>2328</v>
      </c>
      <c r="AD588" t="s">
        <v>2330</v>
      </c>
      <c r="AE588">
        <v>18.812899999999999</v>
      </c>
      <c r="AF588">
        <v>88121</v>
      </c>
    </row>
    <row r="589" spans="18:32" x14ac:dyDescent="0.25">
      <c r="R589">
        <v>88121</v>
      </c>
      <c r="S589" t="s">
        <v>1067</v>
      </c>
      <c r="T589" t="s">
        <v>809</v>
      </c>
      <c r="U589" t="str">
        <f t="shared" si="88"/>
        <v>KLJT132</v>
      </c>
      <c r="W589" t="str">
        <f t="shared" si="89"/>
        <v>KLJT132T4</v>
      </c>
      <c r="X589">
        <v>18.495000000000001</v>
      </c>
      <c r="Z589" t="s">
        <v>1067</v>
      </c>
      <c r="AA589" t="s">
        <v>809</v>
      </c>
      <c r="AB589" t="s">
        <v>2328</v>
      </c>
      <c r="AD589" t="s">
        <v>2331</v>
      </c>
      <c r="AE589">
        <v>18.495000000000001</v>
      </c>
      <c r="AF589">
        <v>88121</v>
      </c>
    </row>
    <row r="590" spans="18:32" x14ac:dyDescent="0.25">
      <c r="R590">
        <v>88163</v>
      </c>
      <c r="S590" t="s">
        <v>1070</v>
      </c>
      <c r="T590" t="s">
        <v>804</v>
      </c>
      <c r="U590" t="str">
        <f t="shared" si="88"/>
        <v>KLPV132</v>
      </c>
      <c r="W590" t="str">
        <f t="shared" si="89"/>
        <v>KLPV132T1</v>
      </c>
      <c r="X590">
        <v>28.569400000000002</v>
      </c>
      <c r="Z590" t="s">
        <v>1070</v>
      </c>
      <c r="AA590" t="s">
        <v>804</v>
      </c>
      <c r="AB590" t="s">
        <v>1575</v>
      </c>
      <c r="AD590" t="s">
        <v>2332</v>
      </c>
      <c r="AE590">
        <v>28.569400000000002</v>
      </c>
      <c r="AF590">
        <v>88163</v>
      </c>
    </row>
    <row r="591" spans="18:32" x14ac:dyDescent="0.25">
      <c r="R591">
        <v>88163</v>
      </c>
      <c r="S591" t="s">
        <v>1070</v>
      </c>
      <c r="T591" t="s">
        <v>807</v>
      </c>
      <c r="U591" t="str">
        <f t="shared" si="88"/>
        <v>KLPV132</v>
      </c>
      <c r="W591" t="str">
        <f t="shared" si="89"/>
        <v>KLPV132T2</v>
      </c>
      <c r="X591">
        <v>28.610800000000001</v>
      </c>
      <c r="Z591" t="s">
        <v>1070</v>
      </c>
      <c r="AA591" t="s">
        <v>807</v>
      </c>
      <c r="AB591" t="s">
        <v>1575</v>
      </c>
      <c r="AD591" t="s">
        <v>2333</v>
      </c>
      <c r="AE591">
        <v>28.610800000000001</v>
      </c>
      <c r="AF591">
        <v>88163</v>
      </c>
    </row>
    <row r="592" spans="18:32" x14ac:dyDescent="0.25">
      <c r="R592">
        <v>588124</v>
      </c>
      <c r="S592" t="s">
        <v>1113</v>
      </c>
      <c r="T592" t="s">
        <v>804</v>
      </c>
      <c r="U592" t="str">
        <f t="shared" si="88"/>
        <v>KULE132</v>
      </c>
      <c r="W592" t="str">
        <f t="shared" si="89"/>
        <v>KULE132T1</v>
      </c>
      <c r="X592">
        <v>39.369700000000002</v>
      </c>
      <c r="Z592" t="s">
        <v>1113</v>
      </c>
      <c r="AA592" t="s">
        <v>804</v>
      </c>
      <c r="AB592" t="s">
        <v>1574</v>
      </c>
      <c r="AD592" t="s">
        <v>2334</v>
      </c>
      <c r="AE592">
        <v>39.369700000000002</v>
      </c>
      <c r="AF592">
        <v>588124</v>
      </c>
    </row>
    <row r="593" spans="18:32" x14ac:dyDescent="0.25">
      <c r="R593">
        <v>588124</v>
      </c>
      <c r="S593" t="s">
        <v>1113</v>
      </c>
      <c r="T593" t="s">
        <v>807</v>
      </c>
      <c r="U593" t="str">
        <f t="shared" si="88"/>
        <v>KULE132</v>
      </c>
      <c r="W593" t="str">
        <f t="shared" si="89"/>
        <v>KULE132T2</v>
      </c>
      <c r="X593">
        <v>39.370699999999999</v>
      </c>
      <c r="Z593" t="s">
        <v>1113</v>
      </c>
      <c r="AA593" t="s">
        <v>807</v>
      </c>
      <c r="AB593" t="s">
        <v>1574</v>
      </c>
      <c r="AD593" t="s">
        <v>2335</v>
      </c>
      <c r="AE593">
        <v>39.370699999999999</v>
      </c>
      <c r="AF593">
        <v>588124</v>
      </c>
    </row>
    <row r="594" spans="18:32" x14ac:dyDescent="0.25">
      <c r="R594">
        <v>88111</v>
      </c>
      <c r="S594" t="s">
        <v>1114</v>
      </c>
      <c r="T594" t="s">
        <v>804</v>
      </c>
      <c r="U594" t="str">
        <f t="shared" si="88"/>
        <v>KULN132</v>
      </c>
      <c r="W594" t="str">
        <f t="shared" si="89"/>
        <v>KULN132T1</v>
      </c>
      <c r="X594">
        <v>38.271999999999998</v>
      </c>
      <c r="Z594" t="s">
        <v>1114</v>
      </c>
      <c r="AA594" t="s">
        <v>804</v>
      </c>
      <c r="AB594" t="s">
        <v>1538</v>
      </c>
      <c r="AD594" t="s">
        <v>2336</v>
      </c>
      <c r="AE594">
        <v>38.271999999999998</v>
      </c>
      <c r="AF594">
        <v>88111</v>
      </c>
    </row>
    <row r="595" spans="18:32" x14ac:dyDescent="0.25">
      <c r="R595">
        <v>88111</v>
      </c>
      <c r="S595" t="s">
        <v>1114</v>
      </c>
      <c r="T595" t="s">
        <v>807</v>
      </c>
      <c r="U595" t="str">
        <f t="shared" si="88"/>
        <v>KULN132</v>
      </c>
      <c r="W595" t="str">
        <f t="shared" si="89"/>
        <v>KULN132T2</v>
      </c>
      <c r="X595">
        <v>38.202599999999997</v>
      </c>
      <c r="Z595" t="s">
        <v>1114</v>
      </c>
      <c r="AA595" t="s">
        <v>807</v>
      </c>
      <c r="AB595" t="s">
        <v>1538</v>
      </c>
      <c r="AD595" t="s">
        <v>2337</v>
      </c>
      <c r="AE595">
        <v>38.202599999999997</v>
      </c>
      <c r="AF595">
        <v>88111</v>
      </c>
    </row>
    <row r="596" spans="18:32" x14ac:dyDescent="0.25">
      <c r="R596">
        <v>588111</v>
      </c>
      <c r="S596" t="s">
        <v>1115</v>
      </c>
      <c r="T596" t="s">
        <v>808</v>
      </c>
      <c r="U596" t="str">
        <f t="shared" si="88"/>
        <v>KULN132</v>
      </c>
      <c r="W596" t="str">
        <f t="shared" si="89"/>
        <v>KULN132T3</v>
      </c>
      <c r="X596">
        <v>16.601099999999999</v>
      </c>
      <c r="Z596" t="s">
        <v>1115</v>
      </c>
      <c r="AA596" t="s">
        <v>808</v>
      </c>
      <c r="AB596" t="s">
        <v>1538</v>
      </c>
      <c r="AD596" t="s">
        <v>2338</v>
      </c>
      <c r="AE596">
        <v>16.601099999999999</v>
      </c>
      <c r="AF596">
        <v>588111</v>
      </c>
    </row>
    <row r="597" spans="18:32" x14ac:dyDescent="0.25">
      <c r="R597">
        <v>588111</v>
      </c>
      <c r="S597" t="s">
        <v>1115</v>
      </c>
      <c r="T597" t="s">
        <v>809</v>
      </c>
      <c r="U597" t="str">
        <f t="shared" si="88"/>
        <v>KULN132</v>
      </c>
      <c r="W597" t="str">
        <f t="shared" si="89"/>
        <v>KULN132T4</v>
      </c>
      <c r="X597">
        <v>16.481999999999999</v>
      </c>
      <c r="Z597" t="s">
        <v>1115</v>
      </c>
      <c r="AA597" t="s">
        <v>809</v>
      </c>
      <c r="AB597" t="s">
        <v>1538</v>
      </c>
      <c r="AD597" t="s">
        <v>2339</v>
      </c>
      <c r="AE597">
        <v>16.481999999999999</v>
      </c>
      <c r="AF597">
        <v>588111</v>
      </c>
    </row>
    <row r="598" spans="18:32" x14ac:dyDescent="0.25">
      <c r="R598">
        <v>88117</v>
      </c>
      <c r="S598" t="s">
        <v>1116</v>
      </c>
      <c r="T598" t="s">
        <v>804</v>
      </c>
      <c r="U598" t="str">
        <f t="shared" si="88"/>
        <v>KULS132</v>
      </c>
      <c r="W598" t="str">
        <f t="shared" si="89"/>
        <v>KULS132T1</v>
      </c>
      <c r="X598">
        <v>12.594799999999999</v>
      </c>
      <c r="Z598" t="s">
        <v>1116</v>
      </c>
      <c r="AA598" t="s">
        <v>804</v>
      </c>
      <c r="AB598" t="s">
        <v>2340</v>
      </c>
      <c r="AD598" t="s">
        <v>2341</v>
      </c>
      <c r="AE598">
        <v>12.594799999999999</v>
      </c>
      <c r="AF598">
        <v>88117</v>
      </c>
    </row>
    <row r="599" spans="18:32" x14ac:dyDescent="0.25">
      <c r="R599">
        <v>88117</v>
      </c>
      <c r="S599" t="s">
        <v>1116</v>
      </c>
      <c r="T599" t="s">
        <v>807</v>
      </c>
      <c r="U599" t="str">
        <f t="shared" si="88"/>
        <v>KULS132</v>
      </c>
      <c r="W599" t="str">
        <f t="shared" si="89"/>
        <v>KULS132T2</v>
      </c>
      <c r="X599">
        <v>6.5506000000000002</v>
      </c>
      <c r="Z599" t="s">
        <v>1116</v>
      </c>
      <c r="AA599" t="s">
        <v>807</v>
      </c>
      <c r="AB599" t="s">
        <v>2340</v>
      </c>
      <c r="AD599" t="s">
        <v>2342</v>
      </c>
      <c r="AE599">
        <v>6.5506000000000002</v>
      </c>
      <c r="AF599">
        <v>88117</v>
      </c>
    </row>
    <row r="600" spans="18:32" x14ac:dyDescent="0.25">
      <c r="R600">
        <v>88117</v>
      </c>
      <c r="S600" t="s">
        <v>1116</v>
      </c>
      <c r="T600" t="s">
        <v>808</v>
      </c>
      <c r="U600" t="str">
        <f t="shared" si="88"/>
        <v>KULS132</v>
      </c>
      <c r="W600" t="str">
        <f t="shared" si="89"/>
        <v>KULS132T3</v>
      </c>
      <c r="X600">
        <v>41.9574</v>
      </c>
      <c r="Z600" t="s">
        <v>1116</v>
      </c>
      <c r="AA600" t="s">
        <v>808</v>
      </c>
      <c r="AB600" t="s">
        <v>2340</v>
      </c>
      <c r="AD600" t="s">
        <v>2343</v>
      </c>
      <c r="AE600">
        <v>41.9574</v>
      </c>
      <c r="AF600">
        <v>88117</v>
      </c>
    </row>
    <row r="601" spans="18:32" x14ac:dyDescent="0.25">
      <c r="R601">
        <v>88117</v>
      </c>
      <c r="S601" t="s">
        <v>1116</v>
      </c>
      <c r="T601" t="s">
        <v>809</v>
      </c>
      <c r="U601" t="str">
        <f t="shared" si="88"/>
        <v>KULS132</v>
      </c>
      <c r="W601" t="str">
        <f t="shared" si="89"/>
        <v>KULS132T4</v>
      </c>
      <c r="X601">
        <v>41.907699999999998</v>
      </c>
      <c r="Z601" t="s">
        <v>1116</v>
      </c>
      <c r="AA601" t="s">
        <v>809</v>
      </c>
      <c r="AB601" t="s">
        <v>2340</v>
      </c>
      <c r="AD601" t="s">
        <v>2344</v>
      </c>
      <c r="AE601">
        <v>41.907699999999998</v>
      </c>
      <c r="AF601">
        <v>88117</v>
      </c>
    </row>
    <row r="602" spans="18:32" x14ac:dyDescent="0.25">
      <c r="R602">
        <v>51081</v>
      </c>
      <c r="S602" t="s">
        <v>1136</v>
      </c>
      <c r="T602" t="s">
        <v>804</v>
      </c>
      <c r="U602" t="str">
        <f t="shared" si="88"/>
        <v>MCRS132</v>
      </c>
      <c r="W602" t="str">
        <f t="shared" si="89"/>
        <v>MCRS132T1</v>
      </c>
      <c r="X602">
        <v>29.6691</v>
      </c>
      <c r="Z602" t="s">
        <v>1136</v>
      </c>
      <c r="AA602" t="s">
        <v>804</v>
      </c>
      <c r="AB602" t="s">
        <v>2345</v>
      </c>
      <c r="AD602" t="s">
        <v>2346</v>
      </c>
      <c r="AE602">
        <v>29.6691</v>
      </c>
      <c r="AF602">
        <v>51081</v>
      </c>
    </row>
    <row r="603" spans="18:32" x14ac:dyDescent="0.25">
      <c r="R603">
        <v>51081</v>
      </c>
      <c r="S603" t="s">
        <v>1136</v>
      </c>
      <c r="T603" t="s">
        <v>807</v>
      </c>
      <c r="U603" t="str">
        <f t="shared" si="88"/>
        <v>MCRS132</v>
      </c>
      <c r="W603" t="str">
        <f t="shared" si="89"/>
        <v>MCRS132T2</v>
      </c>
      <c r="X603">
        <v>25.712499999999999</v>
      </c>
      <c r="Z603" t="s">
        <v>1136</v>
      </c>
      <c r="AA603" t="s">
        <v>807</v>
      </c>
      <c r="AB603" t="s">
        <v>2345</v>
      </c>
      <c r="AD603" t="s">
        <v>2347</v>
      </c>
      <c r="AE603">
        <v>25.712499999999999</v>
      </c>
      <c r="AF603">
        <v>51081</v>
      </c>
    </row>
    <row r="604" spans="18:32" x14ac:dyDescent="0.25">
      <c r="R604">
        <v>88129</v>
      </c>
      <c r="S604" t="s">
        <v>1137</v>
      </c>
      <c r="T604" t="s">
        <v>804</v>
      </c>
      <c r="U604" t="str">
        <f t="shared" si="88"/>
        <v>MDAM132</v>
      </c>
      <c r="W604" t="str">
        <f t="shared" si="89"/>
        <v>MDAM132T1</v>
      </c>
      <c r="X604">
        <v>18.2683</v>
      </c>
      <c r="Z604" t="s">
        <v>1137</v>
      </c>
      <c r="AA604" t="s">
        <v>804</v>
      </c>
      <c r="AB604" t="s">
        <v>1498</v>
      </c>
      <c r="AD604" t="s">
        <v>2348</v>
      </c>
      <c r="AE604">
        <v>18.2683</v>
      </c>
      <c r="AF604">
        <v>88129</v>
      </c>
    </row>
    <row r="605" spans="18:32" x14ac:dyDescent="0.25">
      <c r="R605">
        <v>88129</v>
      </c>
      <c r="S605" t="s">
        <v>1137</v>
      </c>
      <c r="T605" t="s">
        <v>807</v>
      </c>
      <c r="U605" t="str">
        <f t="shared" si="88"/>
        <v>MDAM132</v>
      </c>
      <c r="W605" t="str">
        <f t="shared" si="89"/>
        <v>MDAM132T2</v>
      </c>
      <c r="X605">
        <v>17.3322</v>
      </c>
      <c r="Z605" t="s">
        <v>1137</v>
      </c>
      <c r="AA605" t="s">
        <v>807</v>
      </c>
      <c r="AB605" t="s">
        <v>1498</v>
      </c>
      <c r="AD605" t="s">
        <v>2349</v>
      </c>
      <c r="AE605">
        <v>17.3322</v>
      </c>
      <c r="AF605">
        <v>88129</v>
      </c>
    </row>
    <row r="606" spans="18:32" x14ac:dyDescent="0.25">
      <c r="R606">
        <v>88128</v>
      </c>
      <c r="S606" t="s">
        <v>1146</v>
      </c>
      <c r="T606" t="s">
        <v>804</v>
      </c>
      <c r="U606" t="str">
        <f t="shared" si="88"/>
        <v>MJLR132</v>
      </c>
      <c r="W606" t="str">
        <f t="shared" si="89"/>
        <v>MJLR132T1</v>
      </c>
      <c r="X606">
        <v>49.94</v>
      </c>
      <c r="Z606" t="s">
        <v>1146</v>
      </c>
      <c r="AA606" t="s">
        <v>804</v>
      </c>
      <c r="AB606" t="s">
        <v>1427</v>
      </c>
      <c r="AD606" t="s">
        <v>2350</v>
      </c>
      <c r="AE606">
        <v>49.94</v>
      </c>
      <c r="AF606">
        <v>88128</v>
      </c>
    </row>
    <row r="607" spans="18:32" x14ac:dyDescent="0.25">
      <c r="R607">
        <v>88128</v>
      </c>
      <c r="S607" t="s">
        <v>1146</v>
      </c>
      <c r="T607" t="s">
        <v>807</v>
      </c>
      <c r="U607" t="str">
        <f t="shared" si="88"/>
        <v>MJLR132</v>
      </c>
      <c r="W607" t="str">
        <f t="shared" si="89"/>
        <v>MJLR132T2</v>
      </c>
      <c r="X607">
        <v>49.346699999999998</v>
      </c>
      <c r="Z607" t="s">
        <v>1146</v>
      </c>
      <c r="AA607" t="s">
        <v>807</v>
      </c>
      <c r="AB607" t="s">
        <v>1427</v>
      </c>
      <c r="AD607" t="s">
        <v>2351</v>
      </c>
      <c r="AE607">
        <v>49.346699999999998</v>
      </c>
      <c r="AF607">
        <v>88128</v>
      </c>
    </row>
    <row r="608" spans="18:32" x14ac:dyDescent="0.25">
      <c r="R608">
        <v>88105</v>
      </c>
      <c r="S608" t="s">
        <v>1165</v>
      </c>
      <c r="T608" t="s">
        <v>804</v>
      </c>
      <c r="U608" t="str">
        <f t="shared" si="88"/>
        <v>MTRE132</v>
      </c>
      <c r="W608" t="str">
        <f t="shared" si="89"/>
        <v>MTRE132T1</v>
      </c>
      <c r="X608">
        <v>9.7119</v>
      </c>
      <c r="Z608" t="s">
        <v>1165</v>
      </c>
      <c r="AA608" t="s">
        <v>804</v>
      </c>
      <c r="AB608" t="s">
        <v>2352</v>
      </c>
      <c r="AD608" t="s">
        <v>2353</v>
      </c>
      <c r="AE608">
        <v>9.7119</v>
      </c>
      <c r="AF608">
        <v>88105</v>
      </c>
    </row>
    <row r="609" spans="18:32" x14ac:dyDescent="0.25">
      <c r="R609">
        <v>88105</v>
      </c>
      <c r="S609" t="s">
        <v>1165</v>
      </c>
      <c r="T609" t="s">
        <v>807</v>
      </c>
      <c r="U609" t="str">
        <f t="shared" si="88"/>
        <v>MTRE132</v>
      </c>
      <c r="W609" t="str">
        <f t="shared" si="89"/>
        <v>MTRE132T2</v>
      </c>
      <c r="X609">
        <v>9.6518999999999995</v>
      </c>
      <c r="Z609" t="s">
        <v>1165</v>
      </c>
      <c r="AA609" t="s">
        <v>807</v>
      </c>
      <c r="AB609" t="s">
        <v>2352</v>
      </c>
      <c r="AD609" t="s">
        <v>2354</v>
      </c>
      <c r="AE609">
        <v>9.6518999999999995</v>
      </c>
      <c r="AF609">
        <v>88105</v>
      </c>
    </row>
    <row r="610" spans="18:32" x14ac:dyDescent="0.25">
      <c r="R610">
        <v>88139</v>
      </c>
      <c r="S610" t="s">
        <v>1167</v>
      </c>
      <c r="T610" t="s">
        <v>804</v>
      </c>
      <c r="U610" t="str">
        <f t="shared" si="88"/>
        <v>MVLY132</v>
      </c>
      <c r="W610" t="str">
        <f t="shared" si="89"/>
        <v>MVLY132T1</v>
      </c>
      <c r="X610">
        <v>0</v>
      </c>
      <c r="Z610" t="s">
        <v>1167</v>
      </c>
      <c r="AA610" t="s">
        <v>804</v>
      </c>
      <c r="AB610" t="s">
        <v>2355</v>
      </c>
      <c r="AD610" t="s">
        <v>2356</v>
      </c>
      <c r="AE610">
        <v>0</v>
      </c>
      <c r="AF610">
        <v>88139</v>
      </c>
    </row>
    <row r="611" spans="18:32" x14ac:dyDescent="0.25">
      <c r="R611">
        <v>88139</v>
      </c>
      <c r="S611" t="s">
        <v>1167</v>
      </c>
      <c r="T611" t="s">
        <v>807</v>
      </c>
      <c r="U611" t="str">
        <f t="shared" si="88"/>
        <v>MVLY132</v>
      </c>
      <c r="W611" t="str">
        <f t="shared" si="89"/>
        <v>MVLY132T2</v>
      </c>
      <c r="X611">
        <v>0</v>
      </c>
      <c r="Z611" t="s">
        <v>1167</v>
      </c>
      <c r="AA611" t="s">
        <v>807</v>
      </c>
      <c r="AB611" t="s">
        <v>2355</v>
      </c>
      <c r="AD611" t="s">
        <v>2357</v>
      </c>
      <c r="AE611">
        <v>0</v>
      </c>
      <c r="AF611">
        <v>88139</v>
      </c>
    </row>
    <row r="612" spans="18:32" x14ac:dyDescent="0.25">
      <c r="R612">
        <v>88139</v>
      </c>
      <c r="S612" t="s">
        <v>1167</v>
      </c>
      <c r="T612" t="s">
        <v>808</v>
      </c>
      <c r="U612" t="str">
        <f t="shared" si="88"/>
        <v>MVLY132</v>
      </c>
      <c r="W612" t="str">
        <f t="shared" si="89"/>
        <v>MVLY132T3</v>
      </c>
      <c r="X612">
        <v>28.798200000000001</v>
      </c>
      <c r="Z612" t="s">
        <v>1167</v>
      </c>
      <c r="AA612" t="s">
        <v>808</v>
      </c>
      <c r="AB612" t="s">
        <v>2355</v>
      </c>
      <c r="AD612" t="s">
        <v>2358</v>
      </c>
      <c r="AE612">
        <v>28.798200000000001</v>
      </c>
      <c r="AF612">
        <v>88139</v>
      </c>
    </row>
    <row r="613" spans="18:32" x14ac:dyDescent="0.25">
      <c r="R613">
        <v>88139</v>
      </c>
      <c r="S613" t="s">
        <v>1167</v>
      </c>
      <c r="T613" t="s">
        <v>809</v>
      </c>
      <c r="U613" t="str">
        <f t="shared" si="88"/>
        <v>MVLY132</v>
      </c>
      <c r="W613" t="str">
        <f t="shared" si="89"/>
        <v>MVLY132T4</v>
      </c>
      <c r="X613">
        <v>28.6295</v>
      </c>
      <c r="Z613" t="s">
        <v>1167</v>
      </c>
      <c r="AA613" t="s">
        <v>809</v>
      </c>
      <c r="AB613" t="s">
        <v>2355</v>
      </c>
      <c r="AD613" t="s">
        <v>2359</v>
      </c>
      <c r="AE613">
        <v>28.6295</v>
      </c>
      <c r="AF613">
        <v>88139</v>
      </c>
    </row>
    <row r="614" spans="18:32" x14ac:dyDescent="0.25">
      <c r="R614">
        <v>88116</v>
      </c>
      <c r="S614" t="s">
        <v>1168</v>
      </c>
      <c r="T614" t="s">
        <v>804</v>
      </c>
      <c r="U614" t="str">
        <f t="shared" si="88"/>
        <v>MWSN132</v>
      </c>
      <c r="W614" t="str">
        <f t="shared" si="89"/>
        <v>MWSN132T1</v>
      </c>
      <c r="X614">
        <v>1.4311</v>
      </c>
      <c r="Z614" t="s">
        <v>1168</v>
      </c>
      <c r="AA614" t="s">
        <v>804</v>
      </c>
      <c r="AB614" t="s">
        <v>2360</v>
      </c>
      <c r="AD614" t="s">
        <v>2361</v>
      </c>
      <c r="AE614">
        <v>1.4311</v>
      </c>
      <c r="AF614">
        <v>88116</v>
      </c>
    </row>
    <row r="615" spans="18:32" x14ac:dyDescent="0.25">
      <c r="R615">
        <v>88116</v>
      </c>
      <c r="S615" t="s">
        <v>1168</v>
      </c>
      <c r="T615" t="s">
        <v>807</v>
      </c>
      <c r="U615" t="str">
        <f t="shared" si="88"/>
        <v>MWSN132</v>
      </c>
      <c r="W615" t="str">
        <f t="shared" si="89"/>
        <v>MWSN132T2</v>
      </c>
      <c r="X615">
        <v>1.4217</v>
      </c>
      <c r="Z615" t="s">
        <v>1168</v>
      </c>
      <c r="AA615" t="s">
        <v>807</v>
      </c>
      <c r="AB615" t="s">
        <v>2360</v>
      </c>
      <c r="AD615" t="s">
        <v>2362</v>
      </c>
      <c r="AE615">
        <v>1.4217</v>
      </c>
      <c r="AF615">
        <v>88116</v>
      </c>
    </row>
    <row r="616" spans="18:32" x14ac:dyDescent="0.25">
      <c r="R616">
        <v>51073</v>
      </c>
      <c r="S616" t="s">
        <v>1216</v>
      </c>
      <c r="T616" t="s">
        <v>804</v>
      </c>
      <c r="U616" t="str">
        <f t="shared" si="88"/>
        <v>PJYC132</v>
      </c>
      <c r="W616" t="str">
        <f t="shared" si="89"/>
        <v>PJYC132T1</v>
      </c>
      <c r="X616">
        <v>23.665299999999998</v>
      </c>
      <c r="Z616" t="s">
        <v>1216</v>
      </c>
      <c r="AA616" t="s">
        <v>804</v>
      </c>
      <c r="AB616" t="s">
        <v>2363</v>
      </c>
      <c r="AD616" t="s">
        <v>2364</v>
      </c>
      <c r="AE616">
        <v>23.665299999999998</v>
      </c>
      <c r="AF616">
        <v>51073</v>
      </c>
    </row>
    <row r="617" spans="18:32" x14ac:dyDescent="0.25">
      <c r="R617">
        <v>51073</v>
      </c>
      <c r="S617" t="s">
        <v>1216</v>
      </c>
      <c r="T617" t="s">
        <v>807</v>
      </c>
      <c r="U617" t="str">
        <f t="shared" si="88"/>
        <v>PJYC132</v>
      </c>
      <c r="W617" t="str">
        <f t="shared" si="89"/>
        <v>PJYC132T2</v>
      </c>
      <c r="X617">
        <v>23.851700000000001</v>
      </c>
      <c r="Z617" t="s">
        <v>1216</v>
      </c>
      <c r="AA617" t="s">
        <v>807</v>
      </c>
      <c r="AB617" t="s">
        <v>2363</v>
      </c>
      <c r="AD617" t="s">
        <v>2365</v>
      </c>
      <c r="AE617">
        <v>23.851700000000001</v>
      </c>
      <c r="AF617">
        <v>51073</v>
      </c>
    </row>
    <row r="618" spans="18:32" x14ac:dyDescent="0.25">
      <c r="R618">
        <v>88175</v>
      </c>
      <c r="S618" t="s">
        <v>1226</v>
      </c>
      <c r="T618" t="s">
        <v>804</v>
      </c>
      <c r="U618" t="str">
        <f t="shared" si="88"/>
        <v>PMJU132</v>
      </c>
      <c r="W618" t="str">
        <f t="shared" si="89"/>
        <v>PMJU132T1</v>
      </c>
      <c r="X618">
        <v>16.395099999999999</v>
      </c>
      <c r="Z618" t="s">
        <v>1226</v>
      </c>
      <c r="AA618" t="s">
        <v>804</v>
      </c>
      <c r="AB618" t="s">
        <v>2366</v>
      </c>
      <c r="AD618" t="s">
        <v>2367</v>
      </c>
      <c r="AE618">
        <v>16.395099999999999</v>
      </c>
      <c r="AF618">
        <v>88175</v>
      </c>
    </row>
    <row r="619" spans="18:32" x14ac:dyDescent="0.25">
      <c r="R619">
        <v>88175</v>
      </c>
      <c r="S619" t="s">
        <v>1226</v>
      </c>
      <c r="T619" t="s">
        <v>807</v>
      </c>
      <c r="U619" t="str">
        <f t="shared" si="88"/>
        <v>PMJU132</v>
      </c>
      <c r="W619" t="str">
        <f t="shared" si="89"/>
        <v>PMJU132T2</v>
      </c>
      <c r="X619">
        <v>4.4867999999999997</v>
      </c>
      <c r="Z619" t="s">
        <v>1226</v>
      </c>
      <c r="AA619" t="s">
        <v>807</v>
      </c>
      <c r="AB619" t="s">
        <v>2366</v>
      </c>
      <c r="AD619" t="s">
        <v>2368</v>
      </c>
      <c r="AE619">
        <v>4.4867999999999997</v>
      </c>
      <c r="AF619">
        <v>88175</v>
      </c>
    </row>
    <row r="620" spans="18:32" x14ac:dyDescent="0.25">
      <c r="R620">
        <v>88175</v>
      </c>
      <c r="S620" t="s">
        <v>1226</v>
      </c>
      <c r="T620" t="s">
        <v>808</v>
      </c>
      <c r="U620" t="str">
        <f t="shared" si="88"/>
        <v>PMJU132</v>
      </c>
      <c r="W620" t="str">
        <f t="shared" si="89"/>
        <v>PMJU132T3</v>
      </c>
      <c r="X620">
        <v>37.115400000000001</v>
      </c>
      <c r="Z620" t="s">
        <v>1226</v>
      </c>
      <c r="AA620" t="s">
        <v>808</v>
      </c>
      <c r="AB620" t="s">
        <v>2366</v>
      </c>
      <c r="AD620" t="s">
        <v>2369</v>
      </c>
      <c r="AE620">
        <v>37.115400000000001</v>
      </c>
      <c r="AF620">
        <v>88175</v>
      </c>
    </row>
    <row r="621" spans="18:32" x14ac:dyDescent="0.25">
      <c r="R621">
        <v>88175</v>
      </c>
      <c r="S621" t="s">
        <v>1226</v>
      </c>
      <c r="T621" t="s">
        <v>809</v>
      </c>
      <c r="U621" t="str">
        <f t="shared" si="88"/>
        <v>PMJU132</v>
      </c>
      <c r="W621" t="str">
        <f t="shared" si="89"/>
        <v>PMJU132T4</v>
      </c>
      <c r="X621">
        <v>37.377400000000002</v>
      </c>
      <c r="Z621" t="s">
        <v>1226</v>
      </c>
      <c r="AA621" t="s">
        <v>809</v>
      </c>
      <c r="AB621" t="s">
        <v>2366</v>
      </c>
      <c r="AD621" t="s">
        <v>2370</v>
      </c>
      <c r="AE621">
        <v>37.377400000000002</v>
      </c>
      <c r="AF621">
        <v>88175</v>
      </c>
    </row>
    <row r="622" spans="18:32" x14ac:dyDescent="0.25">
      <c r="R622">
        <v>88175</v>
      </c>
      <c r="S622" t="s">
        <v>1226</v>
      </c>
      <c r="T622" t="s">
        <v>810</v>
      </c>
      <c r="U622" t="str">
        <f t="shared" si="88"/>
        <v>PMJU132</v>
      </c>
      <c r="W622" t="str">
        <f t="shared" si="89"/>
        <v>PMJU132T5</v>
      </c>
      <c r="X622">
        <v>36.007399999999997</v>
      </c>
      <c r="Z622" t="s">
        <v>1226</v>
      </c>
      <c r="AA622" t="s">
        <v>810</v>
      </c>
      <c r="AB622" t="s">
        <v>2366</v>
      </c>
      <c r="AD622" t="s">
        <v>2371</v>
      </c>
      <c r="AE622">
        <v>36.007399999999997</v>
      </c>
      <c r="AF622">
        <v>88175</v>
      </c>
    </row>
    <row r="623" spans="18:32" x14ac:dyDescent="0.25">
      <c r="R623">
        <v>88175</v>
      </c>
      <c r="S623" t="s">
        <v>1226</v>
      </c>
      <c r="T623" t="s">
        <v>812</v>
      </c>
      <c r="U623" t="str">
        <f t="shared" si="88"/>
        <v>PMJU132</v>
      </c>
      <c r="W623" t="str">
        <f t="shared" si="89"/>
        <v>PMJU132T6</v>
      </c>
      <c r="X623">
        <v>35.693600000000004</v>
      </c>
      <c r="Z623" t="s">
        <v>1226</v>
      </c>
      <c r="AA623" t="s">
        <v>812</v>
      </c>
      <c r="AB623" t="s">
        <v>2366</v>
      </c>
      <c r="AD623" t="s">
        <v>2372</v>
      </c>
      <c r="AE623">
        <v>35.693600000000004</v>
      </c>
      <c r="AF623">
        <v>88175</v>
      </c>
    </row>
    <row r="624" spans="18:32" x14ac:dyDescent="0.25">
      <c r="R624">
        <v>88119</v>
      </c>
      <c r="S624" t="s">
        <v>1251</v>
      </c>
      <c r="T624" t="s">
        <v>804</v>
      </c>
      <c r="U624" t="str">
        <f t="shared" si="88"/>
        <v>PULU132</v>
      </c>
      <c r="W624" t="str">
        <f t="shared" si="89"/>
        <v>PULU132T1</v>
      </c>
      <c r="X624">
        <v>46.368600000000001</v>
      </c>
      <c r="Z624" t="s">
        <v>1251</v>
      </c>
      <c r="AA624" t="s">
        <v>804</v>
      </c>
      <c r="AB624" t="s">
        <v>2373</v>
      </c>
      <c r="AD624" t="s">
        <v>2374</v>
      </c>
      <c r="AE624">
        <v>46.368600000000001</v>
      </c>
      <c r="AF624">
        <v>88119</v>
      </c>
    </row>
    <row r="625" spans="18:32" x14ac:dyDescent="0.25">
      <c r="R625">
        <v>88119</v>
      </c>
      <c r="S625" t="s">
        <v>1251</v>
      </c>
      <c r="T625" t="s">
        <v>807</v>
      </c>
      <c r="U625" t="str">
        <f t="shared" si="88"/>
        <v>PULU132</v>
      </c>
      <c r="W625" t="str">
        <f t="shared" si="89"/>
        <v>PULU132T2</v>
      </c>
      <c r="X625">
        <v>46.198799999999999</v>
      </c>
      <c r="Z625" t="s">
        <v>1251</v>
      </c>
      <c r="AA625" t="s">
        <v>807</v>
      </c>
      <c r="AB625" t="s">
        <v>2373</v>
      </c>
      <c r="AD625" t="s">
        <v>2375</v>
      </c>
      <c r="AE625">
        <v>46.198799999999999</v>
      </c>
      <c r="AF625">
        <v>88119</v>
      </c>
    </row>
    <row r="626" spans="18:32" x14ac:dyDescent="0.25">
      <c r="R626">
        <v>88179</v>
      </c>
      <c r="S626" t="s">
        <v>1252</v>
      </c>
      <c r="T626" t="s">
        <v>804</v>
      </c>
      <c r="U626" t="str">
        <f t="shared" si="88"/>
        <v>PVBJ132</v>
      </c>
      <c r="W626" t="str">
        <f t="shared" si="89"/>
        <v>PVBJ132T1</v>
      </c>
      <c r="X626">
        <v>17.114699999999999</v>
      </c>
      <c r="Z626" t="s">
        <v>1252</v>
      </c>
      <c r="AA626" t="s">
        <v>804</v>
      </c>
      <c r="AB626" t="s">
        <v>2376</v>
      </c>
      <c r="AD626" t="s">
        <v>2377</v>
      </c>
      <c r="AE626">
        <v>17.114699999999999</v>
      </c>
      <c r="AF626">
        <v>88179</v>
      </c>
    </row>
    <row r="627" spans="18:32" x14ac:dyDescent="0.25">
      <c r="R627">
        <v>88179</v>
      </c>
      <c r="S627" t="s">
        <v>1252</v>
      </c>
      <c r="T627" t="s">
        <v>807</v>
      </c>
      <c r="U627" t="str">
        <f t="shared" si="88"/>
        <v>PVBJ132</v>
      </c>
      <c r="W627" t="str">
        <f t="shared" si="89"/>
        <v>PVBJ132T2</v>
      </c>
      <c r="X627">
        <v>17.163399999999999</v>
      </c>
      <c r="Z627" t="s">
        <v>1252</v>
      </c>
      <c r="AA627" t="s">
        <v>807</v>
      </c>
      <c r="AB627" t="s">
        <v>2376</v>
      </c>
      <c r="AD627" t="s">
        <v>2378</v>
      </c>
      <c r="AE627">
        <v>17.163399999999999</v>
      </c>
      <c r="AF627">
        <v>88179</v>
      </c>
    </row>
    <row r="628" spans="18:32" x14ac:dyDescent="0.25">
      <c r="R628">
        <v>88107</v>
      </c>
      <c r="S628" t="s">
        <v>1271</v>
      </c>
      <c r="T628" t="s">
        <v>804</v>
      </c>
      <c r="U628" t="str">
        <f t="shared" si="88"/>
        <v>SCTY132</v>
      </c>
      <c r="W628" t="str">
        <f t="shared" si="89"/>
        <v>SCTY132T1</v>
      </c>
      <c r="X628">
        <v>17.130299999999998</v>
      </c>
      <c r="Z628" t="s">
        <v>1271</v>
      </c>
      <c r="AA628" t="s">
        <v>804</v>
      </c>
      <c r="AB628" t="s">
        <v>1429</v>
      </c>
      <c r="AD628" t="s">
        <v>2379</v>
      </c>
      <c r="AE628">
        <v>17.130299999999998</v>
      </c>
      <c r="AF628">
        <v>88107</v>
      </c>
    </row>
    <row r="629" spans="18:32" x14ac:dyDescent="0.25">
      <c r="R629">
        <v>88107</v>
      </c>
      <c r="S629" t="s">
        <v>1271</v>
      </c>
      <c r="T629" t="s">
        <v>807</v>
      </c>
      <c r="U629" t="str">
        <f t="shared" si="88"/>
        <v>SCTY132</v>
      </c>
      <c r="W629" t="str">
        <f t="shared" si="89"/>
        <v>SCTY132T2</v>
      </c>
      <c r="X629">
        <v>17.077400000000001</v>
      </c>
      <c r="Z629" t="s">
        <v>1271</v>
      </c>
      <c r="AA629" t="s">
        <v>807</v>
      </c>
      <c r="AB629" t="s">
        <v>1429</v>
      </c>
      <c r="AD629" t="s">
        <v>2380</v>
      </c>
      <c r="AE629">
        <v>17.077400000000001</v>
      </c>
      <c r="AF629">
        <v>88107</v>
      </c>
    </row>
    <row r="630" spans="18:32" x14ac:dyDescent="0.25">
      <c r="R630">
        <v>88173</v>
      </c>
      <c r="S630" t="s">
        <v>1275</v>
      </c>
      <c r="T630" t="s">
        <v>804</v>
      </c>
      <c r="U630" t="str">
        <f t="shared" si="88"/>
        <v>SDAM132</v>
      </c>
      <c r="W630" t="str">
        <f t="shared" si="89"/>
        <v>SDAM132T1</v>
      </c>
      <c r="X630">
        <v>27.894300000000001</v>
      </c>
      <c r="Z630" t="s">
        <v>1275</v>
      </c>
      <c r="AA630" t="s">
        <v>804</v>
      </c>
      <c r="AB630" t="s">
        <v>1628</v>
      </c>
      <c r="AD630" t="s">
        <v>2381</v>
      </c>
      <c r="AE630">
        <v>27.894300000000001</v>
      </c>
      <c r="AF630">
        <v>88173</v>
      </c>
    </row>
    <row r="631" spans="18:32" x14ac:dyDescent="0.25">
      <c r="R631">
        <v>88173</v>
      </c>
      <c r="S631" t="s">
        <v>1275</v>
      </c>
      <c r="T631" t="s">
        <v>807</v>
      </c>
      <c r="U631" t="str">
        <f t="shared" si="88"/>
        <v>SDAM132</v>
      </c>
      <c r="W631" t="str">
        <f t="shared" si="89"/>
        <v>SDAM132T2</v>
      </c>
      <c r="X631">
        <v>27.648800000000001</v>
      </c>
      <c r="Z631" t="s">
        <v>1275</v>
      </c>
      <c r="AA631" t="s">
        <v>807</v>
      </c>
      <c r="AB631" t="s">
        <v>1628</v>
      </c>
      <c r="AD631" t="s">
        <v>2382</v>
      </c>
      <c r="AE631">
        <v>27.648800000000001</v>
      </c>
      <c r="AF631">
        <v>88173</v>
      </c>
    </row>
    <row r="632" spans="18:32" x14ac:dyDescent="0.25">
      <c r="R632">
        <v>88122</v>
      </c>
      <c r="S632" t="s">
        <v>1281</v>
      </c>
      <c r="T632" t="s">
        <v>804</v>
      </c>
      <c r="U632" t="str">
        <f t="shared" si="88"/>
        <v>SGBT132</v>
      </c>
      <c r="W632" t="str">
        <f t="shared" si="89"/>
        <v>SGBT132T1</v>
      </c>
      <c r="X632">
        <v>40.1111</v>
      </c>
      <c r="Z632" t="s">
        <v>1281</v>
      </c>
      <c r="AA632" t="s">
        <v>804</v>
      </c>
      <c r="AB632" t="s">
        <v>1550</v>
      </c>
      <c r="AD632" t="s">
        <v>2383</v>
      </c>
      <c r="AE632">
        <v>40.1111</v>
      </c>
      <c r="AF632">
        <v>88122</v>
      </c>
    </row>
    <row r="633" spans="18:32" x14ac:dyDescent="0.25">
      <c r="R633">
        <v>88122</v>
      </c>
      <c r="S633" t="s">
        <v>1281</v>
      </c>
      <c r="T633" t="s">
        <v>807</v>
      </c>
      <c r="U633" t="str">
        <f t="shared" si="88"/>
        <v>SGBT132</v>
      </c>
      <c r="W633" t="str">
        <f t="shared" si="89"/>
        <v>SGBT132T2</v>
      </c>
      <c r="X633">
        <v>39.647199999999998</v>
      </c>
      <c r="Z633" t="s">
        <v>1281</v>
      </c>
      <c r="AA633" t="s">
        <v>807</v>
      </c>
      <c r="AB633" t="s">
        <v>1550</v>
      </c>
      <c r="AD633" t="s">
        <v>2384</v>
      </c>
      <c r="AE633">
        <v>39.647199999999998</v>
      </c>
      <c r="AF633">
        <v>88122</v>
      </c>
    </row>
    <row r="634" spans="18:32" x14ac:dyDescent="0.25">
      <c r="R634">
        <v>88142</v>
      </c>
      <c r="S634" t="s">
        <v>1291</v>
      </c>
      <c r="T634" t="s">
        <v>804</v>
      </c>
      <c r="U634" t="str">
        <f t="shared" si="88"/>
        <v>SHMS132</v>
      </c>
      <c r="W634" t="str">
        <f t="shared" si="89"/>
        <v>SHMS132T1</v>
      </c>
      <c r="X634">
        <v>28.223500000000001</v>
      </c>
      <c r="Z634" t="s">
        <v>1291</v>
      </c>
      <c r="AA634" t="s">
        <v>804</v>
      </c>
      <c r="AB634" t="s">
        <v>1428</v>
      </c>
      <c r="AD634" t="s">
        <v>2385</v>
      </c>
      <c r="AE634">
        <v>28.223500000000001</v>
      </c>
      <c r="AF634">
        <v>88142</v>
      </c>
    </row>
    <row r="635" spans="18:32" x14ac:dyDescent="0.25">
      <c r="R635">
        <v>88142</v>
      </c>
      <c r="S635" t="s">
        <v>1291</v>
      </c>
      <c r="T635" t="s">
        <v>807</v>
      </c>
      <c r="U635" t="str">
        <f t="shared" si="88"/>
        <v>SHMS132</v>
      </c>
      <c r="W635" t="str">
        <f t="shared" si="89"/>
        <v>SHMS132T2</v>
      </c>
      <c r="X635">
        <v>28.113800000000001</v>
      </c>
      <c r="Z635" t="s">
        <v>1291</v>
      </c>
      <c r="AA635" t="s">
        <v>807</v>
      </c>
      <c r="AB635" t="s">
        <v>1428</v>
      </c>
      <c r="AD635" t="s">
        <v>2386</v>
      </c>
      <c r="AE635">
        <v>28.113800000000001</v>
      </c>
      <c r="AF635">
        <v>88142</v>
      </c>
    </row>
    <row r="636" spans="18:32" x14ac:dyDescent="0.25">
      <c r="R636">
        <v>88132</v>
      </c>
      <c r="S636" t="s">
        <v>1307</v>
      </c>
      <c r="T636" t="s">
        <v>804</v>
      </c>
      <c r="U636" t="str">
        <f t="shared" si="88"/>
        <v>SMTN132</v>
      </c>
      <c r="W636" t="str">
        <f t="shared" si="89"/>
        <v>SMTN132T1</v>
      </c>
      <c r="X636">
        <v>2.3382000000000001</v>
      </c>
      <c r="Z636" t="s">
        <v>1307</v>
      </c>
      <c r="AA636" t="s">
        <v>804</v>
      </c>
      <c r="AB636" t="s">
        <v>2387</v>
      </c>
      <c r="AD636" t="s">
        <v>2388</v>
      </c>
      <c r="AE636">
        <v>2.3382000000000001</v>
      </c>
      <c r="AF636">
        <v>88132</v>
      </c>
    </row>
    <row r="637" spans="18:32" x14ac:dyDescent="0.25">
      <c r="R637">
        <v>88132</v>
      </c>
      <c r="S637" t="s">
        <v>1307</v>
      </c>
      <c r="T637" t="s">
        <v>807</v>
      </c>
      <c r="U637" t="str">
        <f t="shared" si="88"/>
        <v>SMTN132</v>
      </c>
      <c r="W637" t="str">
        <f t="shared" si="89"/>
        <v>SMTN132T2</v>
      </c>
      <c r="X637">
        <v>2.3527</v>
      </c>
      <c r="Z637" t="s">
        <v>1307</v>
      </c>
      <c r="AA637" t="s">
        <v>807</v>
      </c>
      <c r="AB637" t="s">
        <v>2387</v>
      </c>
      <c r="AD637" t="s">
        <v>2389</v>
      </c>
      <c r="AE637">
        <v>2.3527</v>
      </c>
      <c r="AF637">
        <v>88132</v>
      </c>
    </row>
    <row r="638" spans="18:32" x14ac:dyDescent="0.25">
      <c r="R638">
        <v>88162</v>
      </c>
      <c r="S638" t="s">
        <v>1316</v>
      </c>
      <c r="T638" t="s">
        <v>808</v>
      </c>
      <c r="U638" t="str">
        <f t="shared" si="88"/>
        <v>SPKC132</v>
      </c>
      <c r="W638" t="str">
        <f t="shared" si="89"/>
        <v>SPKC132T3</v>
      </c>
      <c r="X638">
        <v>49.652200000000001</v>
      </c>
      <c r="Z638" t="s">
        <v>1316</v>
      </c>
      <c r="AA638" t="s">
        <v>808</v>
      </c>
      <c r="AB638" t="s">
        <v>1438</v>
      </c>
      <c r="AD638" t="s">
        <v>2390</v>
      </c>
      <c r="AE638">
        <v>49.652200000000001</v>
      </c>
      <c r="AF638">
        <v>88162</v>
      </c>
    </row>
    <row r="639" spans="18:32" x14ac:dyDescent="0.25">
      <c r="R639">
        <v>88162</v>
      </c>
      <c r="S639" t="s">
        <v>1316</v>
      </c>
      <c r="T639" t="s">
        <v>809</v>
      </c>
      <c r="U639" t="str">
        <f t="shared" si="88"/>
        <v>SPKC132</v>
      </c>
      <c r="W639" t="str">
        <f t="shared" si="89"/>
        <v>SPKC132T4</v>
      </c>
      <c r="X639">
        <v>49.403599999999997</v>
      </c>
      <c r="Z639" t="s">
        <v>1316</v>
      </c>
      <c r="AA639" t="s">
        <v>809</v>
      </c>
      <c r="AB639" t="s">
        <v>1438</v>
      </c>
      <c r="AD639" t="s">
        <v>2391</v>
      </c>
      <c r="AE639">
        <v>49.403599999999997</v>
      </c>
      <c r="AF639">
        <v>88162</v>
      </c>
    </row>
    <row r="640" spans="18:32" x14ac:dyDescent="0.25">
      <c r="R640">
        <v>88162</v>
      </c>
      <c r="S640" t="s">
        <v>1316</v>
      </c>
      <c r="T640" t="s">
        <v>810</v>
      </c>
      <c r="U640" t="str">
        <f t="shared" si="88"/>
        <v>SPKC132</v>
      </c>
      <c r="W640" t="str">
        <f t="shared" si="89"/>
        <v>SPKC132T5</v>
      </c>
      <c r="X640">
        <v>55.768799999999999</v>
      </c>
      <c r="Z640" t="s">
        <v>1316</v>
      </c>
      <c r="AA640" t="s">
        <v>810</v>
      </c>
      <c r="AB640" t="s">
        <v>1438</v>
      </c>
      <c r="AD640" t="s">
        <v>2392</v>
      </c>
      <c r="AE640">
        <v>55.768799999999999</v>
      </c>
      <c r="AF640">
        <v>88162</v>
      </c>
    </row>
    <row r="641" spans="18:32" x14ac:dyDescent="0.25">
      <c r="R641">
        <v>51050</v>
      </c>
      <c r="S641" t="s">
        <v>1322</v>
      </c>
      <c r="T641" t="s">
        <v>804</v>
      </c>
      <c r="U641" t="str">
        <f t="shared" si="88"/>
        <v>SRDN132</v>
      </c>
      <c r="W641" t="str">
        <f t="shared" si="89"/>
        <v>SRDN132T1</v>
      </c>
      <c r="X641">
        <v>24.2483</v>
      </c>
      <c r="Z641" t="s">
        <v>1322</v>
      </c>
      <c r="AA641" t="s">
        <v>804</v>
      </c>
      <c r="AB641" t="s">
        <v>1472</v>
      </c>
      <c r="AD641" t="s">
        <v>2393</v>
      </c>
      <c r="AE641">
        <v>24.2483</v>
      </c>
      <c r="AF641">
        <v>51050</v>
      </c>
    </row>
    <row r="642" spans="18:32" x14ac:dyDescent="0.25">
      <c r="R642">
        <v>51050</v>
      </c>
      <c r="S642" t="s">
        <v>1322</v>
      </c>
      <c r="T642" t="s">
        <v>807</v>
      </c>
      <c r="U642" t="str">
        <f t="shared" si="88"/>
        <v>SRDN132</v>
      </c>
      <c r="W642" t="str">
        <f t="shared" si="89"/>
        <v>SRDN132T2</v>
      </c>
      <c r="X642">
        <v>24.200600000000001</v>
      </c>
      <c r="Z642" t="s">
        <v>1322</v>
      </c>
      <c r="AA642" t="s">
        <v>807</v>
      </c>
      <c r="AB642" t="s">
        <v>1472</v>
      </c>
      <c r="AD642" t="s">
        <v>2394</v>
      </c>
      <c r="AE642">
        <v>24.200600000000001</v>
      </c>
      <c r="AF642">
        <v>51050</v>
      </c>
    </row>
    <row r="643" spans="18:32" x14ac:dyDescent="0.25">
      <c r="R643">
        <v>51130</v>
      </c>
      <c r="S643" t="s">
        <v>1323</v>
      </c>
      <c r="T643" t="s">
        <v>804</v>
      </c>
      <c r="U643" t="str">
        <f t="shared" si="88"/>
        <v>SRDR132</v>
      </c>
      <c r="W643" t="str">
        <f t="shared" si="89"/>
        <v>SRDR132T1</v>
      </c>
      <c r="X643">
        <v>27.853899999999999</v>
      </c>
      <c r="Z643" t="s">
        <v>1323</v>
      </c>
      <c r="AA643" t="s">
        <v>804</v>
      </c>
      <c r="AB643" t="s">
        <v>1460</v>
      </c>
      <c r="AD643" t="s">
        <v>2395</v>
      </c>
      <c r="AE643">
        <v>27.853899999999999</v>
      </c>
      <c r="AF643">
        <v>51130</v>
      </c>
    </row>
    <row r="644" spans="18:32" x14ac:dyDescent="0.25">
      <c r="R644">
        <v>51130</v>
      </c>
      <c r="S644" t="s">
        <v>1323</v>
      </c>
      <c r="T644" t="s">
        <v>807</v>
      </c>
      <c r="U644" t="str">
        <f t="shared" ref="U644:U707" si="90">LEFT(S644,7)</f>
        <v>SRDR132</v>
      </c>
      <c r="W644" t="str">
        <f t="shared" ref="W644:W707" si="91">U644&amp;T644</f>
        <v>SRDR132T2</v>
      </c>
      <c r="X644">
        <v>27.978100000000001</v>
      </c>
      <c r="Z644" t="s">
        <v>1323</v>
      </c>
      <c r="AA644" t="s">
        <v>807</v>
      </c>
      <c r="AB644" t="s">
        <v>1460</v>
      </c>
      <c r="AD644" t="s">
        <v>2396</v>
      </c>
      <c r="AE644">
        <v>27.978100000000001</v>
      </c>
      <c r="AF644">
        <v>51130</v>
      </c>
    </row>
    <row r="645" spans="18:32" x14ac:dyDescent="0.25">
      <c r="R645">
        <v>88118</v>
      </c>
      <c r="S645" t="s">
        <v>1329</v>
      </c>
      <c r="T645" t="s">
        <v>804</v>
      </c>
      <c r="U645" t="str">
        <f t="shared" si="90"/>
        <v>SRYA132</v>
      </c>
      <c r="W645" t="str">
        <f t="shared" si="91"/>
        <v>SRYA132T1</v>
      </c>
      <c r="X645">
        <v>8.7136999999999993</v>
      </c>
      <c r="Z645" t="s">
        <v>1329</v>
      </c>
      <c r="AA645" t="s">
        <v>804</v>
      </c>
      <c r="AB645" t="s">
        <v>2397</v>
      </c>
      <c r="AD645" t="s">
        <v>2398</v>
      </c>
      <c r="AE645">
        <v>8.7136999999999993</v>
      </c>
      <c r="AF645">
        <v>88118</v>
      </c>
    </row>
    <row r="646" spans="18:32" x14ac:dyDescent="0.25">
      <c r="R646">
        <v>88118</v>
      </c>
      <c r="S646" t="s">
        <v>1329</v>
      </c>
      <c r="T646" t="s">
        <v>807</v>
      </c>
      <c r="U646" t="str">
        <f t="shared" si="90"/>
        <v>SRYA132</v>
      </c>
      <c r="W646" t="str">
        <f t="shared" si="91"/>
        <v>SRYA132T2</v>
      </c>
      <c r="X646">
        <v>8.6618999999999993</v>
      </c>
      <c r="Z646" t="s">
        <v>1329</v>
      </c>
      <c r="AA646" t="s">
        <v>807</v>
      </c>
      <c r="AB646" t="s">
        <v>2397</v>
      </c>
      <c r="AD646" t="s">
        <v>2399</v>
      </c>
      <c r="AE646">
        <v>8.6618999999999993</v>
      </c>
      <c r="AF646">
        <v>88118</v>
      </c>
    </row>
    <row r="647" spans="18:32" x14ac:dyDescent="0.25">
      <c r="R647">
        <v>88118</v>
      </c>
      <c r="S647" t="s">
        <v>1329</v>
      </c>
      <c r="T647" t="s">
        <v>808</v>
      </c>
      <c r="U647" t="str">
        <f t="shared" si="90"/>
        <v>SRYA132</v>
      </c>
      <c r="W647" t="str">
        <f t="shared" si="91"/>
        <v>SRYA132T3</v>
      </c>
      <c r="X647">
        <v>36.332500000000003</v>
      </c>
      <c r="Z647" t="s">
        <v>1329</v>
      </c>
      <c r="AA647" t="s">
        <v>808</v>
      </c>
      <c r="AB647" t="s">
        <v>2397</v>
      </c>
      <c r="AD647" t="s">
        <v>2400</v>
      </c>
      <c r="AE647">
        <v>36.332500000000003</v>
      </c>
      <c r="AF647">
        <v>88118</v>
      </c>
    </row>
    <row r="648" spans="18:32" x14ac:dyDescent="0.25">
      <c r="R648">
        <v>88118</v>
      </c>
      <c r="S648" t="s">
        <v>1329</v>
      </c>
      <c r="T648" t="s">
        <v>809</v>
      </c>
      <c r="U648" t="str">
        <f t="shared" si="90"/>
        <v>SRYA132</v>
      </c>
      <c r="W648" t="str">
        <f t="shared" si="91"/>
        <v>SRYA132T4</v>
      </c>
      <c r="X648">
        <v>36.578000000000003</v>
      </c>
      <c r="Z648" t="s">
        <v>1329</v>
      </c>
      <c r="AA648" t="s">
        <v>809</v>
      </c>
      <c r="AB648" t="s">
        <v>2397</v>
      </c>
      <c r="AD648" t="s">
        <v>2401</v>
      </c>
      <c r="AE648">
        <v>36.578000000000003</v>
      </c>
      <c r="AF648">
        <v>88118</v>
      </c>
    </row>
    <row r="649" spans="18:32" x14ac:dyDescent="0.25">
      <c r="R649">
        <v>88127</v>
      </c>
      <c r="S649" t="s">
        <v>1382</v>
      </c>
      <c r="T649" t="s">
        <v>804</v>
      </c>
      <c r="U649" t="str">
        <f t="shared" si="90"/>
        <v>TMWT132</v>
      </c>
      <c r="W649" t="str">
        <f t="shared" si="91"/>
        <v>TMWT132T1</v>
      </c>
      <c r="X649">
        <v>12.7439</v>
      </c>
      <c r="Z649" t="s">
        <v>1382</v>
      </c>
      <c r="AA649" t="s">
        <v>804</v>
      </c>
      <c r="AB649" t="s">
        <v>2402</v>
      </c>
      <c r="AD649" t="s">
        <v>2403</v>
      </c>
      <c r="AE649">
        <v>12.7439</v>
      </c>
      <c r="AF649">
        <v>88127</v>
      </c>
    </row>
    <row r="650" spans="18:32" x14ac:dyDescent="0.25">
      <c r="R650">
        <v>88127</v>
      </c>
      <c r="S650" t="s">
        <v>1382</v>
      </c>
      <c r="T650" t="s">
        <v>807</v>
      </c>
      <c r="U650" t="str">
        <f t="shared" si="90"/>
        <v>TMWT132</v>
      </c>
      <c r="W650" t="str">
        <f t="shared" si="91"/>
        <v>TMWT132T2</v>
      </c>
      <c r="X650">
        <v>12.843299999999999</v>
      </c>
      <c r="Z650" t="s">
        <v>1382</v>
      </c>
      <c r="AA650" t="s">
        <v>807</v>
      </c>
      <c r="AB650" t="s">
        <v>2402</v>
      </c>
      <c r="AD650" t="s">
        <v>2404</v>
      </c>
      <c r="AE650">
        <v>12.843299999999999</v>
      </c>
      <c r="AF650">
        <v>88127</v>
      </c>
    </row>
    <row r="651" spans="18:32" x14ac:dyDescent="0.25">
      <c r="R651">
        <v>88134</v>
      </c>
      <c r="S651" t="s">
        <v>1383</v>
      </c>
      <c r="T651" t="s">
        <v>804</v>
      </c>
      <c r="U651" t="str">
        <f t="shared" si="90"/>
        <v>TNHQ132</v>
      </c>
      <c r="W651" t="str">
        <f t="shared" si="91"/>
        <v>TNHQ132T1</v>
      </c>
      <c r="X651">
        <v>22.903199999999998</v>
      </c>
      <c r="Z651" t="s">
        <v>1383</v>
      </c>
      <c r="AA651" t="s">
        <v>804</v>
      </c>
      <c r="AB651" t="s">
        <v>2405</v>
      </c>
      <c r="AD651" t="s">
        <v>2406</v>
      </c>
      <c r="AE651">
        <v>22.903199999999998</v>
      </c>
      <c r="AF651">
        <v>88134</v>
      </c>
    </row>
    <row r="652" spans="18:32" x14ac:dyDescent="0.25">
      <c r="R652">
        <v>88134</v>
      </c>
      <c r="S652" t="s">
        <v>1383</v>
      </c>
      <c r="T652" t="s">
        <v>807</v>
      </c>
      <c r="U652" t="str">
        <f t="shared" si="90"/>
        <v>TNHQ132</v>
      </c>
      <c r="W652" t="str">
        <f t="shared" si="91"/>
        <v>TNHQ132T2</v>
      </c>
      <c r="X652">
        <v>23.099900000000002</v>
      </c>
      <c r="Z652" t="s">
        <v>1383</v>
      </c>
      <c r="AA652" t="s">
        <v>807</v>
      </c>
      <c r="AB652" t="s">
        <v>2405</v>
      </c>
      <c r="AD652" t="s">
        <v>2407</v>
      </c>
      <c r="AE652">
        <v>23.099900000000002</v>
      </c>
      <c r="AF652">
        <v>88134</v>
      </c>
    </row>
    <row r="653" spans="18:32" x14ac:dyDescent="0.25">
      <c r="R653">
        <v>88137</v>
      </c>
      <c r="S653" t="s">
        <v>1395</v>
      </c>
      <c r="T653" t="s">
        <v>804</v>
      </c>
      <c r="U653" t="str">
        <f t="shared" si="90"/>
        <v>TWSA132</v>
      </c>
      <c r="W653" t="str">
        <f t="shared" si="91"/>
        <v>TWSA132T1</v>
      </c>
      <c r="X653">
        <v>25.645199999999999</v>
      </c>
      <c r="Z653" t="s">
        <v>1395</v>
      </c>
      <c r="AA653" t="s">
        <v>804</v>
      </c>
      <c r="AB653" t="s">
        <v>2408</v>
      </c>
      <c r="AD653" t="s">
        <v>2409</v>
      </c>
      <c r="AE653">
        <v>25.645199999999999</v>
      </c>
      <c r="AF653">
        <v>88137</v>
      </c>
    </row>
    <row r="654" spans="18:32" x14ac:dyDescent="0.25">
      <c r="R654">
        <v>88137</v>
      </c>
      <c r="S654" t="s">
        <v>1395</v>
      </c>
      <c r="T654" t="s">
        <v>807</v>
      </c>
      <c r="U654" t="str">
        <f t="shared" si="90"/>
        <v>TWSA132</v>
      </c>
      <c r="W654" t="str">
        <f t="shared" si="91"/>
        <v>TWSA132T2</v>
      </c>
      <c r="X654">
        <v>25.611999999999998</v>
      </c>
      <c r="Z654" t="s">
        <v>1395</v>
      </c>
      <c r="AA654" t="s">
        <v>807</v>
      </c>
      <c r="AB654" t="s">
        <v>2408</v>
      </c>
      <c r="AD654" t="s">
        <v>2410</v>
      </c>
      <c r="AE654">
        <v>25.611999999999998</v>
      </c>
      <c r="AF654">
        <v>88137</v>
      </c>
    </row>
    <row r="655" spans="18:32" x14ac:dyDescent="0.25">
      <c r="R655">
        <v>88160</v>
      </c>
      <c r="S655" t="s">
        <v>1406</v>
      </c>
      <c r="T655" t="s">
        <v>804</v>
      </c>
      <c r="U655" t="str">
        <f t="shared" si="90"/>
        <v>VCTY132</v>
      </c>
      <c r="W655" t="str">
        <f t="shared" si="91"/>
        <v>VCTY132T1</v>
      </c>
      <c r="X655">
        <v>0</v>
      </c>
      <c r="Z655" t="s">
        <v>1406</v>
      </c>
      <c r="AA655" t="s">
        <v>804</v>
      </c>
      <c r="AB655" t="s">
        <v>2411</v>
      </c>
      <c r="AD655" t="s">
        <v>2412</v>
      </c>
      <c r="AE655">
        <v>0</v>
      </c>
      <c r="AF655">
        <v>88160</v>
      </c>
    </row>
    <row r="656" spans="18:32" x14ac:dyDescent="0.25">
      <c r="R656">
        <v>88160</v>
      </c>
      <c r="S656" t="s">
        <v>1406</v>
      </c>
      <c r="T656" t="s">
        <v>807</v>
      </c>
      <c r="U656" t="str">
        <f t="shared" si="90"/>
        <v>VCTY132</v>
      </c>
      <c r="W656" t="str">
        <f t="shared" si="91"/>
        <v>VCTY132T2</v>
      </c>
      <c r="X656">
        <v>0</v>
      </c>
      <c r="Z656" t="s">
        <v>1406</v>
      </c>
      <c r="AA656" t="s">
        <v>807</v>
      </c>
      <c r="AB656" t="s">
        <v>2411</v>
      </c>
      <c r="AD656" t="s">
        <v>2413</v>
      </c>
      <c r="AE656">
        <v>0</v>
      </c>
      <c r="AF656">
        <v>88160</v>
      </c>
    </row>
    <row r="657" spans="18:32" x14ac:dyDescent="0.25">
      <c r="R657">
        <v>88160</v>
      </c>
      <c r="S657" t="s">
        <v>1406</v>
      </c>
      <c r="T657" t="s">
        <v>808</v>
      </c>
      <c r="U657" t="str">
        <f t="shared" si="90"/>
        <v>VCTY132</v>
      </c>
      <c r="W657" t="str">
        <f t="shared" si="91"/>
        <v>VCTY132T3</v>
      </c>
      <c r="X657">
        <v>26.267499999999998</v>
      </c>
      <c r="Z657" t="s">
        <v>1406</v>
      </c>
      <c r="AA657" t="s">
        <v>808</v>
      </c>
      <c r="AB657" t="s">
        <v>2411</v>
      </c>
      <c r="AD657" t="s">
        <v>2414</v>
      </c>
      <c r="AE657">
        <v>26.267499999999998</v>
      </c>
      <c r="AF657">
        <v>88160</v>
      </c>
    </row>
    <row r="658" spans="18:32" x14ac:dyDescent="0.25">
      <c r="R658">
        <v>88160</v>
      </c>
      <c r="S658" t="s">
        <v>1406</v>
      </c>
      <c r="T658" t="s">
        <v>809</v>
      </c>
      <c r="U658" t="str">
        <f t="shared" si="90"/>
        <v>VCTY132</v>
      </c>
      <c r="W658" t="str">
        <f t="shared" si="91"/>
        <v>VCTY132T4</v>
      </c>
      <c r="X658">
        <v>26.574000000000002</v>
      </c>
      <c r="Z658" t="s">
        <v>1406</v>
      </c>
      <c r="AA658" t="s">
        <v>809</v>
      </c>
      <c r="AB658" t="s">
        <v>2411</v>
      </c>
      <c r="AD658" t="s">
        <v>2415</v>
      </c>
      <c r="AE658">
        <v>26.574000000000002</v>
      </c>
      <c r="AF658">
        <v>88160</v>
      </c>
    </row>
    <row r="659" spans="18:32" x14ac:dyDescent="0.25">
      <c r="R659">
        <v>88159</v>
      </c>
      <c r="S659" t="s">
        <v>1410</v>
      </c>
      <c r="T659" t="s">
        <v>804</v>
      </c>
      <c r="U659" t="str">
        <f t="shared" si="90"/>
        <v>WMJU132</v>
      </c>
      <c r="W659" t="str">
        <f t="shared" si="91"/>
        <v>WMJU132T1</v>
      </c>
      <c r="X659">
        <v>48.024299999999997</v>
      </c>
      <c r="Z659" t="s">
        <v>1410</v>
      </c>
      <c r="AA659" t="s">
        <v>804</v>
      </c>
      <c r="AB659" t="s">
        <v>2416</v>
      </c>
      <c r="AD659" t="s">
        <v>2417</v>
      </c>
      <c r="AE659">
        <v>48.024299999999997</v>
      </c>
      <c r="AF659">
        <v>88159</v>
      </c>
    </row>
    <row r="660" spans="18:32" x14ac:dyDescent="0.25">
      <c r="R660">
        <v>88159</v>
      </c>
      <c r="S660" t="s">
        <v>1410</v>
      </c>
      <c r="T660" t="s">
        <v>807</v>
      </c>
      <c r="U660" t="str">
        <f t="shared" si="90"/>
        <v>WMJU132</v>
      </c>
      <c r="W660" t="str">
        <f t="shared" si="91"/>
        <v>WMJU132T2</v>
      </c>
      <c r="X660">
        <v>48.085500000000003</v>
      </c>
      <c r="Z660" t="s">
        <v>1410</v>
      </c>
      <c r="AA660" t="s">
        <v>807</v>
      </c>
      <c r="AB660" t="s">
        <v>2416</v>
      </c>
      <c r="AD660" t="s">
        <v>2418</v>
      </c>
      <c r="AE660">
        <v>48.085500000000003</v>
      </c>
      <c r="AF660">
        <v>88159</v>
      </c>
    </row>
    <row r="661" spans="18:32" x14ac:dyDescent="0.25">
      <c r="R661">
        <v>96152</v>
      </c>
      <c r="S661" t="s">
        <v>829</v>
      </c>
      <c r="T661" t="s">
        <v>804</v>
      </c>
      <c r="U661" t="str">
        <f t="shared" si="90"/>
        <v>AMID132</v>
      </c>
      <c r="W661" t="str">
        <f t="shared" si="91"/>
        <v>AMID132T1</v>
      </c>
      <c r="X661">
        <v>6.7225000000000001</v>
      </c>
      <c r="Z661" t="s">
        <v>829</v>
      </c>
      <c r="AA661" t="s">
        <v>804</v>
      </c>
      <c r="AB661" t="s">
        <v>1596</v>
      </c>
      <c r="AD661" t="s">
        <v>2419</v>
      </c>
      <c r="AE661">
        <v>6.7225000000000001</v>
      </c>
      <c r="AF661">
        <v>96152</v>
      </c>
    </row>
    <row r="662" spans="18:32" x14ac:dyDescent="0.25">
      <c r="R662">
        <v>96152</v>
      </c>
      <c r="S662" t="s">
        <v>829</v>
      </c>
      <c r="T662" t="s">
        <v>807</v>
      </c>
      <c r="U662" t="str">
        <f t="shared" si="90"/>
        <v>AMID132</v>
      </c>
      <c r="W662" t="str">
        <f t="shared" si="91"/>
        <v>AMID132T2</v>
      </c>
      <c r="X662">
        <v>7.4691000000000001</v>
      </c>
      <c r="Z662" t="s">
        <v>829</v>
      </c>
      <c r="AA662" t="s">
        <v>807</v>
      </c>
      <c r="AB662" t="s">
        <v>1596</v>
      </c>
      <c r="AD662" t="s">
        <v>2420</v>
      </c>
      <c r="AE662">
        <v>7.4691000000000001</v>
      </c>
      <c r="AF662">
        <v>96152</v>
      </c>
    </row>
    <row r="663" spans="18:32" x14ac:dyDescent="0.25">
      <c r="R663">
        <v>96152</v>
      </c>
      <c r="S663" t="s">
        <v>829</v>
      </c>
      <c r="T663" t="s">
        <v>808</v>
      </c>
      <c r="U663" t="str">
        <f t="shared" si="90"/>
        <v>AMID132</v>
      </c>
      <c r="W663" t="str">
        <f t="shared" si="91"/>
        <v>AMID132T3</v>
      </c>
      <c r="X663">
        <v>31.955500000000001</v>
      </c>
      <c r="Z663" t="s">
        <v>829</v>
      </c>
      <c r="AA663" t="s">
        <v>808</v>
      </c>
      <c r="AB663" t="s">
        <v>1596</v>
      </c>
      <c r="AD663" t="s">
        <v>2421</v>
      </c>
      <c r="AE663">
        <v>31.955500000000001</v>
      </c>
      <c r="AF663">
        <v>96152</v>
      </c>
    </row>
    <row r="664" spans="18:32" x14ac:dyDescent="0.25">
      <c r="R664">
        <v>96152</v>
      </c>
      <c r="S664" t="s">
        <v>829</v>
      </c>
      <c r="T664" t="s">
        <v>809</v>
      </c>
      <c r="U664" t="str">
        <f t="shared" si="90"/>
        <v>AMID132</v>
      </c>
      <c r="W664" t="str">
        <f t="shared" si="91"/>
        <v>AMID132T4</v>
      </c>
      <c r="X664">
        <v>31.603400000000001</v>
      </c>
      <c r="Z664" t="s">
        <v>829</v>
      </c>
      <c r="AA664" t="s">
        <v>809</v>
      </c>
      <c r="AB664" t="s">
        <v>1596</v>
      </c>
      <c r="AD664" t="s">
        <v>2422</v>
      </c>
      <c r="AE664">
        <v>31.603400000000001</v>
      </c>
      <c r="AF664">
        <v>96152</v>
      </c>
    </row>
    <row r="665" spans="18:32" x14ac:dyDescent="0.25">
      <c r="R665">
        <v>96138</v>
      </c>
      <c r="S665" t="s">
        <v>850</v>
      </c>
      <c r="T665" t="s">
        <v>804</v>
      </c>
      <c r="U665" t="str">
        <f t="shared" si="90"/>
        <v>BAHA132</v>
      </c>
      <c r="W665" t="str">
        <f t="shared" si="91"/>
        <v>BAHA132T1</v>
      </c>
      <c r="X665">
        <v>12.4001</v>
      </c>
      <c r="Z665" t="s">
        <v>850</v>
      </c>
      <c r="AA665" t="s">
        <v>804</v>
      </c>
      <c r="AB665" t="s">
        <v>1510</v>
      </c>
      <c r="AD665" t="s">
        <v>2423</v>
      </c>
      <c r="AE665">
        <v>12.4001</v>
      </c>
      <c r="AF665">
        <v>96138</v>
      </c>
    </row>
    <row r="666" spans="18:32" x14ac:dyDescent="0.25">
      <c r="R666">
        <v>96138</v>
      </c>
      <c r="S666" t="s">
        <v>850</v>
      </c>
      <c r="T666" t="s">
        <v>807</v>
      </c>
      <c r="U666" t="str">
        <f t="shared" si="90"/>
        <v>BAHA132</v>
      </c>
      <c r="W666" t="str">
        <f t="shared" si="91"/>
        <v>BAHA132T2</v>
      </c>
      <c r="X666">
        <v>12.3835</v>
      </c>
      <c r="Z666" t="s">
        <v>850</v>
      </c>
      <c r="AA666" t="s">
        <v>807</v>
      </c>
      <c r="AB666" t="s">
        <v>1510</v>
      </c>
      <c r="AD666" t="s">
        <v>2424</v>
      </c>
      <c r="AE666">
        <v>12.3835</v>
      </c>
      <c r="AF666">
        <v>96138</v>
      </c>
    </row>
    <row r="667" spans="18:32" x14ac:dyDescent="0.25">
      <c r="R667">
        <v>96138</v>
      </c>
      <c r="S667" t="s">
        <v>850</v>
      </c>
      <c r="T667" t="s">
        <v>808</v>
      </c>
      <c r="U667" t="str">
        <f t="shared" si="90"/>
        <v>BAHA132</v>
      </c>
      <c r="W667" t="str">
        <f t="shared" si="91"/>
        <v>BAHA132T3</v>
      </c>
      <c r="X667">
        <v>5.4177</v>
      </c>
      <c r="Z667" t="s">
        <v>850</v>
      </c>
      <c r="AA667" t="s">
        <v>808</v>
      </c>
      <c r="AB667" t="s">
        <v>1510</v>
      </c>
      <c r="AD667" t="s">
        <v>2425</v>
      </c>
      <c r="AE667">
        <v>5.4177</v>
      </c>
      <c r="AF667">
        <v>96138</v>
      </c>
    </row>
    <row r="668" spans="18:32" x14ac:dyDescent="0.25">
      <c r="R668">
        <v>96138</v>
      </c>
      <c r="S668" t="s">
        <v>850</v>
      </c>
      <c r="T668" t="s">
        <v>809</v>
      </c>
      <c r="U668" t="str">
        <f t="shared" si="90"/>
        <v>BAHA132</v>
      </c>
      <c r="W668" t="str">
        <f t="shared" si="91"/>
        <v>BAHA132T4</v>
      </c>
      <c r="X668">
        <v>5.4673999999999996</v>
      </c>
      <c r="Z668" t="s">
        <v>850</v>
      </c>
      <c r="AA668" t="s">
        <v>809</v>
      </c>
      <c r="AB668" t="s">
        <v>1510</v>
      </c>
      <c r="AD668" t="s">
        <v>2426</v>
      </c>
      <c r="AE668">
        <v>5.4673999999999996</v>
      </c>
      <c r="AF668">
        <v>96138</v>
      </c>
    </row>
    <row r="669" spans="18:32" x14ac:dyDescent="0.25">
      <c r="R669">
        <v>96146</v>
      </c>
      <c r="S669" t="s">
        <v>856</v>
      </c>
      <c r="T669" t="s">
        <v>804</v>
      </c>
      <c r="U669" t="str">
        <f t="shared" si="90"/>
        <v>BBNL132</v>
      </c>
      <c r="W669" t="str">
        <f t="shared" si="91"/>
        <v>BBNL132T1</v>
      </c>
      <c r="X669">
        <v>1.1059000000000001</v>
      </c>
      <c r="Z669" t="s">
        <v>856</v>
      </c>
      <c r="AA669" t="s">
        <v>804</v>
      </c>
      <c r="AB669" t="s">
        <v>2427</v>
      </c>
      <c r="AD669" t="s">
        <v>2428</v>
      </c>
      <c r="AE669">
        <v>1.1059000000000001</v>
      </c>
      <c r="AF669">
        <v>96146</v>
      </c>
    </row>
    <row r="670" spans="18:32" x14ac:dyDescent="0.25">
      <c r="R670">
        <v>96146</v>
      </c>
      <c r="S670" t="s">
        <v>856</v>
      </c>
      <c r="T670" t="s">
        <v>807</v>
      </c>
      <c r="U670" t="str">
        <f t="shared" si="90"/>
        <v>BBNL132</v>
      </c>
      <c r="W670" t="str">
        <f t="shared" si="91"/>
        <v>BBNL132T2</v>
      </c>
      <c r="X670">
        <v>2.1</v>
      </c>
      <c r="Z670" t="s">
        <v>856</v>
      </c>
      <c r="AA670" t="s">
        <v>807</v>
      </c>
      <c r="AB670" t="s">
        <v>2427</v>
      </c>
      <c r="AD670" t="s">
        <v>2429</v>
      </c>
      <c r="AE670">
        <v>2.1</v>
      </c>
      <c r="AF670">
        <v>96146</v>
      </c>
    </row>
    <row r="671" spans="18:32" x14ac:dyDescent="0.25">
      <c r="R671">
        <v>96192</v>
      </c>
      <c r="S671" t="s">
        <v>880</v>
      </c>
      <c r="T671" t="s">
        <v>804</v>
      </c>
      <c r="U671" t="str">
        <f t="shared" si="90"/>
        <v>BKPY132</v>
      </c>
      <c r="W671" t="str">
        <f t="shared" si="91"/>
        <v>BKPY132T1</v>
      </c>
      <c r="X671">
        <v>9.4189000000000007</v>
      </c>
      <c r="Z671" t="s">
        <v>880</v>
      </c>
      <c r="AA671" t="s">
        <v>804</v>
      </c>
      <c r="AB671" t="s">
        <v>2430</v>
      </c>
      <c r="AD671" t="s">
        <v>2431</v>
      </c>
      <c r="AE671">
        <v>9.4189000000000007</v>
      </c>
      <c r="AF671">
        <v>96192</v>
      </c>
    </row>
    <row r="672" spans="18:32" x14ac:dyDescent="0.25">
      <c r="R672">
        <v>96192</v>
      </c>
      <c r="S672" t="s">
        <v>880</v>
      </c>
      <c r="T672" t="s">
        <v>807</v>
      </c>
      <c r="U672" t="str">
        <f t="shared" si="90"/>
        <v>BKPY132</v>
      </c>
      <c r="W672" t="str">
        <f t="shared" si="91"/>
        <v>BKPY132T2</v>
      </c>
      <c r="X672">
        <v>12.909599999999999</v>
      </c>
      <c r="Z672" t="s">
        <v>880</v>
      </c>
      <c r="AA672" t="s">
        <v>807</v>
      </c>
      <c r="AB672" t="s">
        <v>2430</v>
      </c>
      <c r="AD672" t="s">
        <v>2432</v>
      </c>
      <c r="AE672">
        <v>12.909599999999999</v>
      </c>
      <c r="AF672">
        <v>96192</v>
      </c>
    </row>
    <row r="673" spans="18:32" x14ac:dyDescent="0.25">
      <c r="R673">
        <v>96176</v>
      </c>
      <c r="S673" t="s">
        <v>934</v>
      </c>
      <c r="T673" t="s">
        <v>809</v>
      </c>
      <c r="U673" t="str">
        <f t="shared" si="90"/>
        <v>CMBG132</v>
      </c>
      <c r="W673" t="str">
        <f t="shared" si="91"/>
        <v>CMBG132T4</v>
      </c>
      <c r="X673">
        <v>18.732199999999999</v>
      </c>
      <c r="Z673" t="s">
        <v>934</v>
      </c>
      <c r="AA673" t="s">
        <v>809</v>
      </c>
      <c r="AB673" t="s">
        <v>1636</v>
      </c>
      <c r="AD673" t="s">
        <v>2433</v>
      </c>
      <c r="AE673">
        <v>18.732199999999999</v>
      </c>
      <c r="AF673">
        <v>96176</v>
      </c>
    </row>
    <row r="674" spans="18:32" x14ac:dyDescent="0.25">
      <c r="R674">
        <v>96140</v>
      </c>
      <c r="S674" t="s">
        <v>973</v>
      </c>
      <c r="T674" t="s">
        <v>804</v>
      </c>
      <c r="U674" t="str">
        <f t="shared" si="90"/>
        <v>GMAS132</v>
      </c>
      <c r="W674" t="str">
        <f t="shared" si="91"/>
        <v>GMAS132T1</v>
      </c>
      <c r="X674">
        <v>13.185</v>
      </c>
      <c r="Z674" t="s">
        <v>973</v>
      </c>
      <c r="AA674" t="s">
        <v>804</v>
      </c>
      <c r="AB674" t="s">
        <v>1512</v>
      </c>
      <c r="AD674" t="s">
        <v>2434</v>
      </c>
      <c r="AE674">
        <v>13.185</v>
      </c>
      <c r="AF674">
        <v>96140</v>
      </c>
    </row>
    <row r="675" spans="18:32" x14ac:dyDescent="0.25">
      <c r="R675">
        <v>96140</v>
      </c>
      <c r="S675" t="s">
        <v>973</v>
      </c>
      <c r="T675" t="s">
        <v>807</v>
      </c>
      <c r="U675" t="str">
        <f t="shared" si="90"/>
        <v>GMAS132</v>
      </c>
      <c r="W675" t="str">
        <f t="shared" si="91"/>
        <v>GMAS132T2</v>
      </c>
      <c r="X675">
        <v>8.3408999999999995</v>
      </c>
      <c r="Z675" t="s">
        <v>973</v>
      </c>
      <c r="AA675" t="s">
        <v>807</v>
      </c>
      <c r="AB675" t="s">
        <v>1512</v>
      </c>
      <c r="AD675" t="s">
        <v>2435</v>
      </c>
      <c r="AE675">
        <v>8.3408999999999995</v>
      </c>
      <c r="AF675">
        <v>96140</v>
      </c>
    </row>
    <row r="676" spans="18:32" x14ac:dyDescent="0.25">
      <c r="R676">
        <v>96112</v>
      </c>
      <c r="S676" t="s">
        <v>1054</v>
      </c>
      <c r="T676" t="s">
        <v>804</v>
      </c>
      <c r="U676" t="str">
        <f t="shared" si="90"/>
        <v>KKWG132</v>
      </c>
      <c r="W676" t="str">
        <f t="shared" si="91"/>
        <v>KKWG132T1</v>
      </c>
      <c r="X676">
        <v>4.9931999999999999</v>
      </c>
      <c r="Z676" t="s">
        <v>1054</v>
      </c>
      <c r="AA676" t="s">
        <v>804</v>
      </c>
      <c r="AB676" t="s">
        <v>2436</v>
      </c>
      <c r="AD676" t="s">
        <v>2437</v>
      </c>
      <c r="AE676">
        <v>4.9931999999999999</v>
      </c>
      <c r="AF676">
        <v>96112</v>
      </c>
    </row>
    <row r="677" spans="18:32" x14ac:dyDescent="0.25">
      <c r="R677">
        <v>96112</v>
      </c>
      <c r="S677" t="s">
        <v>1054</v>
      </c>
      <c r="T677" t="s">
        <v>807</v>
      </c>
      <c r="U677" t="str">
        <f t="shared" si="90"/>
        <v>KKWG132</v>
      </c>
      <c r="W677" t="str">
        <f t="shared" si="91"/>
        <v>KKWG132T2</v>
      </c>
      <c r="X677">
        <v>5.0065999999999997</v>
      </c>
      <c r="Z677" t="s">
        <v>1054</v>
      </c>
      <c r="AA677" t="s">
        <v>807</v>
      </c>
      <c r="AB677" t="s">
        <v>2436</v>
      </c>
      <c r="AD677" t="s">
        <v>2438</v>
      </c>
      <c r="AE677">
        <v>5.0065999999999997</v>
      </c>
      <c r="AF677">
        <v>96112</v>
      </c>
    </row>
    <row r="678" spans="18:32" x14ac:dyDescent="0.25">
      <c r="R678">
        <v>96132</v>
      </c>
      <c r="S678" t="s">
        <v>1057</v>
      </c>
      <c r="T678" t="s">
        <v>804</v>
      </c>
      <c r="U678" t="str">
        <f t="shared" si="90"/>
        <v>KLAT132</v>
      </c>
      <c r="W678" t="str">
        <f t="shared" si="91"/>
        <v>KLAT132T1</v>
      </c>
      <c r="X678">
        <v>13.741099999999999</v>
      </c>
      <c r="Z678" t="s">
        <v>1057</v>
      </c>
      <c r="AA678" t="s">
        <v>804</v>
      </c>
      <c r="AB678" t="s">
        <v>1583</v>
      </c>
      <c r="AD678" t="s">
        <v>2439</v>
      </c>
      <c r="AE678">
        <v>13.741099999999999</v>
      </c>
      <c r="AF678">
        <v>96132</v>
      </c>
    </row>
    <row r="679" spans="18:32" x14ac:dyDescent="0.25">
      <c r="R679">
        <v>96132</v>
      </c>
      <c r="S679" t="s">
        <v>1057</v>
      </c>
      <c r="T679" t="s">
        <v>807</v>
      </c>
      <c r="U679" t="str">
        <f t="shared" si="90"/>
        <v>KLAT132</v>
      </c>
      <c r="W679" t="str">
        <f t="shared" si="91"/>
        <v>KLAT132T2</v>
      </c>
      <c r="X679">
        <v>9.5855999999999995</v>
      </c>
      <c r="Z679" t="s">
        <v>1057</v>
      </c>
      <c r="AA679" t="s">
        <v>807</v>
      </c>
      <c r="AB679" t="s">
        <v>1583</v>
      </c>
      <c r="AD679" t="s">
        <v>2440</v>
      </c>
      <c r="AE679">
        <v>9.5855999999999995</v>
      </c>
      <c r="AF679">
        <v>96132</v>
      </c>
    </row>
    <row r="680" spans="18:32" x14ac:dyDescent="0.25">
      <c r="R680">
        <v>96137</v>
      </c>
      <c r="S680" t="s">
        <v>1077</v>
      </c>
      <c r="T680" t="s">
        <v>804</v>
      </c>
      <c r="U680" t="str">
        <f t="shared" si="90"/>
        <v>KPLH132</v>
      </c>
      <c r="W680" t="str">
        <f t="shared" si="91"/>
        <v>KPLH132T1</v>
      </c>
      <c r="X680">
        <v>15.5283</v>
      </c>
      <c r="Z680" t="s">
        <v>1077</v>
      </c>
      <c r="AA680" t="s">
        <v>804</v>
      </c>
      <c r="AB680" t="s">
        <v>1514</v>
      </c>
      <c r="AD680" t="s">
        <v>2441</v>
      </c>
      <c r="AE680">
        <v>15.5283</v>
      </c>
      <c r="AF680">
        <v>96137</v>
      </c>
    </row>
    <row r="681" spans="18:32" x14ac:dyDescent="0.25">
      <c r="R681">
        <v>96137</v>
      </c>
      <c r="S681" t="s">
        <v>1077</v>
      </c>
      <c r="T681" t="s">
        <v>807</v>
      </c>
      <c r="U681" t="str">
        <f t="shared" si="90"/>
        <v>KPLH132</v>
      </c>
      <c r="W681" t="str">
        <f t="shared" si="91"/>
        <v>KPLH132T2</v>
      </c>
      <c r="X681">
        <v>12.6579</v>
      </c>
      <c r="Z681" t="s">
        <v>1077</v>
      </c>
      <c r="AA681" t="s">
        <v>807</v>
      </c>
      <c r="AB681" t="s">
        <v>1514</v>
      </c>
      <c r="AD681" t="s">
        <v>2442</v>
      </c>
      <c r="AE681">
        <v>12.6579</v>
      </c>
      <c r="AF681">
        <v>96137</v>
      </c>
    </row>
    <row r="682" spans="18:32" x14ac:dyDescent="0.25">
      <c r="R682">
        <v>96134</v>
      </c>
      <c r="S682" t="s">
        <v>1124</v>
      </c>
      <c r="T682" t="s">
        <v>804</v>
      </c>
      <c r="U682" t="str">
        <f t="shared" si="90"/>
        <v>LKUT132</v>
      </c>
      <c r="W682" t="str">
        <f t="shared" si="91"/>
        <v>LKUT132T1</v>
      </c>
      <c r="X682">
        <v>12.0335</v>
      </c>
      <c r="Z682" t="s">
        <v>1124</v>
      </c>
      <c r="AA682" t="s">
        <v>804</v>
      </c>
      <c r="AB682" t="s">
        <v>1474</v>
      </c>
      <c r="AD682" t="s">
        <v>2443</v>
      </c>
      <c r="AE682">
        <v>12.0335</v>
      </c>
      <c r="AF682">
        <v>96134</v>
      </c>
    </row>
    <row r="683" spans="18:32" x14ac:dyDescent="0.25">
      <c r="R683">
        <v>96134</v>
      </c>
      <c r="S683" t="s">
        <v>1124</v>
      </c>
      <c r="T683" t="s">
        <v>807</v>
      </c>
      <c r="U683" t="str">
        <f t="shared" si="90"/>
        <v>LKUT132</v>
      </c>
      <c r="W683" t="str">
        <f t="shared" si="91"/>
        <v>LKUT132T2</v>
      </c>
      <c r="X683">
        <v>10</v>
      </c>
      <c r="Z683" t="s">
        <v>1124</v>
      </c>
      <c r="AA683" t="s">
        <v>807</v>
      </c>
      <c r="AB683" t="s">
        <v>1474</v>
      </c>
      <c r="AD683" t="s">
        <v>2444</v>
      </c>
      <c r="AE683">
        <v>10</v>
      </c>
      <c r="AF683">
        <v>96134</v>
      </c>
    </row>
    <row r="684" spans="18:32" x14ac:dyDescent="0.25">
      <c r="R684">
        <v>96134</v>
      </c>
      <c r="S684" t="s">
        <v>1124</v>
      </c>
      <c r="T684" t="s">
        <v>808</v>
      </c>
      <c r="U684" t="str">
        <f t="shared" si="90"/>
        <v>LKUT132</v>
      </c>
      <c r="W684" t="str">
        <f t="shared" si="91"/>
        <v>LKUT132T3</v>
      </c>
      <c r="X684">
        <v>14.010300000000001</v>
      </c>
      <c r="Z684" t="s">
        <v>1124</v>
      </c>
      <c r="AA684" t="s">
        <v>808</v>
      </c>
      <c r="AB684" t="s">
        <v>1474</v>
      </c>
      <c r="AD684" t="s">
        <v>2445</v>
      </c>
      <c r="AE684">
        <v>14.010300000000001</v>
      </c>
      <c r="AF684">
        <v>96134</v>
      </c>
    </row>
    <row r="685" spans="18:32" x14ac:dyDescent="0.25">
      <c r="R685">
        <v>96134</v>
      </c>
      <c r="S685" t="s">
        <v>1124</v>
      </c>
      <c r="T685" t="s">
        <v>809</v>
      </c>
      <c r="U685" t="str">
        <f t="shared" si="90"/>
        <v>LKUT132</v>
      </c>
      <c r="W685" t="str">
        <f t="shared" si="91"/>
        <v>LKUT132T4</v>
      </c>
      <c r="X685">
        <v>14.062099999999999</v>
      </c>
      <c r="Z685" t="s">
        <v>1124</v>
      </c>
      <c r="AA685" t="s">
        <v>809</v>
      </c>
      <c r="AB685" t="s">
        <v>1474</v>
      </c>
      <c r="AD685" t="s">
        <v>2446</v>
      </c>
      <c r="AE685">
        <v>14.062099999999999</v>
      </c>
      <c r="AF685">
        <v>96134</v>
      </c>
    </row>
    <row r="686" spans="18:32" x14ac:dyDescent="0.25">
      <c r="R686">
        <v>96156</v>
      </c>
      <c r="S686" t="s">
        <v>1162</v>
      </c>
      <c r="T686" t="s">
        <v>808</v>
      </c>
      <c r="U686" t="str">
        <f t="shared" si="90"/>
        <v>MTIN132</v>
      </c>
      <c r="W686" t="str">
        <f t="shared" si="91"/>
        <v>MTIN132T3</v>
      </c>
      <c r="X686">
        <v>0</v>
      </c>
      <c r="Z686" t="s">
        <v>1162</v>
      </c>
      <c r="AA686" t="s">
        <v>808</v>
      </c>
      <c r="AB686" t="s">
        <v>1597</v>
      </c>
      <c r="AD686" t="s">
        <v>2447</v>
      </c>
      <c r="AE686">
        <v>0</v>
      </c>
      <c r="AF686">
        <v>96156</v>
      </c>
    </row>
    <row r="687" spans="18:32" x14ac:dyDescent="0.25">
      <c r="R687">
        <v>96156</v>
      </c>
      <c r="S687" t="s">
        <v>1162</v>
      </c>
      <c r="T687" t="s">
        <v>809</v>
      </c>
      <c r="U687" t="str">
        <f t="shared" si="90"/>
        <v>MTIN132</v>
      </c>
      <c r="W687" t="str">
        <f t="shared" si="91"/>
        <v>MTIN132T4</v>
      </c>
      <c r="X687">
        <v>19.993400000000001</v>
      </c>
      <c r="Z687" t="s">
        <v>1162</v>
      </c>
      <c r="AA687" t="s">
        <v>809</v>
      </c>
      <c r="AB687" t="s">
        <v>1597</v>
      </c>
      <c r="AD687" t="s">
        <v>2448</v>
      </c>
      <c r="AE687">
        <v>19.993400000000001</v>
      </c>
      <c r="AF687">
        <v>96156</v>
      </c>
    </row>
    <row r="688" spans="18:32" x14ac:dyDescent="0.25">
      <c r="R688">
        <v>96125</v>
      </c>
      <c r="S688" t="s">
        <v>1175</v>
      </c>
      <c r="T688" t="s">
        <v>804</v>
      </c>
      <c r="U688" t="str">
        <f t="shared" si="90"/>
        <v>NLAI132</v>
      </c>
      <c r="W688" t="str">
        <f t="shared" si="91"/>
        <v>NLAI132T1</v>
      </c>
      <c r="X688">
        <v>9.9376999999999995</v>
      </c>
      <c r="Z688" t="s">
        <v>1175</v>
      </c>
      <c r="AA688" t="s">
        <v>804</v>
      </c>
      <c r="AB688" t="s">
        <v>1516</v>
      </c>
      <c r="AD688" t="s">
        <v>2449</v>
      </c>
      <c r="AE688">
        <v>9.9376999999999995</v>
      </c>
      <c r="AF688">
        <v>96125</v>
      </c>
    </row>
    <row r="689" spans="18:32" x14ac:dyDescent="0.25">
      <c r="R689">
        <v>96125</v>
      </c>
      <c r="S689" t="s">
        <v>1175</v>
      </c>
      <c r="T689" t="s">
        <v>807</v>
      </c>
      <c r="U689" t="str">
        <f t="shared" si="90"/>
        <v>NLAI132</v>
      </c>
      <c r="W689" t="str">
        <f t="shared" si="91"/>
        <v>NLAI132T2</v>
      </c>
      <c r="X689">
        <v>5.0034999999999998</v>
      </c>
      <c r="Z689" t="s">
        <v>1175</v>
      </c>
      <c r="AA689" t="s">
        <v>807</v>
      </c>
      <c r="AB689" t="s">
        <v>1516</v>
      </c>
      <c r="AD689" t="s">
        <v>2450</v>
      </c>
      <c r="AE689">
        <v>5.0034999999999998</v>
      </c>
      <c r="AF689">
        <v>96125</v>
      </c>
    </row>
    <row r="690" spans="18:32" x14ac:dyDescent="0.25">
      <c r="R690">
        <v>96136</v>
      </c>
      <c r="S690" t="s">
        <v>1190</v>
      </c>
      <c r="T690" t="s">
        <v>804</v>
      </c>
      <c r="U690" t="str">
        <f t="shared" si="90"/>
        <v>PBSR132</v>
      </c>
      <c r="W690" t="str">
        <f t="shared" si="91"/>
        <v>PBSR132T1</v>
      </c>
      <c r="X690">
        <v>13.222300000000001</v>
      </c>
      <c r="Z690" t="s">
        <v>1190</v>
      </c>
      <c r="AA690" t="s">
        <v>804</v>
      </c>
      <c r="AB690" t="s">
        <v>1513</v>
      </c>
      <c r="AD690" t="s">
        <v>2451</v>
      </c>
      <c r="AE690">
        <v>13.222300000000001</v>
      </c>
      <c r="AF690">
        <v>96136</v>
      </c>
    </row>
    <row r="691" spans="18:32" x14ac:dyDescent="0.25">
      <c r="R691">
        <v>96136</v>
      </c>
      <c r="S691" t="s">
        <v>1190</v>
      </c>
      <c r="T691" t="s">
        <v>807</v>
      </c>
      <c r="U691" t="str">
        <f t="shared" si="90"/>
        <v>PBSR132</v>
      </c>
      <c r="W691" t="str">
        <f t="shared" si="91"/>
        <v>PBSR132T2</v>
      </c>
      <c r="X691">
        <v>12.3825</v>
      </c>
      <c r="Z691" t="s">
        <v>1190</v>
      </c>
      <c r="AA691" t="s">
        <v>807</v>
      </c>
      <c r="AB691" t="s">
        <v>1513</v>
      </c>
      <c r="AD691" t="s">
        <v>2452</v>
      </c>
      <c r="AE691">
        <v>12.3825</v>
      </c>
      <c r="AF691">
        <v>96136</v>
      </c>
    </row>
    <row r="692" spans="18:32" x14ac:dyDescent="0.25">
      <c r="R692">
        <v>96188</v>
      </c>
      <c r="S692" t="s">
        <v>1213</v>
      </c>
      <c r="T692" t="s">
        <v>804</v>
      </c>
      <c r="U692" t="str">
        <f t="shared" si="90"/>
        <v>PJAM132</v>
      </c>
      <c r="W692" t="str">
        <f t="shared" si="91"/>
        <v>PJAM132T1</v>
      </c>
      <c r="X692">
        <v>7.5716000000000001</v>
      </c>
      <c r="Z692" t="s">
        <v>1213</v>
      </c>
      <c r="AA692" t="s">
        <v>804</v>
      </c>
      <c r="AB692" t="s">
        <v>1598</v>
      </c>
      <c r="AD692" t="s">
        <v>2453</v>
      </c>
      <c r="AE692">
        <v>7.5716000000000001</v>
      </c>
      <c r="AF692">
        <v>96188</v>
      </c>
    </row>
    <row r="693" spans="18:32" x14ac:dyDescent="0.25">
      <c r="R693">
        <v>96188</v>
      </c>
      <c r="S693" t="s">
        <v>1213</v>
      </c>
      <c r="T693" t="s">
        <v>807</v>
      </c>
      <c r="U693" t="str">
        <f t="shared" si="90"/>
        <v>PJAM132</v>
      </c>
      <c r="W693" t="str">
        <f t="shared" si="91"/>
        <v>PJAM132T2</v>
      </c>
      <c r="X693">
        <v>7.1501000000000001</v>
      </c>
      <c r="Z693" t="s">
        <v>1213</v>
      </c>
      <c r="AA693" t="s">
        <v>807</v>
      </c>
      <c r="AB693" t="s">
        <v>1598</v>
      </c>
      <c r="AD693" t="s">
        <v>2454</v>
      </c>
      <c r="AE693">
        <v>7.1501000000000001</v>
      </c>
      <c r="AF693">
        <v>96188</v>
      </c>
    </row>
    <row r="694" spans="18:32" x14ac:dyDescent="0.25">
      <c r="R694">
        <v>96188</v>
      </c>
      <c r="S694" t="s">
        <v>1213</v>
      </c>
      <c r="T694" t="s">
        <v>808</v>
      </c>
      <c r="U694" t="str">
        <f t="shared" si="90"/>
        <v>PJAM132</v>
      </c>
      <c r="W694" t="str">
        <f t="shared" si="91"/>
        <v>PJAM132T3</v>
      </c>
      <c r="X694">
        <v>2.7751000000000001</v>
      </c>
      <c r="Z694" t="s">
        <v>1213</v>
      </c>
      <c r="AA694" t="s">
        <v>808</v>
      </c>
      <c r="AB694" t="s">
        <v>1598</v>
      </c>
      <c r="AD694" t="s">
        <v>2455</v>
      </c>
      <c r="AE694">
        <v>2.7751000000000001</v>
      </c>
      <c r="AF694">
        <v>96188</v>
      </c>
    </row>
    <row r="695" spans="18:32" x14ac:dyDescent="0.25">
      <c r="R695">
        <v>96188</v>
      </c>
      <c r="S695" t="s">
        <v>1213</v>
      </c>
      <c r="T695" t="s">
        <v>809</v>
      </c>
      <c r="U695" t="str">
        <f t="shared" si="90"/>
        <v>PJAM132</v>
      </c>
      <c r="W695" t="str">
        <f t="shared" si="91"/>
        <v>PJAM132T4</v>
      </c>
      <c r="X695">
        <v>2.9615</v>
      </c>
      <c r="Z695" t="s">
        <v>1213</v>
      </c>
      <c r="AA695" t="s">
        <v>809</v>
      </c>
      <c r="AB695" t="s">
        <v>1598</v>
      </c>
      <c r="AD695" t="s">
        <v>2456</v>
      </c>
      <c r="AE695">
        <v>2.9615</v>
      </c>
      <c r="AF695">
        <v>96188</v>
      </c>
    </row>
    <row r="696" spans="18:32" x14ac:dyDescent="0.25">
      <c r="R696">
        <v>96158</v>
      </c>
      <c r="S696" t="s">
        <v>1242</v>
      </c>
      <c r="T696" t="s">
        <v>804</v>
      </c>
      <c r="U696" t="str">
        <f t="shared" si="90"/>
        <v>PROI132</v>
      </c>
      <c r="W696" t="str">
        <f t="shared" si="91"/>
        <v>PROI132T1</v>
      </c>
      <c r="X696">
        <v>12.248900000000001</v>
      </c>
      <c r="Z696" t="s">
        <v>1242</v>
      </c>
      <c r="AA696" t="s">
        <v>804</v>
      </c>
      <c r="AB696" t="s">
        <v>2457</v>
      </c>
      <c r="AD696" t="s">
        <v>2458</v>
      </c>
      <c r="AE696">
        <v>12.248900000000001</v>
      </c>
      <c r="AF696">
        <v>96158</v>
      </c>
    </row>
    <row r="697" spans="18:32" x14ac:dyDescent="0.25">
      <c r="R697">
        <v>96158</v>
      </c>
      <c r="S697" t="s">
        <v>1242</v>
      </c>
      <c r="T697" t="s">
        <v>807</v>
      </c>
      <c r="U697" t="str">
        <f t="shared" si="90"/>
        <v>PROI132</v>
      </c>
      <c r="W697" t="str">
        <f t="shared" si="91"/>
        <v>PROI132T2</v>
      </c>
      <c r="X697">
        <v>15.4734</v>
      </c>
      <c r="Z697" t="s">
        <v>1242</v>
      </c>
      <c r="AA697" t="s">
        <v>807</v>
      </c>
      <c r="AB697" t="s">
        <v>2457</v>
      </c>
      <c r="AD697" t="s">
        <v>2459</v>
      </c>
      <c r="AE697">
        <v>15.4734</v>
      </c>
      <c r="AF697">
        <v>96158</v>
      </c>
    </row>
    <row r="698" spans="18:32" x14ac:dyDescent="0.25">
      <c r="R698">
        <v>96158</v>
      </c>
      <c r="S698" t="s">
        <v>1242</v>
      </c>
      <c r="T698" t="s">
        <v>808</v>
      </c>
      <c r="U698" t="str">
        <f t="shared" si="90"/>
        <v>PROI132</v>
      </c>
      <c r="W698" t="str">
        <f t="shared" si="91"/>
        <v>PROI132T3</v>
      </c>
      <c r="X698">
        <v>27.262599999999999</v>
      </c>
      <c r="Z698" t="s">
        <v>1242</v>
      </c>
      <c r="AA698" t="s">
        <v>808</v>
      </c>
      <c r="AB698" t="s">
        <v>2457</v>
      </c>
      <c r="AD698" t="s">
        <v>2460</v>
      </c>
      <c r="AE698">
        <v>27.262599999999999</v>
      </c>
      <c r="AF698">
        <v>96158</v>
      </c>
    </row>
    <row r="699" spans="18:32" x14ac:dyDescent="0.25">
      <c r="R699">
        <v>96158</v>
      </c>
      <c r="S699" t="s">
        <v>1242</v>
      </c>
      <c r="T699" t="s">
        <v>809</v>
      </c>
      <c r="U699" t="str">
        <f t="shared" si="90"/>
        <v>PROI132</v>
      </c>
      <c r="W699" t="str">
        <f t="shared" si="91"/>
        <v>PROI132T4</v>
      </c>
      <c r="X699">
        <v>27.339200000000002</v>
      </c>
      <c r="Z699" t="s">
        <v>1242</v>
      </c>
      <c r="AA699" t="s">
        <v>809</v>
      </c>
      <c r="AB699" t="s">
        <v>2457</v>
      </c>
      <c r="AD699" t="s">
        <v>2461</v>
      </c>
      <c r="AE699">
        <v>27.339200000000002</v>
      </c>
      <c r="AF699">
        <v>96158</v>
      </c>
    </row>
    <row r="700" spans="18:32" x14ac:dyDescent="0.25">
      <c r="R700">
        <v>96117</v>
      </c>
      <c r="S700" t="s">
        <v>1256</v>
      </c>
      <c r="T700" t="s">
        <v>804</v>
      </c>
      <c r="U700" t="str">
        <f t="shared" si="90"/>
        <v>RASA132</v>
      </c>
      <c r="W700" t="str">
        <f t="shared" si="91"/>
        <v>RASA132T1</v>
      </c>
      <c r="X700">
        <v>9.6850000000000005</v>
      </c>
      <c r="Z700" t="s">
        <v>1256</v>
      </c>
      <c r="AA700" t="s">
        <v>804</v>
      </c>
      <c r="AB700" t="s">
        <v>2462</v>
      </c>
      <c r="AD700" t="s">
        <v>2463</v>
      </c>
      <c r="AE700">
        <v>9.6850000000000005</v>
      </c>
      <c r="AF700">
        <v>96117</v>
      </c>
    </row>
    <row r="701" spans="18:32" x14ac:dyDescent="0.25">
      <c r="R701">
        <v>96117</v>
      </c>
      <c r="S701" t="s">
        <v>1256</v>
      </c>
      <c r="T701" t="s">
        <v>807</v>
      </c>
      <c r="U701" t="str">
        <f t="shared" si="90"/>
        <v>RASA132</v>
      </c>
      <c r="W701" t="str">
        <f t="shared" si="91"/>
        <v>RASA132T2</v>
      </c>
      <c r="X701">
        <v>9.6725999999999992</v>
      </c>
      <c r="Z701" t="s">
        <v>1256</v>
      </c>
      <c r="AA701" t="s">
        <v>807</v>
      </c>
      <c r="AB701" t="s">
        <v>2462</v>
      </c>
      <c r="AD701" t="s">
        <v>2464</v>
      </c>
      <c r="AE701">
        <v>9.6725999999999992</v>
      </c>
      <c r="AF701">
        <v>96117</v>
      </c>
    </row>
    <row r="702" spans="18:32" x14ac:dyDescent="0.25">
      <c r="R702">
        <v>96142</v>
      </c>
      <c r="S702" t="s">
        <v>1263</v>
      </c>
      <c r="T702" t="s">
        <v>804</v>
      </c>
      <c r="U702" t="str">
        <f t="shared" si="90"/>
        <v>RTAU132</v>
      </c>
      <c r="W702" t="str">
        <f t="shared" si="91"/>
        <v>RTAU132T1</v>
      </c>
      <c r="X702">
        <v>8.7706999999999997</v>
      </c>
      <c r="Z702" t="s">
        <v>1263</v>
      </c>
      <c r="AA702" t="s">
        <v>804</v>
      </c>
      <c r="AB702" t="s">
        <v>2465</v>
      </c>
      <c r="AD702" t="s">
        <v>2466</v>
      </c>
      <c r="AE702">
        <v>8.7706999999999997</v>
      </c>
      <c r="AF702">
        <v>96142</v>
      </c>
    </row>
    <row r="703" spans="18:32" x14ac:dyDescent="0.25">
      <c r="R703">
        <v>96142</v>
      </c>
      <c r="S703" t="s">
        <v>1263</v>
      </c>
      <c r="T703" t="s">
        <v>807</v>
      </c>
      <c r="U703" t="str">
        <f t="shared" si="90"/>
        <v>RTAU132</v>
      </c>
      <c r="W703" t="str">
        <f t="shared" si="91"/>
        <v>RTAU132T2</v>
      </c>
      <c r="X703">
        <v>8.7727000000000004</v>
      </c>
      <c r="Z703" t="s">
        <v>1263</v>
      </c>
      <c r="AA703" t="s">
        <v>807</v>
      </c>
      <c r="AB703" t="s">
        <v>2465</v>
      </c>
      <c r="AD703" t="s">
        <v>2467</v>
      </c>
      <c r="AE703">
        <v>8.7727000000000004</v>
      </c>
      <c r="AF703">
        <v>96142</v>
      </c>
    </row>
    <row r="704" spans="18:32" x14ac:dyDescent="0.25">
      <c r="R704">
        <v>96149</v>
      </c>
      <c r="S704" t="s">
        <v>1268</v>
      </c>
      <c r="T704" t="s">
        <v>804</v>
      </c>
      <c r="U704" t="str">
        <f t="shared" si="90"/>
        <v>SBAN132</v>
      </c>
      <c r="W704" t="str">
        <f t="shared" si="91"/>
        <v>SBAN132T1</v>
      </c>
      <c r="X704">
        <v>13.019299999999999</v>
      </c>
      <c r="Z704" t="s">
        <v>1268</v>
      </c>
      <c r="AA704" t="s">
        <v>804</v>
      </c>
      <c r="AB704" t="s">
        <v>2468</v>
      </c>
      <c r="AD704" t="s">
        <v>2469</v>
      </c>
      <c r="AE704">
        <v>13.019299999999999</v>
      </c>
      <c r="AF704">
        <v>96149</v>
      </c>
    </row>
    <row r="705" spans="18:32" x14ac:dyDescent="0.25">
      <c r="R705">
        <v>96149</v>
      </c>
      <c r="S705" t="s">
        <v>1268</v>
      </c>
      <c r="T705" t="s">
        <v>807</v>
      </c>
      <c r="U705" t="str">
        <f t="shared" si="90"/>
        <v>SBAN132</v>
      </c>
      <c r="W705" t="str">
        <f t="shared" si="91"/>
        <v>SBAN132T2</v>
      </c>
      <c r="X705">
        <v>17.2773</v>
      </c>
      <c r="Z705" t="s">
        <v>1268</v>
      </c>
      <c r="AA705" t="s">
        <v>807</v>
      </c>
      <c r="AB705" t="s">
        <v>2468</v>
      </c>
      <c r="AD705" t="s">
        <v>2470</v>
      </c>
      <c r="AE705">
        <v>17.2773</v>
      </c>
      <c r="AF705">
        <v>96149</v>
      </c>
    </row>
    <row r="706" spans="18:32" x14ac:dyDescent="0.25">
      <c r="R706">
        <v>96150</v>
      </c>
      <c r="S706" t="s">
        <v>1278</v>
      </c>
      <c r="T706" t="s">
        <v>804</v>
      </c>
      <c r="U706" t="str">
        <f t="shared" si="90"/>
        <v>SDYN132</v>
      </c>
      <c r="W706" t="str">
        <f t="shared" si="91"/>
        <v>SDYN132T1</v>
      </c>
      <c r="X706">
        <v>44.7532</v>
      </c>
      <c r="Z706" t="s">
        <v>1278</v>
      </c>
      <c r="AA706" t="s">
        <v>804</v>
      </c>
      <c r="AB706" t="s">
        <v>1473</v>
      </c>
      <c r="AD706" t="s">
        <v>2471</v>
      </c>
      <c r="AE706">
        <v>44.7532</v>
      </c>
      <c r="AF706">
        <v>96150</v>
      </c>
    </row>
    <row r="707" spans="18:32" x14ac:dyDescent="0.25">
      <c r="R707">
        <v>96150</v>
      </c>
      <c r="S707" t="s">
        <v>1278</v>
      </c>
      <c r="T707" t="s">
        <v>807</v>
      </c>
      <c r="U707" t="str">
        <f t="shared" si="90"/>
        <v>SDYN132</v>
      </c>
      <c r="W707" t="str">
        <f t="shared" si="91"/>
        <v>SDYN132T2</v>
      </c>
      <c r="X707">
        <v>45.031799999999997</v>
      </c>
      <c r="Z707" t="s">
        <v>1278</v>
      </c>
      <c r="AA707" t="s">
        <v>807</v>
      </c>
      <c r="AB707" t="s">
        <v>1473</v>
      </c>
      <c r="AD707" t="s">
        <v>2472</v>
      </c>
      <c r="AE707">
        <v>45.031799999999997</v>
      </c>
      <c r="AF707">
        <v>96150</v>
      </c>
    </row>
    <row r="708" spans="18:32" x14ac:dyDescent="0.25">
      <c r="R708">
        <v>51079</v>
      </c>
      <c r="S708" t="s">
        <v>1303</v>
      </c>
      <c r="T708" t="s">
        <v>804</v>
      </c>
      <c r="U708" t="str">
        <f t="shared" ref="U708:U771" si="92">LEFT(S708,7)</f>
        <v>SLTI132</v>
      </c>
      <c r="W708" t="str">
        <f t="shared" ref="W708:W771" si="93">U708&amp;T708</f>
        <v>SLTI132T1</v>
      </c>
      <c r="X708">
        <v>12.6455</v>
      </c>
      <c r="Z708" t="s">
        <v>1303</v>
      </c>
      <c r="AA708" t="s">
        <v>804</v>
      </c>
      <c r="AB708" t="s">
        <v>2473</v>
      </c>
      <c r="AD708" t="s">
        <v>2474</v>
      </c>
      <c r="AE708">
        <v>12.6455</v>
      </c>
      <c r="AF708">
        <v>51079</v>
      </c>
    </row>
    <row r="709" spans="18:32" x14ac:dyDescent="0.25">
      <c r="R709">
        <v>51079</v>
      </c>
      <c r="S709" t="s">
        <v>1303</v>
      </c>
      <c r="T709" t="s">
        <v>807</v>
      </c>
      <c r="U709" t="str">
        <f t="shared" si="92"/>
        <v>SLTI132</v>
      </c>
      <c r="W709" t="str">
        <f t="shared" si="93"/>
        <v>SLTI132T2</v>
      </c>
      <c r="X709">
        <v>15.605</v>
      </c>
      <c r="Z709" t="s">
        <v>1303</v>
      </c>
      <c r="AA709" t="s">
        <v>807</v>
      </c>
      <c r="AB709" t="s">
        <v>2473</v>
      </c>
      <c r="AD709" t="s">
        <v>2475</v>
      </c>
      <c r="AE709">
        <v>15.605</v>
      </c>
      <c r="AF709">
        <v>51079</v>
      </c>
    </row>
    <row r="710" spans="18:32" x14ac:dyDescent="0.25">
      <c r="R710">
        <v>51079</v>
      </c>
      <c r="S710" t="s">
        <v>1303</v>
      </c>
      <c r="T710" t="s">
        <v>808</v>
      </c>
      <c r="U710" t="str">
        <f t="shared" si="92"/>
        <v>SLTI132</v>
      </c>
      <c r="W710" t="str">
        <f t="shared" si="93"/>
        <v>SLTI132T3</v>
      </c>
      <c r="X710">
        <v>4.0281000000000002</v>
      </c>
      <c r="Z710" t="s">
        <v>1303</v>
      </c>
      <c r="AA710" t="s">
        <v>808</v>
      </c>
      <c r="AB710" t="s">
        <v>2473</v>
      </c>
      <c r="AD710" t="s">
        <v>2476</v>
      </c>
      <c r="AE710">
        <v>4.0281000000000002</v>
      </c>
      <c r="AF710">
        <v>51079</v>
      </c>
    </row>
    <row r="711" spans="18:32" x14ac:dyDescent="0.25">
      <c r="R711">
        <v>51079</v>
      </c>
      <c r="S711" t="s">
        <v>1303</v>
      </c>
      <c r="T711" t="s">
        <v>809</v>
      </c>
      <c r="U711" t="str">
        <f t="shared" si="92"/>
        <v>SLTI132</v>
      </c>
      <c r="W711" t="str">
        <f t="shared" si="93"/>
        <v>SLTI132T4</v>
      </c>
      <c r="X711">
        <v>4.0281000000000002</v>
      </c>
      <c r="Z711" t="s">
        <v>1303</v>
      </c>
      <c r="AA711" t="s">
        <v>809</v>
      </c>
      <c r="AB711" t="s">
        <v>2473</v>
      </c>
      <c r="AD711" t="s">
        <v>2477</v>
      </c>
      <c r="AE711">
        <v>4.0281000000000002</v>
      </c>
      <c r="AF711">
        <v>51079</v>
      </c>
    </row>
    <row r="712" spans="18:32" x14ac:dyDescent="0.25">
      <c r="R712">
        <v>96133</v>
      </c>
      <c r="S712" t="s">
        <v>1305</v>
      </c>
      <c r="T712" t="s">
        <v>804</v>
      </c>
      <c r="U712" t="str">
        <f t="shared" si="92"/>
        <v>SMRK132</v>
      </c>
      <c r="W712" t="str">
        <f t="shared" si="93"/>
        <v>SMRK132T1</v>
      </c>
      <c r="X712">
        <v>11.5406</v>
      </c>
      <c r="Z712" t="s">
        <v>1305</v>
      </c>
      <c r="AA712" t="s">
        <v>804</v>
      </c>
      <c r="AB712" t="s">
        <v>1616</v>
      </c>
      <c r="AD712" t="s">
        <v>2478</v>
      </c>
      <c r="AE712">
        <v>11.5406</v>
      </c>
      <c r="AF712">
        <v>96133</v>
      </c>
    </row>
    <row r="713" spans="18:32" x14ac:dyDescent="0.25">
      <c r="R713">
        <v>96133</v>
      </c>
      <c r="S713" t="s">
        <v>1305</v>
      </c>
      <c r="T713" t="s">
        <v>807</v>
      </c>
      <c r="U713" t="str">
        <f t="shared" si="92"/>
        <v>SMRK132</v>
      </c>
      <c r="W713" t="str">
        <f t="shared" si="93"/>
        <v>SMRK132T2</v>
      </c>
      <c r="X713">
        <v>10.801299999999999</v>
      </c>
      <c r="Z713" t="s">
        <v>1305</v>
      </c>
      <c r="AA713" t="s">
        <v>807</v>
      </c>
      <c r="AB713" t="s">
        <v>1616</v>
      </c>
      <c r="AD713" t="s">
        <v>2479</v>
      </c>
      <c r="AE713">
        <v>10.801299999999999</v>
      </c>
      <c r="AF713">
        <v>96133</v>
      </c>
    </row>
    <row r="714" spans="18:32" x14ac:dyDescent="0.25">
      <c r="R714">
        <v>96143</v>
      </c>
      <c r="S714" t="s">
        <v>1310</v>
      </c>
      <c r="T714" t="s">
        <v>804</v>
      </c>
      <c r="U714" t="str">
        <f t="shared" si="92"/>
        <v>SNWG132</v>
      </c>
      <c r="W714" t="str">
        <f t="shared" si="93"/>
        <v>SNWG132T1</v>
      </c>
      <c r="X714">
        <v>2.7027000000000001</v>
      </c>
      <c r="Z714" t="s">
        <v>1310</v>
      </c>
      <c r="AA714" t="s">
        <v>804</v>
      </c>
      <c r="AB714" t="s">
        <v>2480</v>
      </c>
      <c r="AD714" t="s">
        <v>2481</v>
      </c>
      <c r="AE714">
        <v>2.7027000000000001</v>
      </c>
      <c r="AF714">
        <v>96143</v>
      </c>
    </row>
    <row r="715" spans="18:32" x14ac:dyDescent="0.25">
      <c r="R715">
        <v>96143</v>
      </c>
      <c r="S715" t="s">
        <v>1310</v>
      </c>
      <c r="T715" t="s">
        <v>807</v>
      </c>
      <c r="U715" t="str">
        <f t="shared" si="92"/>
        <v>SNWG132</v>
      </c>
      <c r="W715" t="str">
        <f t="shared" si="93"/>
        <v>SNWG132T2</v>
      </c>
      <c r="X715">
        <v>2.6922999999999999</v>
      </c>
      <c r="Z715" t="s">
        <v>1310</v>
      </c>
      <c r="AA715" t="s">
        <v>807</v>
      </c>
      <c r="AB715" t="s">
        <v>2480</v>
      </c>
      <c r="AD715" t="s">
        <v>2482</v>
      </c>
      <c r="AE715">
        <v>2.6922999999999999</v>
      </c>
      <c r="AF715">
        <v>96143</v>
      </c>
    </row>
    <row r="716" spans="18:32" x14ac:dyDescent="0.25">
      <c r="R716">
        <v>96139</v>
      </c>
      <c r="S716" t="s">
        <v>1318</v>
      </c>
      <c r="T716" t="s">
        <v>804</v>
      </c>
      <c r="U716" t="str">
        <f t="shared" si="92"/>
        <v>SPTG132</v>
      </c>
      <c r="W716" t="str">
        <f t="shared" si="93"/>
        <v>SPTG132T1</v>
      </c>
      <c r="X716">
        <v>6.0275999999999996</v>
      </c>
      <c r="Z716" t="s">
        <v>1318</v>
      </c>
      <c r="AA716" t="s">
        <v>804</v>
      </c>
      <c r="AB716" t="s">
        <v>2483</v>
      </c>
      <c r="AD716" t="s">
        <v>2484</v>
      </c>
      <c r="AE716">
        <v>6.0275999999999996</v>
      </c>
      <c r="AF716">
        <v>96139</v>
      </c>
    </row>
    <row r="717" spans="18:32" x14ac:dyDescent="0.25">
      <c r="R717">
        <v>96139</v>
      </c>
      <c r="S717" t="s">
        <v>1318</v>
      </c>
      <c r="T717" t="s">
        <v>807</v>
      </c>
      <c r="U717" t="str">
        <f t="shared" si="92"/>
        <v>SPTG132</v>
      </c>
      <c r="W717" t="str">
        <f t="shared" si="93"/>
        <v>SPTG132T2</v>
      </c>
      <c r="X717">
        <v>6.0991</v>
      </c>
      <c r="Z717" t="s">
        <v>1318</v>
      </c>
      <c r="AA717" t="s">
        <v>807</v>
      </c>
      <c r="AB717" t="s">
        <v>2483</v>
      </c>
      <c r="AD717" t="s">
        <v>2485</v>
      </c>
      <c r="AE717">
        <v>6.0991</v>
      </c>
      <c r="AF717">
        <v>96139</v>
      </c>
    </row>
    <row r="718" spans="18:32" x14ac:dyDescent="0.25">
      <c r="R718">
        <v>96139</v>
      </c>
      <c r="S718" t="s">
        <v>1318</v>
      </c>
      <c r="T718" t="s">
        <v>808</v>
      </c>
      <c r="U718" t="str">
        <f t="shared" si="92"/>
        <v>SPTG132</v>
      </c>
      <c r="W718" t="str">
        <f t="shared" si="93"/>
        <v>SPTG132T3</v>
      </c>
      <c r="X718">
        <v>0</v>
      </c>
      <c r="Z718" t="s">
        <v>1318</v>
      </c>
      <c r="AA718" t="s">
        <v>808</v>
      </c>
      <c r="AB718" t="s">
        <v>2483</v>
      </c>
      <c r="AD718" t="s">
        <v>2486</v>
      </c>
      <c r="AE718">
        <v>0</v>
      </c>
      <c r="AF718">
        <v>96139</v>
      </c>
    </row>
    <row r="719" spans="18:32" x14ac:dyDescent="0.25">
      <c r="R719">
        <v>96139</v>
      </c>
      <c r="S719" t="s">
        <v>1318</v>
      </c>
      <c r="T719" t="s">
        <v>809</v>
      </c>
      <c r="U719" t="str">
        <f t="shared" si="92"/>
        <v>SPTG132</v>
      </c>
      <c r="W719" t="str">
        <f t="shared" si="93"/>
        <v>SPTG132T4</v>
      </c>
      <c r="X719">
        <v>0</v>
      </c>
      <c r="Z719" t="s">
        <v>1318</v>
      </c>
      <c r="AA719" t="s">
        <v>809</v>
      </c>
      <c r="AB719" t="s">
        <v>2483</v>
      </c>
      <c r="AD719" t="s">
        <v>2487</v>
      </c>
      <c r="AE719">
        <v>0</v>
      </c>
      <c r="AF719">
        <v>96139</v>
      </c>
    </row>
    <row r="720" spans="18:32" x14ac:dyDescent="0.25">
      <c r="R720">
        <v>96190</v>
      </c>
      <c r="S720" t="s">
        <v>1340</v>
      </c>
      <c r="T720" t="s">
        <v>804</v>
      </c>
      <c r="U720" t="str">
        <f t="shared" si="92"/>
        <v>STRA132</v>
      </c>
      <c r="W720" t="str">
        <f t="shared" si="93"/>
        <v>STRA132T1</v>
      </c>
      <c r="X720">
        <v>13.0794</v>
      </c>
      <c r="Z720" t="s">
        <v>1340</v>
      </c>
      <c r="AA720" t="s">
        <v>804</v>
      </c>
      <c r="AB720" t="s">
        <v>1487</v>
      </c>
      <c r="AD720" t="s">
        <v>2488</v>
      </c>
      <c r="AE720">
        <v>13.0794</v>
      </c>
      <c r="AF720">
        <v>96190</v>
      </c>
    </row>
    <row r="721" spans="18:32" x14ac:dyDescent="0.25">
      <c r="R721">
        <v>96190</v>
      </c>
      <c r="S721" t="s">
        <v>1340</v>
      </c>
      <c r="T721" t="s">
        <v>807</v>
      </c>
      <c r="U721" t="str">
        <f t="shared" si="92"/>
        <v>STRA132</v>
      </c>
      <c r="W721" t="str">
        <f t="shared" si="93"/>
        <v>STRA132T2</v>
      </c>
      <c r="X721">
        <v>6.9969000000000001</v>
      </c>
      <c r="Z721" t="s">
        <v>1340</v>
      </c>
      <c r="AA721" t="s">
        <v>807</v>
      </c>
      <c r="AB721" t="s">
        <v>1487</v>
      </c>
      <c r="AD721" t="s">
        <v>2489</v>
      </c>
      <c r="AE721">
        <v>6.9969000000000001</v>
      </c>
      <c r="AF721">
        <v>96190</v>
      </c>
    </row>
    <row r="722" spans="18:32" x14ac:dyDescent="0.25">
      <c r="R722">
        <v>96131</v>
      </c>
      <c r="S722" t="s">
        <v>1361</v>
      </c>
      <c r="T722" t="s">
        <v>804</v>
      </c>
      <c r="U722" t="str">
        <f t="shared" si="92"/>
        <v>TJGS132</v>
      </c>
      <c r="W722" t="str">
        <f t="shared" si="93"/>
        <v>TJGS132T1</v>
      </c>
      <c r="X722">
        <v>11.1792</v>
      </c>
      <c r="Z722" t="s">
        <v>1361</v>
      </c>
      <c r="AA722" t="s">
        <v>804</v>
      </c>
      <c r="AB722" t="s">
        <v>2490</v>
      </c>
      <c r="AD722" t="s">
        <v>2491</v>
      </c>
      <c r="AE722">
        <v>11.1792</v>
      </c>
      <c r="AF722">
        <v>96131</v>
      </c>
    </row>
    <row r="723" spans="18:32" x14ac:dyDescent="0.25">
      <c r="R723">
        <v>96131</v>
      </c>
      <c r="S723" t="s">
        <v>1361</v>
      </c>
      <c r="T723" t="s">
        <v>807</v>
      </c>
      <c r="U723" t="str">
        <f t="shared" si="92"/>
        <v>TJGS132</v>
      </c>
      <c r="W723" t="str">
        <f t="shared" si="93"/>
        <v>TJGS132T2</v>
      </c>
      <c r="X723">
        <v>11.411199999999999</v>
      </c>
      <c r="Z723" t="s">
        <v>1361</v>
      </c>
      <c r="AA723" t="s">
        <v>807</v>
      </c>
      <c r="AB723" t="s">
        <v>2490</v>
      </c>
      <c r="AD723" t="s">
        <v>2492</v>
      </c>
      <c r="AE723">
        <v>11.411199999999999</v>
      </c>
      <c r="AF723">
        <v>96131</v>
      </c>
    </row>
    <row r="724" spans="18:32" x14ac:dyDescent="0.25">
      <c r="R724">
        <v>96915</v>
      </c>
      <c r="S724" t="s">
        <v>1362</v>
      </c>
      <c r="T724" t="s">
        <v>869</v>
      </c>
      <c r="U724" t="str">
        <f t="shared" si="92"/>
        <v>TJGSGT2</v>
      </c>
      <c r="W724" t="str">
        <f t="shared" si="93"/>
        <v>TJGSGT2X1</v>
      </c>
      <c r="X724">
        <v>0</v>
      </c>
      <c r="Z724" t="s">
        <v>1362</v>
      </c>
      <c r="AA724" t="s">
        <v>869</v>
      </c>
      <c r="AB724" t="s">
        <v>2493</v>
      </c>
      <c r="AD724" t="s">
        <v>2494</v>
      </c>
      <c r="AE724">
        <v>0</v>
      </c>
      <c r="AF724">
        <v>96915</v>
      </c>
    </row>
    <row r="725" spans="18:32" x14ac:dyDescent="0.25">
      <c r="R725">
        <v>96135</v>
      </c>
      <c r="S725" t="s">
        <v>1363</v>
      </c>
      <c r="T725" t="s">
        <v>804</v>
      </c>
      <c r="U725" t="str">
        <f t="shared" si="92"/>
        <v>TJID132</v>
      </c>
      <c r="W725" t="str">
        <f t="shared" si="93"/>
        <v>TJID132T1</v>
      </c>
      <c r="X725">
        <v>11.1275</v>
      </c>
      <c r="Z725" t="s">
        <v>1363</v>
      </c>
      <c r="AA725" t="s">
        <v>804</v>
      </c>
      <c r="AB725" t="s">
        <v>1484</v>
      </c>
      <c r="AD725" t="s">
        <v>2495</v>
      </c>
      <c r="AE725">
        <v>11.1275</v>
      </c>
      <c r="AF725">
        <v>96135</v>
      </c>
    </row>
    <row r="726" spans="18:32" x14ac:dyDescent="0.25">
      <c r="R726">
        <v>96135</v>
      </c>
      <c r="S726" t="s">
        <v>1363</v>
      </c>
      <c r="T726" t="s">
        <v>807</v>
      </c>
      <c r="U726" t="str">
        <f t="shared" si="92"/>
        <v>TJID132</v>
      </c>
      <c r="W726" t="str">
        <f t="shared" si="93"/>
        <v>TJID132T2</v>
      </c>
      <c r="X726">
        <v>7.8615000000000004</v>
      </c>
      <c r="Z726" t="s">
        <v>1363</v>
      </c>
      <c r="AA726" t="s">
        <v>807</v>
      </c>
      <c r="AB726" t="s">
        <v>1484</v>
      </c>
      <c r="AD726" t="s">
        <v>2496</v>
      </c>
      <c r="AE726">
        <v>7.8615000000000004</v>
      </c>
      <c r="AF726">
        <v>96135</v>
      </c>
    </row>
    <row r="727" spans="18:32" x14ac:dyDescent="0.25">
      <c r="R727">
        <v>96135</v>
      </c>
      <c r="S727" t="s">
        <v>1363</v>
      </c>
      <c r="T727" t="s">
        <v>808</v>
      </c>
      <c r="U727" t="str">
        <f t="shared" si="92"/>
        <v>TJID132</v>
      </c>
      <c r="W727" t="str">
        <f t="shared" si="93"/>
        <v>TJID132T3</v>
      </c>
      <c r="X727">
        <v>19.967500000000001</v>
      </c>
      <c r="Z727" t="s">
        <v>1363</v>
      </c>
      <c r="AA727" t="s">
        <v>808</v>
      </c>
      <c r="AB727" t="s">
        <v>1484</v>
      </c>
      <c r="AD727" t="s">
        <v>2497</v>
      </c>
      <c r="AE727">
        <v>19.967500000000001</v>
      </c>
      <c r="AF727">
        <v>96135</v>
      </c>
    </row>
    <row r="728" spans="18:32" x14ac:dyDescent="0.25">
      <c r="R728">
        <v>96135</v>
      </c>
      <c r="S728" t="s">
        <v>1363</v>
      </c>
      <c r="T728" t="s">
        <v>809</v>
      </c>
      <c r="U728" t="str">
        <f t="shared" si="92"/>
        <v>TJID132</v>
      </c>
      <c r="W728" t="str">
        <f t="shared" si="93"/>
        <v>TJID132T4</v>
      </c>
      <c r="X728">
        <v>19.9893</v>
      </c>
      <c r="Z728" t="s">
        <v>1363</v>
      </c>
      <c r="AA728" t="s">
        <v>809</v>
      </c>
      <c r="AB728" t="s">
        <v>1484</v>
      </c>
      <c r="AD728" t="s">
        <v>2498</v>
      </c>
      <c r="AE728">
        <v>19.9893</v>
      </c>
      <c r="AF728">
        <v>96135</v>
      </c>
    </row>
    <row r="729" spans="18:32" x14ac:dyDescent="0.25">
      <c r="R729">
        <v>96144</v>
      </c>
      <c r="S729" t="s">
        <v>1370</v>
      </c>
      <c r="T729" t="s">
        <v>804</v>
      </c>
      <c r="U729" t="str">
        <f t="shared" si="92"/>
        <v>TKMG132</v>
      </c>
      <c r="W729" t="str">
        <f t="shared" si="93"/>
        <v>TKMG132T1</v>
      </c>
      <c r="X729">
        <v>6.8529</v>
      </c>
      <c r="Z729" t="s">
        <v>1370</v>
      </c>
      <c r="AA729" t="s">
        <v>804</v>
      </c>
      <c r="AB729" t="s">
        <v>1481</v>
      </c>
      <c r="AD729" t="s">
        <v>2499</v>
      </c>
      <c r="AE729">
        <v>6.8529</v>
      </c>
      <c r="AF729">
        <v>96144</v>
      </c>
    </row>
    <row r="730" spans="18:32" x14ac:dyDescent="0.25">
      <c r="R730">
        <v>96144</v>
      </c>
      <c r="S730" t="s">
        <v>1370</v>
      </c>
      <c r="T730" t="s">
        <v>807</v>
      </c>
      <c r="U730" t="str">
        <f t="shared" si="92"/>
        <v>TKMG132</v>
      </c>
      <c r="W730" t="str">
        <f t="shared" si="93"/>
        <v>TKMG132T2</v>
      </c>
      <c r="X730">
        <v>6.827</v>
      </c>
      <c r="Z730" t="s">
        <v>1370</v>
      </c>
      <c r="AA730" t="s">
        <v>807</v>
      </c>
      <c r="AB730" t="s">
        <v>1481</v>
      </c>
      <c r="AD730" t="s">
        <v>2500</v>
      </c>
      <c r="AE730">
        <v>6.827</v>
      </c>
      <c r="AF730">
        <v>96144</v>
      </c>
    </row>
    <row r="731" spans="18:32" x14ac:dyDescent="0.25">
      <c r="R731">
        <v>96129</v>
      </c>
      <c r="S731" t="s">
        <v>1392</v>
      </c>
      <c r="T731" t="s">
        <v>804</v>
      </c>
      <c r="U731" t="str">
        <f t="shared" si="92"/>
        <v>TTJF132</v>
      </c>
      <c r="W731" t="str">
        <f t="shared" si="93"/>
        <v>TTJF132T1</v>
      </c>
      <c r="X731">
        <v>14.867699999999999</v>
      </c>
      <c r="Z731" t="s">
        <v>1392</v>
      </c>
      <c r="AA731" t="s">
        <v>804</v>
      </c>
      <c r="AB731" t="s">
        <v>1485</v>
      </c>
      <c r="AD731" t="s">
        <v>2501</v>
      </c>
      <c r="AE731">
        <v>14.867699999999999</v>
      </c>
      <c r="AF731">
        <v>96129</v>
      </c>
    </row>
    <row r="732" spans="18:32" x14ac:dyDescent="0.25">
      <c r="R732">
        <v>96129</v>
      </c>
      <c r="S732" t="s">
        <v>1392</v>
      </c>
      <c r="T732" t="s">
        <v>807</v>
      </c>
      <c r="U732" t="str">
        <f t="shared" si="92"/>
        <v>TTJF132</v>
      </c>
      <c r="W732" t="str">
        <f t="shared" si="93"/>
        <v>TTJF132T2</v>
      </c>
      <c r="X732">
        <v>14.902900000000001</v>
      </c>
      <c r="Z732" t="s">
        <v>1392</v>
      </c>
      <c r="AA732" t="s">
        <v>807</v>
      </c>
      <c r="AB732" t="s">
        <v>1485</v>
      </c>
      <c r="AD732" t="s">
        <v>2502</v>
      </c>
      <c r="AE732">
        <v>14.902900000000001</v>
      </c>
      <c r="AF732">
        <v>96129</v>
      </c>
    </row>
    <row r="733" spans="18:32" x14ac:dyDescent="0.25">
      <c r="R733">
        <v>96165</v>
      </c>
      <c r="S733" t="s">
        <v>814</v>
      </c>
      <c r="T733" t="s">
        <v>804</v>
      </c>
      <c r="U733" t="str">
        <f t="shared" si="92"/>
        <v>AFMS132</v>
      </c>
      <c r="W733" t="str">
        <f t="shared" si="93"/>
        <v>AFMS132T1</v>
      </c>
      <c r="X733">
        <v>5.1318999999999999</v>
      </c>
      <c r="Z733" t="s">
        <v>814</v>
      </c>
      <c r="AA733" t="s">
        <v>804</v>
      </c>
      <c r="AB733" t="s">
        <v>2503</v>
      </c>
      <c r="AD733" t="s">
        <v>2504</v>
      </c>
      <c r="AE733">
        <v>5.1318999999999999</v>
      </c>
      <c r="AF733">
        <v>96165</v>
      </c>
    </row>
    <row r="734" spans="18:32" x14ac:dyDescent="0.25">
      <c r="R734">
        <v>96165</v>
      </c>
      <c r="S734" t="s">
        <v>814</v>
      </c>
      <c r="T734" t="s">
        <v>807</v>
      </c>
      <c r="U734" t="str">
        <f t="shared" si="92"/>
        <v>AFMS132</v>
      </c>
      <c r="W734" t="str">
        <f t="shared" si="93"/>
        <v>AFMS132T2</v>
      </c>
      <c r="X734">
        <v>8.0852000000000004</v>
      </c>
      <c r="Z734" t="s">
        <v>814</v>
      </c>
      <c r="AA734" t="s">
        <v>807</v>
      </c>
      <c r="AB734" t="s">
        <v>2503</v>
      </c>
      <c r="AD734" t="s">
        <v>2505</v>
      </c>
      <c r="AE734">
        <v>8.0852000000000004</v>
      </c>
      <c r="AF734">
        <v>96165</v>
      </c>
    </row>
    <row r="735" spans="18:32" x14ac:dyDescent="0.25">
      <c r="R735">
        <v>96105</v>
      </c>
      <c r="S735" t="s">
        <v>821</v>
      </c>
      <c r="T735" t="s">
        <v>804</v>
      </c>
      <c r="U735" t="str">
        <f t="shared" si="92"/>
        <v>AKRH132</v>
      </c>
      <c r="W735" t="str">
        <f t="shared" si="93"/>
        <v>AKRH132T1</v>
      </c>
      <c r="X735">
        <v>12.127800000000001</v>
      </c>
      <c r="Z735" t="s">
        <v>821</v>
      </c>
      <c r="AA735" t="s">
        <v>804</v>
      </c>
      <c r="AB735" t="s">
        <v>2506</v>
      </c>
      <c r="AD735" t="s">
        <v>2507</v>
      </c>
      <c r="AE735">
        <v>12.127800000000001</v>
      </c>
      <c r="AF735">
        <v>96105</v>
      </c>
    </row>
    <row r="736" spans="18:32" x14ac:dyDescent="0.25">
      <c r="R736">
        <v>96105</v>
      </c>
      <c r="S736" t="s">
        <v>821</v>
      </c>
      <c r="T736" t="s">
        <v>807</v>
      </c>
      <c r="U736" t="str">
        <f t="shared" si="92"/>
        <v>AKRH132</v>
      </c>
      <c r="W736" t="str">
        <f t="shared" si="93"/>
        <v>AKRH132T2</v>
      </c>
      <c r="X736">
        <v>8.5356000000000005</v>
      </c>
      <c r="Z736" t="s">
        <v>821</v>
      </c>
      <c r="AA736" t="s">
        <v>807</v>
      </c>
      <c r="AB736" t="s">
        <v>2506</v>
      </c>
      <c r="AD736" t="s">
        <v>2508</v>
      </c>
      <c r="AE736">
        <v>8.5356000000000005</v>
      </c>
      <c r="AF736">
        <v>96105</v>
      </c>
    </row>
    <row r="737" spans="18:32" x14ac:dyDescent="0.25">
      <c r="R737">
        <v>96107</v>
      </c>
      <c r="S737" t="s">
        <v>855</v>
      </c>
      <c r="T737" t="s">
        <v>804</v>
      </c>
      <c r="U737" t="str">
        <f t="shared" si="92"/>
        <v>BBDM132</v>
      </c>
      <c r="W737" t="str">
        <f t="shared" si="93"/>
        <v>BBDM132T1</v>
      </c>
      <c r="X737">
        <v>13.961600000000001</v>
      </c>
      <c r="Z737" t="s">
        <v>855</v>
      </c>
      <c r="AA737" t="s">
        <v>804</v>
      </c>
      <c r="AB737" t="s">
        <v>2509</v>
      </c>
      <c r="AD737" t="s">
        <v>2510</v>
      </c>
      <c r="AE737">
        <v>13.961600000000001</v>
      </c>
      <c r="AF737">
        <v>96107</v>
      </c>
    </row>
    <row r="738" spans="18:32" x14ac:dyDescent="0.25">
      <c r="R738">
        <v>96107</v>
      </c>
      <c r="S738" t="s">
        <v>855</v>
      </c>
      <c r="T738" t="s">
        <v>807</v>
      </c>
      <c r="U738" t="str">
        <f t="shared" si="92"/>
        <v>BBDM132</v>
      </c>
      <c r="W738" t="str">
        <f t="shared" si="93"/>
        <v>BBDM132T2</v>
      </c>
      <c r="X738">
        <v>14.7621</v>
      </c>
      <c r="Z738" t="s">
        <v>855</v>
      </c>
      <c r="AA738" t="s">
        <v>807</v>
      </c>
      <c r="AB738" t="s">
        <v>2509</v>
      </c>
      <c r="AD738" t="s">
        <v>2511</v>
      </c>
      <c r="AE738">
        <v>14.7621</v>
      </c>
      <c r="AF738">
        <v>96107</v>
      </c>
    </row>
    <row r="739" spans="18:32" x14ac:dyDescent="0.25">
      <c r="R739">
        <v>96107</v>
      </c>
      <c r="S739" t="s">
        <v>855</v>
      </c>
      <c r="T739" t="s">
        <v>808</v>
      </c>
      <c r="U739" t="str">
        <f t="shared" si="92"/>
        <v>BBDM132</v>
      </c>
      <c r="W739" t="str">
        <f t="shared" si="93"/>
        <v>BBDM132T3</v>
      </c>
      <c r="X739">
        <v>9.4260999999999999</v>
      </c>
      <c r="Z739" t="s">
        <v>855</v>
      </c>
      <c r="AA739" t="s">
        <v>808</v>
      </c>
      <c r="AB739" t="s">
        <v>2509</v>
      </c>
      <c r="AD739" t="s">
        <v>2512</v>
      </c>
      <c r="AE739">
        <v>9.4260999999999999</v>
      </c>
      <c r="AF739">
        <v>96107</v>
      </c>
    </row>
    <row r="740" spans="18:32" x14ac:dyDescent="0.25">
      <c r="R740">
        <v>96107</v>
      </c>
      <c r="S740" t="s">
        <v>855</v>
      </c>
      <c r="T740" t="s">
        <v>809</v>
      </c>
      <c r="U740" t="str">
        <f t="shared" si="92"/>
        <v>BBDM132</v>
      </c>
      <c r="W740" t="str">
        <f t="shared" si="93"/>
        <v>BBDM132T4</v>
      </c>
      <c r="X740">
        <v>7.3272000000000004</v>
      </c>
      <c r="Z740" t="s">
        <v>855</v>
      </c>
      <c r="AA740" t="s">
        <v>809</v>
      </c>
      <c r="AB740" t="s">
        <v>2509</v>
      </c>
      <c r="AD740" t="s">
        <v>2513</v>
      </c>
      <c r="AE740">
        <v>7.3272000000000004</v>
      </c>
      <c r="AF740">
        <v>96107</v>
      </c>
    </row>
    <row r="741" spans="18:32" x14ac:dyDescent="0.25">
      <c r="R741">
        <v>96111</v>
      </c>
      <c r="S741" t="s">
        <v>889</v>
      </c>
      <c r="T741" t="s">
        <v>804</v>
      </c>
      <c r="U741" t="str">
        <f t="shared" si="92"/>
        <v>BMKA132</v>
      </c>
      <c r="W741" t="str">
        <f t="shared" si="93"/>
        <v>BMKA132T1</v>
      </c>
      <c r="X741">
        <v>5.6828000000000003</v>
      </c>
      <c r="Z741" t="s">
        <v>889</v>
      </c>
      <c r="AA741" t="s">
        <v>804</v>
      </c>
      <c r="AB741" t="s">
        <v>1556</v>
      </c>
      <c r="AD741" t="s">
        <v>2514</v>
      </c>
      <c r="AE741">
        <v>5.6828000000000003</v>
      </c>
      <c r="AF741">
        <v>96111</v>
      </c>
    </row>
    <row r="742" spans="18:32" x14ac:dyDescent="0.25">
      <c r="R742">
        <v>96111</v>
      </c>
      <c r="S742" t="s">
        <v>889</v>
      </c>
      <c r="T742" t="s">
        <v>807</v>
      </c>
      <c r="U742" t="str">
        <f t="shared" si="92"/>
        <v>BMKA132</v>
      </c>
      <c r="W742" t="str">
        <f t="shared" si="93"/>
        <v>BMKA132T2</v>
      </c>
      <c r="X742">
        <v>8.8483000000000001</v>
      </c>
      <c r="Z742" t="s">
        <v>889</v>
      </c>
      <c r="AA742" t="s">
        <v>807</v>
      </c>
      <c r="AB742" t="s">
        <v>1556</v>
      </c>
      <c r="AD742" t="s">
        <v>2515</v>
      </c>
      <c r="AE742">
        <v>8.8483000000000001</v>
      </c>
      <c r="AF742">
        <v>96111</v>
      </c>
    </row>
    <row r="743" spans="18:32" x14ac:dyDescent="0.25">
      <c r="R743">
        <v>96101</v>
      </c>
      <c r="S743" t="s">
        <v>899</v>
      </c>
      <c r="T743" t="s">
        <v>804</v>
      </c>
      <c r="U743" t="str">
        <f t="shared" si="92"/>
        <v>BRBI132</v>
      </c>
      <c r="W743" t="str">
        <f t="shared" si="93"/>
        <v>BRBI132T1</v>
      </c>
      <c r="X743">
        <v>6.6623999999999999</v>
      </c>
      <c r="Z743" t="s">
        <v>899</v>
      </c>
      <c r="AA743" t="s">
        <v>804</v>
      </c>
      <c r="AB743" t="s">
        <v>1562</v>
      </c>
      <c r="AD743" t="s">
        <v>2516</v>
      </c>
      <c r="AE743">
        <v>6.6623999999999999</v>
      </c>
      <c r="AF743">
        <v>96101</v>
      </c>
    </row>
    <row r="744" spans="18:32" x14ac:dyDescent="0.25">
      <c r="R744">
        <v>96101</v>
      </c>
      <c r="S744" t="s">
        <v>899</v>
      </c>
      <c r="T744" t="s">
        <v>807</v>
      </c>
      <c r="U744" t="str">
        <f t="shared" si="92"/>
        <v>BRBI132</v>
      </c>
      <c r="W744" t="str">
        <f t="shared" si="93"/>
        <v>BRBI132T2</v>
      </c>
      <c r="X744">
        <v>9.1227</v>
      </c>
      <c r="Z744" t="s">
        <v>899</v>
      </c>
      <c r="AA744" t="s">
        <v>807</v>
      </c>
      <c r="AB744" t="s">
        <v>1562</v>
      </c>
      <c r="AD744" t="s">
        <v>2517</v>
      </c>
      <c r="AE744">
        <v>9.1227</v>
      </c>
      <c r="AF744">
        <v>96101</v>
      </c>
    </row>
    <row r="745" spans="18:32" x14ac:dyDescent="0.25">
      <c r="R745">
        <v>96101</v>
      </c>
      <c r="S745" t="s">
        <v>899</v>
      </c>
      <c r="T745" t="s">
        <v>808</v>
      </c>
      <c r="U745" t="str">
        <f t="shared" si="92"/>
        <v>BRBI132</v>
      </c>
      <c r="W745" t="str">
        <f t="shared" si="93"/>
        <v>BRBI132T3</v>
      </c>
      <c r="X745">
        <v>10.1531</v>
      </c>
      <c r="Z745" t="s">
        <v>899</v>
      </c>
      <c r="AA745" t="s">
        <v>808</v>
      </c>
      <c r="AB745" t="s">
        <v>1562</v>
      </c>
      <c r="AD745" t="s">
        <v>2518</v>
      </c>
      <c r="AE745">
        <v>10.1531</v>
      </c>
      <c r="AF745">
        <v>96101</v>
      </c>
    </row>
    <row r="746" spans="18:32" x14ac:dyDescent="0.25">
      <c r="R746">
        <v>96101</v>
      </c>
      <c r="S746" t="s">
        <v>899</v>
      </c>
      <c r="T746" t="s">
        <v>809</v>
      </c>
      <c r="U746" t="str">
        <f t="shared" si="92"/>
        <v>BRBI132</v>
      </c>
      <c r="W746" t="str">
        <f t="shared" si="93"/>
        <v>BRBI132T4</v>
      </c>
      <c r="X746">
        <v>10.1313</v>
      </c>
      <c r="Z746" t="s">
        <v>899</v>
      </c>
      <c r="AA746" t="s">
        <v>809</v>
      </c>
      <c r="AB746" t="s">
        <v>1562</v>
      </c>
      <c r="AD746" t="s">
        <v>2519</v>
      </c>
      <c r="AE746">
        <v>10.1313</v>
      </c>
      <c r="AF746">
        <v>96101</v>
      </c>
    </row>
    <row r="747" spans="18:32" x14ac:dyDescent="0.25">
      <c r="R747">
        <v>96122</v>
      </c>
      <c r="S747" t="s">
        <v>920</v>
      </c>
      <c r="T747" t="s">
        <v>804</v>
      </c>
      <c r="U747" t="str">
        <f t="shared" si="92"/>
        <v>BVTA132</v>
      </c>
      <c r="W747" t="str">
        <f t="shared" si="93"/>
        <v>BVTA132T1</v>
      </c>
      <c r="X747">
        <v>3.3694999999999999</v>
      </c>
      <c r="Z747" t="s">
        <v>920</v>
      </c>
      <c r="AA747" t="s">
        <v>804</v>
      </c>
      <c r="AB747" t="s">
        <v>1558</v>
      </c>
      <c r="AD747" t="s">
        <v>2520</v>
      </c>
      <c r="AE747">
        <v>3.3694999999999999</v>
      </c>
      <c r="AF747">
        <v>96122</v>
      </c>
    </row>
    <row r="748" spans="18:32" x14ac:dyDescent="0.25">
      <c r="R748">
        <v>96122</v>
      </c>
      <c r="S748" t="s">
        <v>920</v>
      </c>
      <c r="T748" t="s">
        <v>807</v>
      </c>
      <c r="U748" t="str">
        <f t="shared" si="92"/>
        <v>BVTA132</v>
      </c>
      <c r="W748" t="str">
        <f t="shared" si="93"/>
        <v>BVTA132T2</v>
      </c>
      <c r="X748">
        <v>8.5501000000000005</v>
      </c>
      <c r="Z748" t="s">
        <v>920</v>
      </c>
      <c r="AA748" t="s">
        <v>807</v>
      </c>
      <c r="AB748" t="s">
        <v>1558</v>
      </c>
      <c r="AD748" t="s">
        <v>2521</v>
      </c>
      <c r="AE748">
        <v>8.5501000000000005</v>
      </c>
      <c r="AF748">
        <v>96122</v>
      </c>
    </row>
    <row r="749" spans="18:32" x14ac:dyDescent="0.25">
      <c r="R749">
        <v>96191</v>
      </c>
      <c r="S749" t="s">
        <v>928</v>
      </c>
      <c r="T749" t="s">
        <v>804</v>
      </c>
      <c r="U749" t="str">
        <f t="shared" si="92"/>
        <v>CHNG132</v>
      </c>
      <c r="W749" t="str">
        <f t="shared" si="93"/>
        <v>CHNG132T1</v>
      </c>
      <c r="X749">
        <v>7.3437999999999999</v>
      </c>
      <c r="Z749" t="s">
        <v>928</v>
      </c>
      <c r="AA749" t="s">
        <v>804</v>
      </c>
      <c r="AB749" t="s">
        <v>1555</v>
      </c>
      <c r="AD749" t="s">
        <v>2522</v>
      </c>
      <c r="AE749">
        <v>7.3437999999999999</v>
      </c>
      <c r="AF749">
        <v>96191</v>
      </c>
    </row>
    <row r="750" spans="18:32" x14ac:dyDescent="0.25">
      <c r="R750">
        <v>96191</v>
      </c>
      <c r="S750" t="s">
        <v>928</v>
      </c>
      <c r="T750" t="s">
        <v>807</v>
      </c>
      <c r="U750" t="str">
        <f t="shared" si="92"/>
        <v>CHNG132</v>
      </c>
      <c r="W750" t="str">
        <f t="shared" si="93"/>
        <v>CHNG132T2</v>
      </c>
      <c r="X750">
        <v>10.6045</v>
      </c>
      <c r="Z750" t="s">
        <v>928</v>
      </c>
      <c r="AA750" t="s">
        <v>807</v>
      </c>
      <c r="AB750" t="s">
        <v>1555</v>
      </c>
      <c r="AD750" t="s">
        <v>2523</v>
      </c>
      <c r="AE750">
        <v>10.6045</v>
      </c>
      <c r="AF750">
        <v>96191</v>
      </c>
    </row>
    <row r="751" spans="18:32" x14ac:dyDescent="0.25">
      <c r="R751">
        <v>96191</v>
      </c>
      <c r="S751" t="s">
        <v>928</v>
      </c>
      <c r="T751" t="s">
        <v>808</v>
      </c>
      <c r="U751" t="str">
        <f t="shared" si="92"/>
        <v>CHNG132</v>
      </c>
      <c r="W751" t="str">
        <f t="shared" si="93"/>
        <v>CHNG132T3</v>
      </c>
      <c r="X751">
        <v>31.840599999999998</v>
      </c>
      <c r="Z751" t="s">
        <v>928</v>
      </c>
      <c r="AA751" t="s">
        <v>808</v>
      </c>
      <c r="AB751" t="s">
        <v>1555</v>
      </c>
      <c r="AD751" t="s">
        <v>2524</v>
      </c>
      <c r="AE751">
        <v>31.840599999999998</v>
      </c>
      <c r="AF751">
        <v>96191</v>
      </c>
    </row>
    <row r="752" spans="18:32" x14ac:dyDescent="0.25">
      <c r="R752">
        <v>96191</v>
      </c>
      <c r="S752" t="s">
        <v>928</v>
      </c>
      <c r="T752" t="s">
        <v>809</v>
      </c>
      <c r="U752" t="str">
        <f t="shared" si="92"/>
        <v>CHNG132</v>
      </c>
      <c r="W752" t="str">
        <f t="shared" si="93"/>
        <v>CHNG132T4</v>
      </c>
      <c r="X752">
        <v>31.850899999999999</v>
      </c>
      <c r="Z752" t="s">
        <v>928</v>
      </c>
      <c r="AA752" t="s">
        <v>809</v>
      </c>
      <c r="AB752" t="s">
        <v>1555</v>
      </c>
      <c r="AD752" t="s">
        <v>2525</v>
      </c>
      <c r="AE752">
        <v>31.850899999999999</v>
      </c>
      <c r="AF752">
        <v>96191</v>
      </c>
    </row>
    <row r="753" spans="18:32" x14ac:dyDescent="0.25">
      <c r="R753">
        <v>96921</v>
      </c>
      <c r="S753" t="s">
        <v>952</v>
      </c>
      <c r="T753" t="s">
        <v>869</v>
      </c>
      <c r="U753" t="str">
        <f t="shared" si="92"/>
        <v>EMPP_GT</v>
      </c>
      <c r="W753" t="str">
        <f t="shared" si="93"/>
        <v>EMPP_GTX1</v>
      </c>
      <c r="X753">
        <v>0</v>
      </c>
      <c r="Z753" t="s">
        <v>952</v>
      </c>
      <c r="AA753" t="s">
        <v>869</v>
      </c>
      <c r="AB753" t="s">
        <v>2526</v>
      </c>
      <c r="AD753" t="s">
        <v>2527</v>
      </c>
      <c r="AE753">
        <v>0</v>
      </c>
      <c r="AF753">
        <v>96921</v>
      </c>
    </row>
    <row r="754" spans="18:32" x14ac:dyDescent="0.25">
      <c r="R754">
        <v>96922</v>
      </c>
      <c r="S754" t="s">
        <v>953</v>
      </c>
      <c r="T754" t="s">
        <v>869</v>
      </c>
      <c r="U754" t="str">
        <f t="shared" si="92"/>
        <v>EMPP_GT</v>
      </c>
      <c r="W754" t="str">
        <f t="shared" si="93"/>
        <v>EMPP_GTX1</v>
      </c>
      <c r="X754">
        <v>0</v>
      </c>
      <c r="Z754" t="s">
        <v>953</v>
      </c>
      <c r="AA754" t="s">
        <v>869</v>
      </c>
      <c r="AB754" t="s">
        <v>2526</v>
      </c>
      <c r="AD754" t="s">
        <v>2527</v>
      </c>
      <c r="AE754">
        <v>0</v>
      </c>
      <c r="AF754">
        <v>96922</v>
      </c>
    </row>
    <row r="755" spans="18:32" x14ac:dyDescent="0.25">
      <c r="R755">
        <v>96923</v>
      </c>
      <c r="S755" t="s">
        <v>954</v>
      </c>
      <c r="T755" t="s">
        <v>869</v>
      </c>
      <c r="U755" t="str">
        <f t="shared" si="92"/>
        <v>EMPP_GT</v>
      </c>
      <c r="W755" t="str">
        <f t="shared" si="93"/>
        <v>EMPP_GTX1</v>
      </c>
      <c r="X755">
        <v>0</v>
      </c>
      <c r="Z755" t="s">
        <v>954</v>
      </c>
      <c r="AA755" t="s">
        <v>869</v>
      </c>
      <c r="AB755" t="s">
        <v>2526</v>
      </c>
      <c r="AD755" t="s">
        <v>2527</v>
      </c>
      <c r="AE755">
        <v>0</v>
      </c>
      <c r="AF755">
        <v>96923</v>
      </c>
    </row>
    <row r="756" spans="18:32" x14ac:dyDescent="0.25">
      <c r="R756">
        <v>96106</v>
      </c>
      <c r="S756" t="s">
        <v>993</v>
      </c>
      <c r="T756" t="s">
        <v>804</v>
      </c>
      <c r="U756" t="str">
        <f t="shared" si="92"/>
        <v>HPGH132</v>
      </c>
      <c r="W756" t="str">
        <f t="shared" si="93"/>
        <v>HPGH132T1</v>
      </c>
      <c r="X756">
        <v>5.9893000000000001</v>
      </c>
      <c r="Z756" t="s">
        <v>993</v>
      </c>
      <c r="AA756" t="s">
        <v>804</v>
      </c>
      <c r="AB756" t="s">
        <v>1420</v>
      </c>
      <c r="AD756" t="s">
        <v>2528</v>
      </c>
      <c r="AE756">
        <v>5.9893000000000001</v>
      </c>
      <c r="AF756">
        <v>96106</v>
      </c>
    </row>
    <row r="757" spans="18:32" x14ac:dyDescent="0.25">
      <c r="R757">
        <v>96106</v>
      </c>
      <c r="S757" t="s">
        <v>993</v>
      </c>
      <c r="T757" t="s">
        <v>807</v>
      </c>
      <c r="U757" t="str">
        <f t="shared" si="92"/>
        <v>HPGH132</v>
      </c>
      <c r="W757" t="str">
        <f t="shared" si="93"/>
        <v>HPGH132T2</v>
      </c>
      <c r="X757">
        <v>6.0110999999999999</v>
      </c>
      <c r="Z757" t="s">
        <v>993</v>
      </c>
      <c r="AA757" t="s">
        <v>807</v>
      </c>
      <c r="AB757" t="s">
        <v>1420</v>
      </c>
      <c r="AD757" t="s">
        <v>2529</v>
      </c>
      <c r="AE757">
        <v>6.0110999999999999</v>
      </c>
      <c r="AF757">
        <v>96106</v>
      </c>
    </row>
    <row r="758" spans="18:32" x14ac:dyDescent="0.25">
      <c r="R758">
        <v>96109</v>
      </c>
      <c r="S758" t="s">
        <v>1019</v>
      </c>
      <c r="T758" t="s">
        <v>804</v>
      </c>
      <c r="U758" t="str">
        <f t="shared" si="92"/>
        <v>JSIN132</v>
      </c>
      <c r="W758" t="str">
        <f t="shared" si="93"/>
        <v>JSIN132T1</v>
      </c>
      <c r="X758">
        <v>6.1726000000000001</v>
      </c>
      <c r="Z758" t="s">
        <v>1019</v>
      </c>
      <c r="AA758" t="s">
        <v>804</v>
      </c>
      <c r="AB758" t="s">
        <v>2530</v>
      </c>
      <c r="AD758" t="s">
        <v>2531</v>
      </c>
      <c r="AE758">
        <v>6.1726000000000001</v>
      </c>
      <c r="AF758">
        <v>96109</v>
      </c>
    </row>
    <row r="759" spans="18:32" x14ac:dyDescent="0.25">
      <c r="R759">
        <v>96109</v>
      </c>
      <c r="S759" t="s">
        <v>1019</v>
      </c>
      <c r="T759" t="s">
        <v>807</v>
      </c>
      <c r="U759" t="str">
        <f t="shared" si="92"/>
        <v>JSIN132</v>
      </c>
      <c r="W759" t="str">
        <f t="shared" si="93"/>
        <v>JSIN132T2</v>
      </c>
      <c r="X759">
        <v>11.8078</v>
      </c>
      <c r="Z759" t="s">
        <v>1019</v>
      </c>
      <c r="AA759" t="s">
        <v>807</v>
      </c>
      <c r="AB759" t="s">
        <v>2530</v>
      </c>
      <c r="AD759" t="s">
        <v>2532</v>
      </c>
      <c r="AE759">
        <v>11.8078</v>
      </c>
      <c r="AF759">
        <v>96109</v>
      </c>
    </row>
    <row r="760" spans="18:32" x14ac:dyDescent="0.25">
      <c r="R760">
        <v>96109</v>
      </c>
      <c r="S760" t="s">
        <v>1019</v>
      </c>
      <c r="T760" t="s">
        <v>808</v>
      </c>
      <c r="U760" t="str">
        <f t="shared" si="92"/>
        <v>JSIN132</v>
      </c>
      <c r="W760" t="str">
        <f t="shared" si="93"/>
        <v>JSIN132T3</v>
      </c>
      <c r="X760">
        <v>8.6235999999999997</v>
      </c>
      <c r="Z760" t="s">
        <v>1019</v>
      </c>
      <c r="AA760" t="s">
        <v>808</v>
      </c>
      <c r="AB760" t="s">
        <v>2530</v>
      </c>
      <c r="AD760" t="s">
        <v>2533</v>
      </c>
      <c r="AE760">
        <v>8.6235999999999997</v>
      </c>
      <c r="AF760">
        <v>96109</v>
      </c>
    </row>
    <row r="761" spans="18:32" x14ac:dyDescent="0.25">
      <c r="R761">
        <v>96109</v>
      </c>
      <c r="S761" t="s">
        <v>1019</v>
      </c>
      <c r="T761" t="s">
        <v>809</v>
      </c>
      <c r="U761" t="str">
        <f t="shared" si="92"/>
        <v>JSIN132</v>
      </c>
      <c r="W761" t="str">
        <f t="shared" si="93"/>
        <v>JSIN132T4</v>
      </c>
      <c r="X761">
        <v>8.7034000000000002</v>
      </c>
      <c r="Z761" t="s">
        <v>1019</v>
      </c>
      <c r="AA761" t="s">
        <v>809</v>
      </c>
      <c r="AB761" t="s">
        <v>2530</v>
      </c>
      <c r="AD761" t="s">
        <v>2534</v>
      </c>
      <c r="AE761">
        <v>8.7034000000000002</v>
      </c>
      <c r="AF761">
        <v>96109</v>
      </c>
    </row>
    <row r="762" spans="18:32" x14ac:dyDescent="0.25">
      <c r="R762">
        <v>96118</v>
      </c>
      <c r="S762" t="s">
        <v>1038</v>
      </c>
      <c r="T762" t="s">
        <v>804</v>
      </c>
      <c r="U762" t="str">
        <f t="shared" si="92"/>
        <v>KGDK132</v>
      </c>
      <c r="W762" t="str">
        <f t="shared" si="93"/>
        <v>KGDK132T1</v>
      </c>
      <c r="X762">
        <v>0</v>
      </c>
      <c r="Z762" t="s">
        <v>1038</v>
      </c>
      <c r="AA762" t="s">
        <v>804</v>
      </c>
      <c r="AB762" t="s">
        <v>2535</v>
      </c>
      <c r="AD762" t="s">
        <v>2536</v>
      </c>
      <c r="AE762">
        <v>0</v>
      </c>
      <c r="AF762">
        <v>96118</v>
      </c>
    </row>
    <row r="763" spans="18:32" x14ac:dyDescent="0.25">
      <c r="R763">
        <v>96118</v>
      </c>
      <c r="S763" t="s">
        <v>1038</v>
      </c>
      <c r="T763" t="s">
        <v>807</v>
      </c>
      <c r="U763" t="str">
        <f t="shared" si="92"/>
        <v>KGDK132</v>
      </c>
      <c r="W763" t="str">
        <f t="shared" si="93"/>
        <v>KGDK132T2</v>
      </c>
      <c r="X763">
        <v>7.7972999999999999</v>
      </c>
      <c r="Z763" t="s">
        <v>1038</v>
      </c>
      <c r="AA763" t="s">
        <v>807</v>
      </c>
      <c r="AB763" t="s">
        <v>2535</v>
      </c>
      <c r="AD763" t="s">
        <v>2537</v>
      </c>
      <c r="AE763">
        <v>7.7972999999999999</v>
      </c>
      <c r="AF763">
        <v>96118</v>
      </c>
    </row>
    <row r="764" spans="18:32" x14ac:dyDescent="0.25">
      <c r="R764">
        <v>96126</v>
      </c>
      <c r="S764" t="s">
        <v>1068</v>
      </c>
      <c r="T764" t="s">
        <v>804</v>
      </c>
      <c r="U764" t="str">
        <f t="shared" si="92"/>
        <v>KLMK132</v>
      </c>
      <c r="W764" t="str">
        <f t="shared" si="93"/>
        <v>KLMK132T1</v>
      </c>
      <c r="X764">
        <v>9.7606000000000002</v>
      </c>
      <c r="Z764" t="s">
        <v>1068</v>
      </c>
      <c r="AA764" t="s">
        <v>804</v>
      </c>
      <c r="AB764" t="s">
        <v>2538</v>
      </c>
      <c r="AD764" t="s">
        <v>2539</v>
      </c>
      <c r="AE764">
        <v>9.7606000000000002</v>
      </c>
      <c r="AF764">
        <v>96126</v>
      </c>
    </row>
    <row r="765" spans="18:32" x14ac:dyDescent="0.25">
      <c r="R765">
        <v>96126</v>
      </c>
      <c r="S765" t="s">
        <v>1068</v>
      </c>
      <c r="T765" t="s">
        <v>807</v>
      </c>
      <c r="U765" t="str">
        <f t="shared" si="92"/>
        <v>KLMK132</v>
      </c>
      <c r="W765" t="str">
        <f t="shared" si="93"/>
        <v>KLMK132T2</v>
      </c>
      <c r="X765">
        <v>8.0769000000000002</v>
      </c>
      <c r="Z765" t="s">
        <v>1068</v>
      </c>
      <c r="AA765" t="s">
        <v>807</v>
      </c>
      <c r="AB765" t="s">
        <v>2538</v>
      </c>
      <c r="AD765" t="s">
        <v>2540</v>
      </c>
      <c r="AE765">
        <v>8.0769000000000002</v>
      </c>
      <c r="AF765">
        <v>96126</v>
      </c>
    </row>
    <row r="766" spans="18:32" x14ac:dyDescent="0.25">
      <c r="R766">
        <v>96126</v>
      </c>
      <c r="S766" t="s">
        <v>1068</v>
      </c>
      <c r="T766" t="s">
        <v>808</v>
      </c>
      <c r="U766" t="str">
        <f t="shared" si="92"/>
        <v>KLMK132</v>
      </c>
      <c r="W766" t="str">
        <f t="shared" si="93"/>
        <v>KLMK132T3</v>
      </c>
      <c r="X766">
        <v>2.5991</v>
      </c>
      <c r="Z766" t="s">
        <v>1068</v>
      </c>
      <c r="AA766" t="s">
        <v>808</v>
      </c>
      <c r="AB766" t="s">
        <v>2538</v>
      </c>
      <c r="AD766" t="s">
        <v>2541</v>
      </c>
      <c r="AE766">
        <v>2.5991</v>
      </c>
      <c r="AF766">
        <v>96126</v>
      </c>
    </row>
    <row r="767" spans="18:32" x14ac:dyDescent="0.25">
      <c r="R767">
        <v>96126</v>
      </c>
      <c r="S767" t="s">
        <v>1068</v>
      </c>
      <c r="T767" t="s">
        <v>809</v>
      </c>
      <c r="U767" t="str">
        <f t="shared" si="92"/>
        <v>KLMK132</v>
      </c>
      <c r="W767" t="str">
        <f t="shared" si="93"/>
        <v>KLMK132T4</v>
      </c>
      <c r="X767">
        <v>2.6301999999999999</v>
      </c>
      <c r="Z767" t="s">
        <v>1068</v>
      </c>
      <c r="AA767" t="s">
        <v>809</v>
      </c>
      <c r="AB767" t="s">
        <v>2538</v>
      </c>
      <c r="AD767" t="s">
        <v>2542</v>
      </c>
      <c r="AE767">
        <v>2.6301999999999999</v>
      </c>
      <c r="AF767">
        <v>96126</v>
      </c>
    </row>
    <row r="768" spans="18:32" x14ac:dyDescent="0.25">
      <c r="R768">
        <v>96102</v>
      </c>
      <c r="S768" t="s">
        <v>1084</v>
      </c>
      <c r="T768" t="s">
        <v>804</v>
      </c>
      <c r="U768" t="str">
        <f t="shared" si="92"/>
        <v>KRPH132</v>
      </c>
      <c r="W768" t="str">
        <f t="shared" si="93"/>
        <v>KRPH132T1</v>
      </c>
      <c r="X768">
        <v>10.596299999999999</v>
      </c>
      <c r="Z768" t="s">
        <v>1084</v>
      </c>
      <c r="AA768" t="s">
        <v>804</v>
      </c>
      <c r="AB768" t="s">
        <v>2543</v>
      </c>
      <c r="AD768" t="s">
        <v>2544</v>
      </c>
      <c r="AE768">
        <v>10.596299999999999</v>
      </c>
      <c r="AF768">
        <v>96102</v>
      </c>
    </row>
    <row r="769" spans="18:32" x14ac:dyDescent="0.25">
      <c r="R769">
        <v>96102</v>
      </c>
      <c r="S769" t="s">
        <v>1084</v>
      </c>
      <c r="T769" t="s">
        <v>807</v>
      </c>
      <c r="U769" t="str">
        <f t="shared" si="92"/>
        <v>KRPH132</v>
      </c>
      <c r="W769" t="str">
        <f t="shared" si="93"/>
        <v>KRPH132T2</v>
      </c>
      <c r="X769">
        <v>11.997299999999999</v>
      </c>
      <c r="Z769" t="s">
        <v>1084</v>
      </c>
      <c r="AA769" t="s">
        <v>807</v>
      </c>
      <c r="AB769" t="s">
        <v>2543</v>
      </c>
      <c r="AD769" t="s">
        <v>2545</v>
      </c>
      <c r="AE769">
        <v>11.997299999999999</v>
      </c>
      <c r="AF769">
        <v>96102</v>
      </c>
    </row>
    <row r="770" spans="18:32" x14ac:dyDescent="0.25">
      <c r="R770">
        <v>96405</v>
      </c>
      <c r="S770" t="s">
        <v>1134</v>
      </c>
      <c r="T770" t="s">
        <v>804</v>
      </c>
      <c r="U770" t="str">
        <f t="shared" si="92"/>
        <v>MCOP132</v>
      </c>
      <c r="W770" t="str">
        <f t="shared" si="93"/>
        <v>MCOP132T1</v>
      </c>
      <c r="X770">
        <v>13.2057</v>
      </c>
      <c r="Z770" t="s">
        <v>1134</v>
      </c>
      <c r="AA770" t="s">
        <v>804</v>
      </c>
      <c r="AB770" t="s">
        <v>1501</v>
      </c>
      <c r="AD770" t="s">
        <v>2546</v>
      </c>
      <c r="AE770">
        <v>13.2057</v>
      </c>
      <c r="AF770">
        <v>96405</v>
      </c>
    </row>
    <row r="771" spans="18:32" x14ac:dyDescent="0.25">
      <c r="R771">
        <v>96405</v>
      </c>
      <c r="S771" t="s">
        <v>1134</v>
      </c>
      <c r="T771" t="s">
        <v>807</v>
      </c>
      <c r="U771" t="str">
        <f t="shared" si="92"/>
        <v>MCOP132</v>
      </c>
      <c r="W771" t="str">
        <f t="shared" si="93"/>
        <v>MCOP132T2</v>
      </c>
      <c r="X771">
        <v>10.4834</v>
      </c>
      <c r="Z771" t="s">
        <v>1134</v>
      </c>
      <c r="AA771" t="s">
        <v>807</v>
      </c>
      <c r="AB771" t="s">
        <v>1501</v>
      </c>
      <c r="AD771" t="s">
        <v>2547</v>
      </c>
      <c r="AE771">
        <v>10.4834</v>
      </c>
      <c r="AF771">
        <v>96405</v>
      </c>
    </row>
    <row r="772" spans="18:32" x14ac:dyDescent="0.25">
      <c r="R772">
        <v>96405</v>
      </c>
      <c r="S772" t="s">
        <v>1134</v>
      </c>
      <c r="T772" t="s">
        <v>808</v>
      </c>
      <c r="U772" t="str">
        <f t="shared" ref="U772:U835" si="94">LEFT(S772,7)</f>
        <v>MCOP132</v>
      </c>
      <c r="W772" t="str">
        <f t="shared" ref="W772:W835" si="95">U772&amp;T772</f>
        <v>MCOP132T3</v>
      </c>
      <c r="X772">
        <v>37.673499999999997</v>
      </c>
      <c r="Z772" t="s">
        <v>1134</v>
      </c>
      <c r="AA772" t="s">
        <v>808</v>
      </c>
      <c r="AB772" t="s">
        <v>1501</v>
      </c>
      <c r="AD772" t="s">
        <v>2548</v>
      </c>
      <c r="AE772">
        <v>37.673499999999997</v>
      </c>
      <c r="AF772">
        <v>96405</v>
      </c>
    </row>
    <row r="773" spans="18:32" x14ac:dyDescent="0.25">
      <c r="R773">
        <v>96405</v>
      </c>
      <c r="S773" t="s">
        <v>1134</v>
      </c>
      <c r="T773" t="s">
        <v>809</v>
      </c>
      <c r="U773" t="str">
        <f t="shared" si="94"/>
        <v>MCOP132</v>
      </c>
      <c r="W773" t="str">
        <f t="shared" si="95"/>
        <v>MCOP132T4</v>
      </c>
      <c r="X773">
        <v>37.733600000000003</v>
      </c>
      <c r="Z773" t="s">
        <v>1134</v>
      </c>
      <c r="AA773" t="s">
        <v>809</v>
      </c>
      <c r="AB773" t="s">
        <v>1501</v>
      </c>
      <c r="AD773" t="s">
        <v>2549</v>
      </c>
      <c r="AE773">
        <v>37.733600000000003</v>
      </c>
      <c r="AF773">
        <v>96405</v>
      </c>
    </row>
    <row r="774" spans="18:32" x14ac:dyDescent="0.25">
      <c r="R774">
        <v>96198</v>
      </c>
      <c r="S774" t="s">
        <v>1141</v>
      </c>
      <c r="T774" t="s">
        <v>823</v>
      </c>
      <c r="U774" t="str">
        <f t="shared" si="94"/>
        <v>MFDR132</v>
      </c>
      <c r="W774" t="str">
        <f t="shared" si="95"/>
        <v>MFDR132F1</v>
      </c>
      <c r="X774">
        <v>0</v>
      </c>
      <c r="Z774" t="s">
        <v>1141</v>
      </c>
      <c r="AA774" t="s">
        <v>823</v>
      </c>
      <c r="AB774" t="s">
        <v>2550</v>
      </c>
      <c r="AD774" t="s">
        <v>2551</v>
      </c>
      <c r="AE774">
        <v>0</v>
      </c>
      <c r="AF774">
        <v>96198</v>
      </c>
    </row>
    <row r="775" spans="18:32" x14ac:dyDescent="0.25">
      <c r="R775">
        <v>96120</v>
      </c>
      <c r="S775" t="s">
        <v>1147</v>
      </c>
      <c r="T775" t="s">
        <v>804</v>
      </c>
      <c r="U775" t="str">
        <f t="shared" si="94"/>
        <v>MJYA132</v>
      </c>
      <c r="W775" t="str">
        <f t="shared" si="95"/>
        <v>MJYA132T1</v>
      </c>
      <c r="X775">
        <v>5.6154999999999999</v>
      </c>
      <c r="Z775" t="s">
        <v>1147</v>
      </c>
      <c r="AA775" t="s">
        <v>804</v>
      </c>
      <c r="AB775" t="s">
        <v>2552</v>
      </c>
      <c r="AD775" t="s">
        <v>2553</v>
      </c>
      <c r="AE775">
        <v>5.6154999999999999</v>
      </c>
      <c r="AF775">
        <v>96120</v>
      </c>
    </row>
    <row r="776" spans="18:32" x14ac:dyDescent="0.25">
      <c r="R776">
        <v>96120</v>
      </c>
      <c r="S776" t="s">
        <v>1147</v>
      </c>
      <c r="T776" t="s">
        <v>807</v>
      </c>
      <c r="U776" t="str">
        <f t="shared" si="94"/>
        <v>MJYA132</v>
      </c>
      <c r="W776" t="str">
        <f t="shared" si="95"/>
        <v>MJYA132T2</v>
      </c>
      <c r="X776">
        <v>16.3764</v>
      </c>
      <c r="Z776" t="s">
        <v>1147</v>
      </c>
      <c r="AA776" t="s">
        <v>807</v>
      </c>
      <c r="AB776" t="s">
        <v>2552</v>
      </c>
      <c r="AD776" t="s">
        <v>2554</v>
      </c>
      <c r="AE776">
        <v>16.3764</v>
      </c>
      <c r="AF776">
        <v>96120</v>
      </c>
    </row>
    <row r="777" spans="18:32" x14ac:dyDescent="0.25">
      <c r="R777">
        <v>96121</v>
      </c>
      <c r="S777" t="s">
        <v>1151</v>
      </c>
      <c r="T777" t="s">
        <v>804</v>
      </c>
      <c r="U777" t="str">
        <f t="shared" si="94"/>
        <v>MMAU132</v>
      </c>
      <c r="W777" t="str">
        <f t="shared" si="95"/>
        <v>MMAU132T1</v>
      </c>
      <c r="X777">
        <v>12.2479</v>
      </c>
      <c r="Z777" t="s">
        <v>1151</v>
      </c>
      <c r="AA777" t="s">
        <v>804</v>
      </c>
      <c r="AB777" t="s">
        <v>2555</v>
      </c>
      <c r="AD777" t="s">
        <v>2556</v>
      </c>
      <c r="AE777">
        <v>12.2479</v>
      </c>
      <c r="AF777">
        <v>96121</v>
      </c>
    </row>
    <row r="778" spans="18:32" x14ac:dyDescent="0.25">
      <c r="R778">
        <v>96121</v>
      </c>
      <c r="S778" t="s">
        <v>1151</v>
      </c>
      <c r="T778" t="s">
        <v>807</v>
      </c>
      <c r="U778" t="str">
        <f t="shared" si="94"/>
        <v>MMAU132</v>
      </c>
      <c r="W778" t="str">
        <f t="shared" si="95"/>
        <v>MMAU132T2</v>
      </c>
      <c r="X778">
        <v>10.8727</v>
      </c>
      <c r="Z778" t="s">
        <v>1151</v>
      </c>
      <c r="AA778" t="s">
        <v>807</v>
      </c>
      <c r="AB778" t="s">
        <v>2555</v>
      </c>
      <c r="AD778" t="s">
        <v>2557</v>
      </c>
      <c r="AE778">
        <v>10.8727</v>
      </c>
      <c r="AF778">
        <v>96121</v>
      </c>
    </row>
    <row r="779" spans="18:32" x14ac:dyDescent="0.25">
      <c r="R779">
        <v>96108</v>
      </c>
      <c r="S779" t="s">
        <v>1153</v>
      </c>
      <c r="T779" t="s">
        <v>804</v>
      </c>
      <c r="U779" t="str">
        <f t="shared" si="94"/>
        <v>MMKA132</v>
      </c>
      <c r="W779" t="str">
        <f t="shared" si="95"/>
        <v>MMKA132T1</v>
      </c>
      <c r="X779">
        <v>9.3722999999999992</v>
      </c>
      <c r="Z779" t="s">
        <v>1153</v>
      </c>
      <c r="AA779" t="s">
        <v>804</v>
      </c>
      <c r="AB779" t="s">
        <v>1557</v>
      </c>
      <c r="AD779" t="s">
        <v>2558</v>
      </c>
      <c r="AE779">
        <v>9.3722999999999992</v>
      </c>
      <c r="AF779">
        <v>96108</v>
      </c>
    </row>
    <row r="780" spans="18:32" x14ac:dyDescent="0.25">
      <c r="R780">
        <v>96108</v>
      </c>
      <c r="S780" t="s">
        <v>1153</v>
      </c>
      <c r="T780" t="s">
        <v>807</v>
      </c>
      <c r="U780" t="str">
        <f t="shared" si="94"/>
        <v>MMKA132</v>
      </c>
      <c r="W780" t="str">
        <f t="shared" si="95"/>
        <v>MMKA132T2</v>
      </c>
      <c r="X780">
        <v>7.0092999999999996</v>
      </c>
      <c r="Z780" t="s">
        <v>1153</v>
      </c>
      <c r="AA780" t="s">
        <v>807</v>
      </c>
      <c r="AB780" t="s">
        <v>1557</v>
      </c>
      <c r="AD780" t="s">
        <v>2559</v>
      </c>
      <c r="AE780">
        <v>7.0092999999999996</v>
      </c>
      <c r="AF780">
        <v>96108</v>
      </c>
    </row>
    <row r="781" spans="18:32" x14ac:dyDescent="0.25">
      <c r="R781">
        <v>96177</v>
      </c>
      <c r="S781" t="s">
        <v>1156</v>
      </c>
      <c r="T781" t="s">
        <v>804</v>
      </c>
      <c r="U781" t="str">
        <f t="shared" si="94"/>
        <v>MPSS132</v>
      </c>
      <c r="W781" t="str">
        <f t="shared" si="95"/>
        <v>MPSS132T1</v>
      </c>
      <c r="X781">
        <v>2.9428999999999998</v>
      </c>
      <c r="Z781" t="s">
        <v>1156</v>
      </c>
      <c r="AA781" t="s">
        <v>804</v>
      </c>
      <c r="AB781" t="s">
        <v>1450</v>
      </c>
      <c r="AD781" t="s">
        <v>2560</v>
      </c>
      <c r="AE781">
        <v>2.9428999999999998</v>
      </c>
      <c r="AF781">
        <v>96177</v>
      </c>
    </row>
    <row r="782" spans="18:32" x14ac:dyDescent="0.25">
      <c r="R782">
        <v>96177</v>
      </c>
      <c r="S782" t="s">
        <v>1156</v>
      </c>
      <c r="T782" t="s">
        <v>807</v>
      </c>
      <c r="U782" t="str">
        <f t="shared" si="94"/>
        <v>MPSS132</v>
      </c>
      <c r="W782" t="str">
        <f t="shared" si="95"/>
        <v>MPSS132T2</v>
      </c>
      <c r="X782">
        <v>6.0121000000000002</v>
      </c>
      <c r="Z782" t="s">
        <v>1156</v>
      </c>
      <c r="AA782" t="s">
        <v>807</v>
      </c>
      <c r="AB782" t="s">
        <v>1450</v>
      </c>
      <c r="AD782" t="s">
        <v>2561</v>
      </c>
      <c r="AE782">
        <v>6.0121000000000002</v>
      </c>
      <c r="AF782">
        <v>96177</v>
      </c>
    </row>
    <row r="783" spans="18:32" x14ac:dyDescent="0.25">
      <c r="R783">
        <v>96173</v>
      </c>
      <c r="S783" t="s">
        <v>1164</v>
      </c>
      <c r="T783" t="s">
        <v>804</v>
      </c>
      <c r="U783" t="str">
        <f t="shared" si="94"/>
        <v>MTNH132</v>
      </c>
      <c r="W783" t="str">
        <f t="shared" si="95"/>
        <v>MTNH132T1</v>
      </c>
      <c r="X783">
        <v>6.2285000000000004</v>
      </c>
      <c r="Z783" t="s">
        <v>1164</v>
      </c>
      <c r="AA783" t="s">
        <v>804</v>
      </c>
      <c r="AB783" t="s">
        <v>1483</v>
      </c>
      <c r="AD783" t="s">
        <v>2562</v>
      </c>
      <c r="AE783">
        <v>6.2285000000000004</v>
      </c>
      <c r="AF783">
        <v>96173</v>
      </c>
    </row>
    <row r="784" spans="18:32" x14ac:dyDescent="0.25">
      <c r="R784">
        <v>96173</v>
      </c>
      <c r="S784" t="s">
        <v>1164</v>
      </c>
      <c r="T784" t="s">
        <v>807</v>
      </c>
      <c r="U784" t="str">
        <f t="shared" si="94"/>
        <v>MTNH132</v>
      </c>
      <c r="W784" t="str">
        <f t="shared" si="95"/>
        <v>MTNH132T2</v>
      </c>
      <c r="X784">
        <v>6.2450999999999999</v>
      </c>
      <c r="Z784" t="s">
        <v>1164</v>
      </c>
      <c r="AA784" t="s">
        <v>807</v>
      </c>
      <c r="AB784" t="s">
        <v>1483</v>
      </c>
      <c r="AD784" t="s">
        <v>2563</v>
      </c>
      <c r="AE784">
        <v>6.2450999999999999</v>
      </c>
      <c r="AF784">
        <v>96173</v>
      </c>
    </row>
    <row r="785" spans="18:32" x14ac:dyDescent="0.25">
      <c r="R785">
        <v>96173</v>
      </c>
      <c r="S785" t="s">
        <v>1164</v>
      </c>
      <c r="T785" t="s">
        <v>808</v>
      </c>
      <c r="U785" t="str">
        <f t="shared" si="94"/>
        <v>MTNH132</v>
      </c>
      <c r="W785" t="str">
        <f t="shared" si="95"/>
        <v>MTNH132T3</v>
      </c>
      <c r="X785">
        <v>2.8092999999999999</v>
      </c>
      <c r="Z785" t="s">
        <v>1164</v>
      </c>
      <c r="AA785" t="s">
        <v>808</v>
      </c>
      <c r="AB785" t="s">
        <v>1483</v>
      </c>
      <c r="AD785" t="s">
        <v>2564</v>
      </c>
      <c r="AE785">
        <v>2.8092999999999999</v>
      </c>
      <c r="AF785">
        <v>96173</v>
      </c>
    </row>
    <row r="786" spans="18:32" x14ac:dyDescent="0.25">
      <c r="R786">
        <v>96173</v>
      </c>
      <c r="S786" t="s">
        <v>1164</v>
      </c>
      <c r="T786" t="s">
        <v>810</v>
      </c>
      <c r="U786" t="str">
        <f t="shared" si="94"/>
        <v>MTNH132</v>
      </c>
      <c r="W786" t="str">
        <f t="shared" si="95"/>
        <v>MTNH132T5</v>
      </c>
      <c r="X786">
        <v>11.380100000000001</v>
      </c>
      <c r="Z786" t="s">
        <v>1164</v>
      </c>
      <c r="AA786" t="s">
        <v>810</v>
      </c>
      <c r="AB786" t="s">
        <v>1483</v>
      </c>
      <c r="AD786" t="s">
        <v>2565</v>
      </c>
      <c r="AE786">
        <v>11.380100000000001</v>
      </c>
      <c r="AF786">
        <v>96173</v>
      </c>
    </row>
    <row r="787" spans="18:32" x14ac:dyDescent="0.25">
      <c r="R787">
        <v>96173</v>
      </c>
      <c r="S787" t="s">
        <v>1164</v>
      </c>
      <c r="T787" t="s">
        <v>812</v>
      </c>
      <c r="U787" t="str">
        <f t="shared" si="94"/>
        <v>MTNH132</v>
      </c>
      <c r="W787" t="str">
        <f t="shared" si="95"/>
        <v>MTNH132T6</v>
      </c>
      <c r="X787">
        <v>11.4733</v>
      </c>
      <c r="Z787" t="s">
        <v>1164</v>
      </c>
      <c r="AA787" t="s">
        <v>812</v>
      </c>
      <c r="AB787" t="s">
        <v>1483</v>
      </c>
      <c r="AD787" t="s">
        <v>2566</v>
      </c>
      <c r="AE787">
        <v>11.4733</v>
      </c>
      <c r="AF787">
        <v>96173</v>
      </c>
    </row>
    <row r="788" spans="18:32" x14ac:dyDescent="0.25">
      <c r="R788">
        <v>196105</v>
      </c>
      <c r="S788" t="s">
        <v>1184</v>
      </c>
      <c r="T788" t="s">
        <v>804</v>
      </c>
      <c r="U788" t="str">
        <f t="shared" si="94"/>
        <v>OZNA132</v>
      </c>
      <c r="W788" t="str">
        <f t="shared" si="95"/>
        <v>OZNA132T1</v>
      </c>
      <c r="X788">
        <v>8.5563000000000002</v>
      </c>
      <c r="Z788" t="s">
        <v>1184</v>
      </c>
      <c r="AA788" t="s">
        <v>804</v>
      </c>
      <c r="AB788" t="s">
        <v>2567</v>
      </c>
      <c r="AD788" t="s">
        <v>2568</v>
      </c>
      <c r="AE788">
        <v>8.5563000000000002</v>
      </c>
      <c r="AF788">
        <v>196105</v>
      </c>
    </row>
    <row r="789" spans="18:32" x14ac:dyDescent="0.25">
      <c r="R789">
        <v>196105</v>
      </c>
      <c r="S789" t="s">
        <v>1184</v>
      </c>
      <c r="T789" t="s">
        <v>807</v>
      </c>
      <c r="U789" t="str">
        <f t="shared" si="94"/>
        <v>OZNA132</v>
      </c>
      <c r="W789" t="str">
        <f t="shared" si="95"/>
        <v>OZNA132T2</v>
      </c>
      <c r="X789">
        <v>8.5563000000000002</v>
      </c>
      <c r="Z789" t="s">
        <v>1184</v>
      </c>
      <c r="AA789" t="s">
        <v>807</v>
      </c>
      <c r="AB789" t="s">
        <v>2567</v>
      </c>
      <c r="AD789" t="s">
        <v>2569</v>
      </c>
      <c r="AE789">
        <v>8.5563000000000002</v>
      </c>
      <c r="AF789">
        <v>196105</v>
      </c>
    </row>
    <row r="790" spans="18:32" x14ac:dyDescent="0.25">
      <c r="R790">
        <v>96123</v>
      </c>
      <c r="S790" t="s">
        <v>1200</v>
      </c>
      <c r="T790" t="s">
        <v>804</v>
      </c>
      <c r="U790" t="str">
        <f t="shared" si="94"/>
        <v>PGAD132</v>
      </c>
      <c r="W790" t="str">
        <f t="shared" si="95"/>
        <v>PGAD132T1</v>
      </c>
      <c r="X790">
        <v>20.805199999999999</v>
      </c>
      <c r="Z790" t="s">
        <v>1200</v>
      </c>
      <c r="AA790" t="s">
        <v>804</v>
      </c>
      <c r="AB790" t="s">
        <v>2570</v>
      </c>
      <c r="AD790" t="s">
        <v>2571</v>
      </c>
      <c r="AE790">
        <v>20.805199999999999</v>
      </c>
      <c r="AF790">
        <v>96123</v>
      </c>
    </row>
    <row r="791" spans="18:32" x14ac:dyDescent="0.25">
      <c r="R791">
        <v>96123</v>
      </c>
      <c r="S791" t="s">
        <v>1200</v>
      </c>
      <c r="T791" t="s">
        <v>807</v>
      </c>
      <c r="U791" t="str">
        <f t="shared" si="94"/>
        <v>PGAD132</v>
      </c>
      <c r="W791" t="str">
        <f t="shared" si="95"/>
        <v>PGAD132T2</v>
      </c>
      <c r="X791">
        <v>20.885999999999999</v>
      </c>
      <c r="Z791" t="s">
        <v>1200</v>
      </c>
      <c r="AA791" t="s">
        <v>807</v>
      </c>
      <c r="AB791" t="s">
        <v>2570</v>
      </c>
      <c r="AD791" t="s">
        <v>2572</v>
      </c>
      <c r="AE791">
        <v>20.885999999999999</v>
      </c>
      <c r="AF791">
        <v>96123</v>
      </c>
    </row>
    <row r="792" spans="18:32" x14ac:dyDescent="0.25">
      <c r="R792">
        <v>96147</v>
      </c>
      <c r="S792" t="s">
        <v>1235</v>
      </c>
      <c r="T792" t="s">
        <v>804</v>
      </c>
      <c r="U792" t="str">
        <f t="shared" si="94"/>
        <v>PPJG132</v>
      </c>
      <c r="W792" t="str">
        <f t="shared" si="95"/>
        <v>PPJG132T1</v>
      </c>
      <c r="X792">
        <v>0</v>
      </c>
      <c r="Z792" t="s">
        <v>1235</v>
      </c>
      <c r="AA792" t="s">
        <v>804</v>
      </c>
      <c r="AB792" t="s">
        <v>1482</v>
      </c>
      <c r="AD792" t="s">
        <v>2573</v>
      </c>
      <c r="AE792">
        <v>0</v>
      </c>
      <c r="AF792">
        <v>96147</v>
      </c>
    </row>
    <row r="793" spans="18:32" x14ac:dyDescent="0.25">
      <c r="R793">
        <v>96147</v>
      </c>
      <c r="S793" t="s">
        <v>1235</v>
      </c>
      <c r="T793" t="s">
        <v>807</v>
      </c>
      <c r="U793" t="str">
        <f t="shared" si="94"/>
        <v>PPJG132</v>
      </c>
      <c r="W793" t="str">
        <f t="shared" si="95"/>
        <v>PPJG132T2</v>
      </c>
      <c r="X793">
        <v>10.589</v>
      </c>
      <c r="Z793" t="s">
        <v>1235</v>
      </c>
      <c r="AA793" t="s">
        <v>807</v>
      </c>
      <c r="AB793" t="s">
        <v>1482</v>
      </c>
      <c r="AD793" t="s">
        <v>2574</v>
      </c>
      <c r="AE793">
        <v>10.589</v>
      </c>
      <c r="AF793">
        <v>96147</v>
      </c>
    </row>
    <row r="794" spans="18:32" x14ac:dyDescent="0.25">
      <c r="R794">
        <v>96189</v>
      </c>
      <c r="S794" t="s">
        <v>1351</v>
      </c>
      <c r="T794" t="s">
        <v>804</v>
      </c>
      <c r="U794" t="str">
        <f t="shared" si="94"/>
        <v>TGBU132</v>
      </c>
      <c r="W794" t="str">
        <f t="shared" si="95"/>
        <v>TGBU132T1</v>
      </c>
      <c r="X794">
        <v>3.7267999999999999</v>
      </c>
      <c r="Z794" t="s">
        <v>1351</v>
      </c>
      <c r="AA794" t="s">
        <v>804</v>
      </c>
      <c r="AB794" t="s">
        <v>1559</v>
      </c>
      <c r="AD794" t="s">
        <v>2575</v>
      </c>
      <c r="AE794">
        <v>3.7267999999999999</v>
      </c>
      <c r="AF794">
        <v>96189</v>
      </c>
    </row>
    <row r="795" spans="18:32" x14ac:dyDescent="0.25">
      <c r="R795">
        <v>96189</v>
      </c>
      <c r="S795" t="s">
        <v>1351</v>
      </c>
      <c r="T795" t="s">
        <v>807</v>
      </c>
      <c r="U795" t="str">
        <f t="shared" si="94"/>
        <v>TGBU132</v>
      </c>
      <c r="W795" t="str">
        <f t="shared" si="95"/>
        <v>TGBU132T2</v>
      </c>
      <c r="X795">
        <v>3.6387</v>
      </c>
      <c r="Z795" t="s">
        <v>1351</v>
      </c>
      <c r="AA795" t="s">
        <v>807</v>
      </c>
      <c r="AB795" t="s">
        <v>1559</v>
      </c>
      <c r="AD795" t="s">
        <v>2576</v>
      </c>
      <c r="AE795">
        <v>3.6387</v>
      </c>
      <c r="AF795">
        <v>96189</v>
      </c>
    </row>
    <row r="796" spans="18:32" x14ac:dyDescent="0.25">
      <c r="R796">
        <v>96189</v>
      </c>
      <c r="S796" t="s">
        <v>1351</v>
      </c>
      <c r="T796" t="s">
        <v>808</v>
      </c>
      <c r="U796" t="str">
        <f t="shared" si="94"/>
        <v>TGBU132</v>
      </c>
      <c r="W796" t="str">
        <f t="shared" si="95"/>
        <v>TGBU132T3</v>
      </c>
      <c r="X796">
        <v>16.782299999999999</v>
      </c>
      <c r="Z796" t="s">
        <v>1351</v>
      </c>
      <c r="AA796" t="s">
        <v>808</v>
      </c>
      <c r="AB796" t="s">
        <v>1559</v>
      </c>
      <c r="AD796" t="s">
        <v>2577</v>
      </c>
      <c r="AE796">
        <v>16.782299999999999</v>
      </c>
      <c r="AF796">
        <v>96189</v>
      </c>
    </row>
    <row r="797" spans="18:32" x14ac:dyDescent="0.25">
      <c r="R797">
        <v>96189</v>
      </c>
      <c r="S797" t="s">
        <v>1351</v>
      </c>
      <c r="T797" t="s">
        <v>809</v>
      </c>
      <c r="U797" t="str">
        <f t="shared" si="94"/>
        <v>TGBU132</v>
      </c>
      <c r="W797" t="str">
        <f t="shared" si="95"/>
        <v>TGBU132T4</v>
      </c>
      <c r="X797">
        <v>16.861000000000001</v>
      </c>
      <c r="Z797" t="s">
        <v>1351</v>
      </c>
      <c r="AA797" t="s">
        <v>809</v>
      </c>
      <c r="AB797" t="s">
        <v>1559</v>
      </c>
      <c r="AD797" t="s">
        <v>2578</v>
      </c>
      <c r="AE797">
        <v>16.861000000000001</v>
      </c>
      <c r="AF797">
        <v>96189</v>
      </c>
    </row>
    <row r="798" spans="18:32" x14ac:dyDescent="0.25">
      <c r="R798">
        <v>97117</v>
      </c>
      <c r="S798" t="s">
        <v>1368</v>
      </c>
      <c r="T798" t="s">
        <v>804</v>
      </c>
      <c r="U798" t="str">
        <f t="shared" si="94"/>
        <v>TKID132</v>
      </c>
      <c r="W798" t="str">
        <f t="shared" si="95"/>
        <v>TKID132T1</v>
      </c>
      <c r="X798">
        <v>8.4725000000000001</v>
      </c>
      <c r="Z798" t="s">
        <v>1368</v>
      </c>
      <c r="AA798" t="s">
        <v>804</v>
      </c>
      <c r="AB798" t="s">
        <v>1503</v>
      </c>
      <c r="AD798" t="s">
        <v>2579</v>
      </c>
      <c r="AE798">
        <v>8.4725000000000001</v>
      </c>
      <c r="AF798">
        <v>97117</v>
      </c>
    </row>
    <row r="799" spans="18:32" x14ac:dyDescent="0.25">
      <c r="R799">
        <v>97117</v>
      </c>
      <c r="S799" t="s">
        <v>1368</v>
      </c>
      <c r="T799" t="s">
        <v>807</v>
      </c>
      <c r="U799" t="str">
        <f t="shared" si="94"/>
        <v>TKID132</v>
      </c>
      <c r="W799" t="str">
        <f t="shared" si="95"/>
        <v>TKID132T2</v>
      </c>
      <c r="X799">
        <v>8.3957999999999995</v>
      </c>
      <c r="Z799" t="s">
        <v>1368</v>
      </c>
      <c r="AA799" t="s">
        <v>807</v>
      </c>
      <c r="AB799" t="s">
        <v>1503</v>
      </c>
      <c r="AD799" t="s">
        <v>2580</v>
      </c>
      <c r="AE799">
        <v>8.3957999999999995</v>
      </c>
      <c r="AF799">
        <v>97117</v>
      </c>
    </row>
    <row r="800" spans="18:32" x14ac:dyDescent="0.25">
      <c r="R800">
        <v>96110</v>
      </c>
      <c r="S800" t="s">
        <v>1375</v>
      </c>
      <c r="T800" t="s">
        <v>804</v>
      </c>
      <c r="U800" t="str">
        <f t="shared" si="94"/>
        <v>TMAS132</v>
      </c>
      <c r="W800" t="str">
        <f t="shared" si="95"/>
        <v>TMAS132T1</v>
      </c>
      <c r="X800">
        <v>12.9779</v>
      </c>
      <c r="Z800" t="s">
        <v>1375</v>
      </c>
      <c r="AA800" t="s">
        <v>804</v>
      </c>
      <c r="AB800" t="s">
        <v>2581</v>
      </c>
      <c r="AD800" t="s">
        <v>2582</v>
      </c>
      <c r="AE800">
        <v>12.9779</v>
      </c>
      <c r="AF800">
        <v>96110</v>
      </c>
    </row>
    <row r="801" spans="18:32" x14ac:dyDescent="0.25">
      <c r="R801">
        <v>96110</v>
      </c>
      <c r="S801" t="s">
        <v>1375</v>
      </c>
      <c r="T801" t="s">
        <v>807</v>
      </c>
      <c r="U801" t="str">
        <f t="shared" si="94"/>
        <v>TMAS132</v>
      </c>
      <c r="W801" t="str">
        <f t="shared" si="95"/>
        <v>TMAS132T2</v>
      </c>
      <c r="X801">
        <v>15.171099999999999</v>
      </c>
      <c r="Z801" t="s">
        <v>1375</v>
      </c>
      <c r="AA801" t="s">
        <v>807</v>
      </c>
      <c r="AB801" t="s">
        <v>2581</v>
      </c>
      <c r="AD801" t="s">
        <v>2583</v>
      </c>
      <c r="AE801">
        <v>15.171099999999999</v>
      </c>
      <c r="AF801">
        <v>96110</v>
      </c>
    </row>
    <row r="802" spans="18:32" x14ac:dyDescent="0.25">
      <c r="R802">
        <v>96113</v>
      </c>
      <c r="S802" t="s">
        <v>1400</v>
      </c>
      <c r="T802" t="s">
        <v>804</v>
      </c>
      <c r="U802" t="str">
        <f t="shared" si="94"/>
        <v>UPSR132</v>
      </c>
      <c r="W802" t="str">
        <f t="shared" si="95"/>
        <v>UPSR132T1</v>
      </c>
      <c r="X802">
        <v>7.2423000000000002</v>
      </c>
      <c r="Z802" t="s">
        <v>1400</v>
      </c>
      <c r="AA802" t="s">
        <v>804</v>
      </c>
      <c r="AB802" t="s">
        <v>1515</v>
      </c>
      <c r="AD802" t="s">
        <v>2584</v>
      </c>
      <c r="AE802">
        <v>7.2423000000000002</v>
      </c>
      <c r="AF802">
        <v>96113</v>
      </c>
    </row>
    <row r="803" spans="18:32" x14ac:dyDescent="0.25">
      <c r="R803">
        <v>96113</v>
      </c>
      <c r="S803" t="s">
        <v>1400</v>
      </c>
      <c r="T803" t="s">
        <v>807</v>
      </c>
      <c r="U803" t="str">
        <f t="shared" si="94"/>
        <v>UPSR132</v>
      </c>
      <c r="W803" t="str">
        <f t="shared" si="95"/>
        <v>UPSR132T2</v>
      </c>
      <c r="X803">
        <v>11.6318</v>
      </c>
      <c r="Z803" t="s">
        <v>1400</v>
      </c>
      <c r="AA803" t="s">
        <v>807</v>
      </c>
      <c r="AB803" t="s">
        <v>1515</v>
      </c>
      <c r="AD803" t="s">
        <v>2585</v>
      </c>
      <c r="AE803">
        <v>11.6318</v>
      </c>
      <c r="AF803">
        <v>96113</v>
      </c>
    </row>
    <row r="804" spans="18:32" x14ac:dyDescent="0.25">
      <c r="R804">
        <v>96113</v>
      </c>
      <c r="S804" t="s">
        <v>1400</v>
      </c>
      <c r="T804" t="s">
        <v>808</v>
      </c>
      <c r="U804" t="str">
        <f t="shared" si="94"/>
        <v>UPSR132</v>
      </c>
      <c r="W804" t="str">
        <f t="shared" si="95"/>
        <v>UPSR132T3</v>
      </c>
      <c r="X804">
        <v>25.654499999999999</v>
      </c>
      <c r="Z804" t="s">
        <v>1400</v>
      </c>
      <c r="AA804" t="s">
        <v>808</v>
      </c>
      <c r="AB804" t="s">
        <v>1515</v>
      </c>
      <c r="AD804" t="s">
        <v>2586</v>
      </c>
      <c r="AE804">
        <v>25.654499999999999</v>
      </c>
      <c r="AF804">
        <v>96113</v>
      </c>
    </row>
    <row r="805" spans="18:32" x14ac:dyDescent="0.25">
      <c r="R805">
        <v>96113</v>
      </c>
      <c r="S805" t="s">
        <v>1400</v>
      </c>
      <c r="T805" t="s">
        <v>809</v>
      </c>
      <c r="U805" t="str">
        <f t="shared" si="94"/>
        <v>UPSR132</v>
      </c>
      <c r="W805" t="str">
        <f t="shared" si="95"/>
        <v>UPSR132T4</v>
      </c>
      <c r="X805">
        <v>25.642099999999999</v>
      </c>
      <c r="Z805" t="s">
        <v>1400</v>
      </c>
      <c r="AA805" t="s">
        <v>809</v>
      </c>
      <c r="AB805" t="s">
        <v>1515</v>
      </c>
      <c r="AD805" t="s">
        <v>2587</v>
      </c>
      <c r="AE805">
        <v>25.642099999999999</v>
      </c>
      <c r="AF805">
        <v>96113</v>
      </c>
    </row>
    <row r="806" spans="18:32" x14ac:dyDescent="0.25">
      <c r="R806">
        <v>96195</v>
      </c>
      <c r="S806" t="s">
        <v>1414</v>
      </c>
      <c r="T806" t="s">
        <v>804</v>
      </c>
      <c r="U806" t="str">
        <f t="shared" si="94"/>
        <v>ZRNA132</v>
      </c>
      <c r="W806" t="str">
        <f t="shared" si="95"/>
        <v>ZRNA132T1</v>
      </c>
      <c r="X806">
        <v>6.7297000000000002</v>
      </c>
      <c r="Z806" t="s">
        <v>1414</v>
      </c>
      <c r="AA806" t="s">
        <v>804</v>
      </c>
      <c r="AB806" t="s">
        <v>1553</v>
      </c>
      <c r="AD806" t="s">
        <v>2588</v>
      </c>
      <c r="AE806">
        <v>6.7297000000000002</v>
      </c>
      <c r="AF806">
        <v>96195</v>
      </c>
    </row>
    <row r="807" spans="18:32" x14ac:dyDescent="0.25">
      <c r="R807">
        <v>96195</v>
      </c>
      <c r="S807" t="s">
        <v>1414</v>
      </c>
      <c r="T807" t="s">
        <v>807</v>
      </c>
      <c r="U807" t="str">
        <f t="shared" si="94"/>
        <v>ZRNA132</v>
      </c>
      <c r="W807" t="str">
        <f t="shared" si="95"/>
        <v>ZRNA132T2</v>
      </c>
      <c r="X807">
        <v>6.7473000000000001</v>
      </c>
      <c r="Z807" t="s">
        <v>1414</v>
      </c>
      <c r="AA807" t="s">
        <v>807</v>
      </c>
      <c r="AB807" t="s">
        <v>1553</v>
      </c>
      <c r="AD807" t="s">
        <v>2589</v>
      </c>
      <c r="AE807">
        <v>6.7473000000000001</v>
      </c>
      <c r="AF807">
        <v>96195</v>
      </c>
    </row>
    <row r="808" spans="18:32" x14ac:dyDescent="0.25">
      <c r="R808">
        <v>97122</v>
      </c>
      <c r="S808" t="s">
        <v>816</v>
      </c>
      <c r="T808" t="s">
        <v>804</v>
      </c>
      <c r="U808" t="str">
        <f t="shared" si="94"/>
        <v>AHMJ132</v>
      </c>
      <c r="W808" t="str">
        <f t="shared" si="95"/>
        <v>AHMJ132T1</v>
      </c>
      <c r="X808">
        <v>12.032500000000001</v>
      </c>
      <c r="Z808" t="s">
        <v>816</v>
      </c>
      <c r="AA808" t="s">
        <v>804</v>
      </c>
      <c r="AB808" t="s">
        <v>2590</v>
      </c>
      <c r="AD808" t="s">
        <v>2591</v>
      </c>
      <c r="AE808">
        <v>12.032500000000001</v>
      </c>
      <c r="AF808">
        <v>97122</v>
      </c>
    </row>
    <row r="809" spans="18:32" x14ac:dyDescent="0.25">
      <c r="R809">
        <v>97122</v>
      </c>
      <c r="S809" t="s">
        <v>816</v>
      </c>
      <c r="T809" t="s">
        <v>807</v>
      </c>
      <c r="U809" t="str">
        <f t="shared" si="94"/>
        <v>AHMJ132</v>
      </c>
      <c r="W809" t="str">
        <f t="shared" si="95"/>
        <v>AHMJ132T2</v>
      </c>
      <c r="X809">
        <v>12.168100000000001</v>
      </c>
      <c r="Z809" t="s">
        <v>816</v>
      </c>
      <c r="AA809" t="s">
        <v>807</v>
      </c>
      <c r="AB809" t="s">
        <v>2590</v>
      </c>
      <c r="AD809" t="s">
        <v>2592</v>
      </c>
      <c r="AE809">
        <v>12.168100000000001</v>
      </c>
      <c r="AF809">
        <v>97122</v>
      </c>
    </row>
    <row r="810" spans="18:32" x14ac:dyDescent="0.25">
      <c r="R810">
        <v>97164</v>
      </c>
      <c r="S810" t="s">
        <v>864</v>
      </c>
      <c r="T810" t="s">
        <v>804</v>
      </c>
      <c r="U810" t="str">
        <f t="shared" si="94"/>
        <v>BBTU132</v>
      </c>
      <c r="W810" t="str">
        <f t="shared" si="95"/>
        <v>BBTU132T1</v>
      </c>
      <c r="X810">
        <v>12.747</v>
      </c>
      <c r="Z810" t="s">
        <v>864</v>
      </c>
      <c r="AA810" t="s">
        <v>804</v>
      </c>
      <c r="AB810" t="s">
        <v>2593</v>
      </c>
      <c r="AD810" t="s">
        <v>2594</v>
      </c>
      <c r="AE810">
        <v>12.747</v>
      </c>
      <c r="AF810">
        <v>97164</v>
      </c>
    </row>
    <row r="811" spans="18:32" x14ac:dyDescent="0.25">
      <c r="R811">
        <v>97164</v>
      </c>
      <c r="S811" t="s">
        <v>864</v>
      </c>
      <c r="T811" t="s">
        <v>807</v>
      </c>
      <c r="U811" t="str">
        <f t="shared" si="94"/>
        <v>BBTU132</v>
      </c>
      <c r="W811" t="str">
        <f t="shared" si="95"/>
        <v>BBTU132T2</v>
      </c>
      <c r="X811">
        <v>11.659700000000001</v>
      </c>
      <c r="Z811" t="s">
        <v>864</v>
      </c>
      <c r="AA811" t="s">
        <v>807</v>
      </c>
      <c r="AB811" t="s">
        <v>2593</v>
      </c>
      <c r="AD811" t="s">
        <v>2595</v>
      </c>
      <c r="AE811">
        <v>11.659700000000001</v>
      </c>
      <c r="AF811">
        <v>97164</v>
      </c>
    </row>
    <row r="812" spans="18:32" x14ac:dyDescent="0.25">
      <c r="R812">
        <v>297111</v>
      </c>
      <c r="S812" t="s">
        <v>865</v>
      </c>
      <c r="T812" t="s">
        <v>848</v>
      </c>
      <c r="U812" t="str">
        <f t="shared" si="94"/>
        <v>BBTU132</v>
      </c>
      <c r="W812" t="str">
        <f t="shared" si="95"/>
        <v>BBTU132T7</v>
      </c>
      <c r="X812">
        <v>8.5055999999999994</v>
      </c>
      <c r="Z812" t="s">
        <v>865</v>
      </c>
      <c r="AA812" t="s">
        <v>848</v>
      </c>
      <c r="AB812" t="s">
        <v>2593</v>
      </c>
      <c r="AD812" t="s">
        <v>2596</v>
      </c>
      <c r="AE812">
        <v>8.5055999999999994</v>
      </c>
      <c r="AF812">
        <v>297111</v>
      </c>
    </row>
    <row r="813" spans="18:32" x14ac:dyDescent="0.25">
      <c r="R813">
        <v>97174</v>
      </c>
      <c r="S813" t="s">
        <v>878</v>
      </c>
      <c r="T813" t="s">
        <v>804</v>
      </c>
      <c r="U813" t="str">
        <f t="shared" si="94"/>
        <v>BKPG132</v>
      </c>
      <c r="W813" t="str">
        <f t="shared" si="95"/>
        <v>BKPG132T1</v>
      </c>
      <c r="X813">
        <v>3.8365</v>
      </c>
      <c r="Z813" t="s">
        <v>878</v>
      </c>
      <c r="AA813" t="s">
        <v>804</v>
      </c>
      <c r="AB813" t="s">
        <v>1508</v>
      </c>
      <c r="AD813" t="s">
        <v>2597</v>
      </c>
      <c r="AE813">
        <v>3.8365</v>
      </c>
      <c r="AF813">
        <v>97174</v>
      </c>
    </row>
    <row r="814" spans="18:32" x14ac:dyDescent="0.25">
      <c r="R814">
        <v>97174</v>
      </c>
      <c r="S814" t="s">
        <v>878</v>
      </c>
      <c r="T814" t="s">
        <v>807</v>
      </c>
      <c r="U814" t="str">
        <f t="shared" si="94"/>
        <v>BKPG132</v>
      </c>
      <c r="W814" t="str">
        <f t="shared" si="95"/>
        <v>BKPG132T2</v>
      </c>
      <c r="X814">
        <v>3.8426999999999998</v>
      </c>
      <c r="Z814" t="s">
        <v>878</v>
      </c>
      <c r="AA814" t="s">
        <v>807</v>
      </c>
      <c r="AB814" t="s">
        <v>1508</v>
      </c>
      <c r="AD814" t="s">
        <v>2598</v>
      </c>
      <c r="AE814">
        <v>3.8426999999999998</v>
      </c>
      <c r="AF814">
        <v>97174</v>
      </c>
    </row>
    <row r="815" spans="18:32" x14ac:dyDescent="0.25">
      <c r="R815">
        <v>97102</v>
      </c>
      <c r="S815" t="s">
        <v>881</v>
      </c>
      <c r="T815" t="s">
        <v>804</v>
      </c>
      <c r="U815" t="str">
        <f t="shared" si="94"/>
        <v>BKRI132</v>
      </c>
      <c r="W815" t="str">
        <f t="shared" si="95"/>
        <v>BKRI132T1</v>
      </c>
      <c r="X815">
        <v>9.1735000000000007</v>
      </c>
      <c r="Z815" t="s">
        <v>881</v>
      </c>
      <c r="AA815" t="s">
        <v>804</v>
      </c>
      <c r="AB815" t="s">
        <v>2599</v>
      </c>
      <c r="AD815" t="s">
        <v>2600</v>
      </c>
      <c r="AE815">
        <v>9.1735000000000007</v>
      </c>
      <c r="AF815">
        <v>97102</v>
      </c>
    </row>
    <row r="816" spans="18:32" x14ac:dyDescent="0.25">
      <c r="R816">
        <v>97102</v>
      </c>
      <c r="S816" t="s">
        <v>881</v>
      </c>
      <c r="T816" t="s">
        <v>807</v>
      </c>
      <c r="U816" t="str">
        <f t="shared" si="94"/>
        <v>BKRI132</v>
      </c>
      <c r="W816" t="str">
        <f t="shared" si="95"/>
        <v>BKRI132T2</v>
      </c>
      <c r="X816">
        <v>9.6757000000000009</v>
      </c>
      <c r="Z816" t="s">
        <v>881</v>
      </c>
      <c r="AA816" t="s">
        <v>807</v>
      </c>
      <c r="AB816" t="s">
        <v>2599</v>
      </c>
      <c r="AD816" t="s">
        <v>2601</v>
      </c>
      <c r="AE816">
        <v>9.6757000000000009</v>
      </c>
      <c r="AF816">
        <v>97102</v>
      </c>
    </row>
    <row r="817" spans="18:32" x14ac:dyDescent="0.25">
      <c r="R817">
        <v>97106</v>
      </c>
      <c r="S817" t="s">
        <v>897</v>
      </c>
      <c r="T817" t="s">
        <v>804</v>
      </c>
      <c r="U817" t="str">
        <f t="shared" si="94"/>
        <v>BPHE132</v>
      </c>
      <c r="W817" t="str">
        <f t="shared" si="95"/>
        <v>BPHE132T1</v>
      </c>
      <c r="X817">
        <v>34.987400000000001</v>
      </c>
      <c r="Z817" t="s">
        <v>897</v>
      </c>
      <c r="AA817" t="s">
        <v>804</v>
      </c>
      <c r="AB817" t="s">
        <v>2602</v>
      </c>
      <c r="AD817" t="s">
        <v>2603</v>
      </c>
      <c r="AE817">
        <v>34.987400000000001</v>
      </c>
      <c r="AF817">
        <v>97106</v>
      </c>
    </row>
    <row r="818" spans="18:32" x14ac:dyDescent="0.25">
      <c r="R818">
        <v>97106</v>
      </c>
      <c r="S818" t="s">
        <v>897</v>
      </c>
      <c r="T818" t="s">
        <v>807</v>
      </c>
      <c r="U818" t="str">
        <f t="shared" si="94"/>
        <v>BPHE132</v>
      </c>
      <c r="W818" t="str">
        <f t="shared" si="95"/>
        <v>BPHE132T2</v>
      </c>
      <c r="X818">
        <v>34.894199999999998</v>
      </c>
      <c r="Z818" t="s">
        <v>897</v>
      </c>
      <c r="AA818" t="s">
        <v>807</v>
      </c>
      <c r="AB818" t="s">
        <v>2602</v>
      </c>
      <c r="AD818" t="s">
        <v>2604</v>
      </c>
      <c r="AE818">
        <v>34.894199999999998</v>
      </c>
      <c r="AF818">
        <v>97106</v>
      </c>
    </row>
    <row r="819" spans="18:32" x14ac:dyDescent="0.25">
      <c r="R819">
        <v>97129</v>
      </c>
      <c r="S819" t="s">
        <v>898</v>
      </c>
      <c r="T819" t="s">
        <v>804</v>
      </c>
      <c r="U819" t="str">
        <f t="shared" si="94"/>
        <v>BPHT132</v>
      </c>
      <c r="W819" t="str">
        <f t="shared" si="95"/>
        <v>BPHT132T1</v>
      </c>
      <c r="X819">
        <v>11.055</v>
      </c>
      <c r="Z819" t="s">
        <v>898</v>
      </c>
      <c r="AA819" t="s">
        <v>804</v>
      </c>
      <c r="AB819" t="s">
        <v>1578</v>
      </c>
      <c r="AD819" t="s">
        <v>2605</v>
      </c>
      <c r="AE819">
        <v>11.055</v>
      </c>
      <c r="AF819">
        <v>97129</v>
      </c>
    </row>
    <row r="820" spans="18:32" x14ac:dyDescent="0.25">
      <c r="R820">
        <v>97129</v>
      </c>
      <c r="S820" t="s">
        <v>898</v>
      </c>
      <c r="T820" t="s">
        <v>807</v>
      </c>
      <c r="U820" t="str">
        <f t="shared" si="94"/>
        <v>BPHT132</v>
      </c>
      <c r="W820" t="str">
        <f t="shared" si="95"/>
        <v>BPHT132T2</v>
      </c>
      <c r="X820">
        <v>11.890599999999999</v>
      </c>
      <c r="Z820" t="s">
        <v>898</v>
      </c>
      <c r="AA820" t="s">
        <v>807</v>
      </c>
      <c r="AB820" t="s">
        <v>1578</v>
      </c>
      <c r="AD820" t="s">
        <v>2606</v>
      </c>
      <c r="AE820">
        <v>11.890599999999999</v>
      </c>
      <c r="AF820">
        <v>97129</v>
      </c>
    </row>
    <row r="821" spans="18:32" x14ac:dyDescent="0.25">
      <c r="R821">
        <v>97182</v>
      </c>
      <c r="S821" t="s">
        <v>905</v>
      </c>
      <c r="T821" t="s">
        <v>804</v>
      </c>
      <c r="U821" t="str">
        <f t="shared" si="94"/>
        <v>BSPT132</v>
      </c>
      <c r="W821" t="str">
        <f t="shared" si="95"/>
        <v>BSPT132T1</v>
      </c>
      <c r="X821">
        <v>9.7760999999999996</v>
      </c>
      <c r="Z821" t="s">
        <v>905</v>
      </c>
      <c r="AA821" t="s">
        <v>804</v>
      </c>
      <c r="AB821" t="s">
        <v>1507</v>
      </c>
      <c r="AD821" t="s">
        <v>2607</v>
      </c>
      <c r="AE821">
        <v>9.7760999999999996</v>
      </c>
      <c r="AF821">
        <v>97182</v>
      </c>
    </row>
    <row r="822" spans="18:32" x14ac:dyDescent="0.25">
      <c r="R822">
        <v>97182</v>
      </c>
      <c r="S822" t="s">
        <v>905</v>
      </c>
      <c r="T822" t="s">
        <v>807</v>
      </c>
      <c r="U822" t="str">
        <f t="shared" si="94"/>
        <v>BSPT132</v>
      </c>
      <c r="W822" t="str">
        <f t="shared" si="95"/>
        <v>BSPT132T2</v>
      </c>
      <c r="X822">
        <v>9.7905999999999995</v>
      </c>
      <c r="Z822" t="s">
        <v>905</v>
      </c>
      <c r="AA822" t="s">
        <v>807</v>
      </c>
      <c r="AB822" t="s">
        <v>1507</v>
      </c>
      <c r="AD822" t="s">
        <v>2608</v>
      </c>
      <c r="AE822">
        <v>9.7905999999999995</v>
      </c>
      <c r="AF822">
        <v>97182</v>
      </c>
    </row>
    <row r="823" spans="18:32" x14ac:dyDescent="0.25">
      <c r="R823">
        <v>97182</v>
      </c>
      <c r="S823" t="s">
        <v>905</v>
      </c>
      <c r="T823" t="s">
        <v>808</v>
      </c>
      <c r="U823" t="str">
        <f t="shared" si="94"/>
        <v>BSPT132</v>
      </c>
      <c r="W823" t="str">
        <f t="shared" si="95"/>
        <v>BSPT132T3</v>
      </c>
      <c r="X823">
        <v>15.3606</v>
      </c>
      <c r="Z823" t="s">
        <v>905</v>
      </c>
      <c r="AA823" t="s">
        <v>808</v>
      </c>
      <c r="AB823" t="s">
        <v>1507</v>
      </c>
      <c r="AD823" t="s">
        <v>2609</v>
      </c>
      <c r="AE823">
        <v>15.3606</v>
      </c>
      <c r="AF823">
        <v>97182</v>
      </c>
    </row>
    <row r="824" spans="18:32" x14ac:dyDescent="0.25">
      <c r="R824">
        <v>97182</v>
      </c>
      <c r="S824" t="s">
        <v>905</v>
      </c>
      <c r="T824" t="s">
        <v>809</v>
      </c>
      <c r="U824" t="str">
        <f t="shared" si="94"/>
        <v>BSPT132</v>
      </c>
      <c r="W824" t="str">
        <f t="shared" si="95"/>
        <v>BSPT132T4</v>
      </c>
      <c r="X824">
        <v>15.5418</v>
      </c>
      <c r="Z824" t="s">
        <v>905</v>
      </c>
      <c r="AA824" t="s">
        <v>809</v>
      </c>
      <c r="AB824" t="s">
        <v>1507</v>
      </c>
      <c r="AD824" t="s">
        <v>2610</v>
      </c>
      <c r="AE824">
        <v>15.5418</v>
      </c>
      <c r="AF824">
        <v>97182</v>
      </c>
    </row>
    <row r="825" spans="18:32" x14ac:dyDescent="0.25">
      <c r="R825">
        <v>97148</v>
      </c>
      <c r="S825" t="s">
        <v>922</v>
      </c>
      <c r="T825" t="s">
        <v>808</v>
      </c>
      <c r="U825" t="str">
        <f t="shared" si="94"/>
        <v>CAAH132</v>
      </c>
      <c r="W825" t="str">
        <f t="shared" si="95"/>
        <v>CAAH132T3</v>
      </c>
      <c r="X825">
        <v>9.9708000000000006</v>
      </c>
      <c r="Z825" t="s">
        <v>922</v>
      </c>
      <c r="AA825" t="s">
        <v>808</v>
      </c>
      <c r="AB825" t="s">
        <v>1509</v>
      </c>
      <c r="AD825" t="s">
        <v>2611</v>
      </c>
      <c r="AE825">
        <v>9.9708000000000006</v>
      </c>
      <c r="AF825">
        <v>97148</v>
      </c>
    </row>
    <row r="826" spans="18:32" x14ac:dyDescent="0.25">
      <c r="R826">
        <v>97148</v>
      </c>
      <c r="S826" t="s">
        <v>922</v>
      </c>
      <c r="T826" t="s">
        <v>809</v>
      </c>
      <c r="U826" t="str">
        <f t="shared" si="94"/>
        <v>CAAH132</v>
      </c>
      <c r="W826" t="str">
        <f t="shared" si="95"/>
        <v>CAAH132T4</v>
      </c>
      <c r="X826">
        <v>9.9108000000000001</v>
      </c>
      <c r="Z826" t="s">
        <v>922</v>
      </c>
      <c r="AA826" t="s">
        <v>809</v>
      </c>
      <c r="AB826" t="s">
        <v>1509</v>
      </c>
      <c r="AD826" t="s">
        <v>2612</v>
      </c>
      <c r="AE826">
        <v>9.9108000000000001</v>
      </c>
      <c r="AF826">
        <v>97148</v>
      </c>
    </row>
    <row r="827" spans="18:32" x14ac:dyDescent="0.25">
      <c r="R827">
        <v>97178</v>
      </c>
      <c r="S827" t="s">
        <v>926</v>
      </c>
      <c r="T827" t="s">
        <v>804</v>
      </c>
      <c r="U827" t="str">
        <f t="shared" si="94"/>
        <v>CBRU132</v>
      </c>
      <c r="W827" t="str">
        <f t="shared" si="95"/>
        <v>CBRU132T1</v>
      </c>
      <c r="X827">
        <v>8.9870999999999999</v>
      </c>
      <c r="Z827" t="s">
        <v>926</v>
      </c>
      <c r="AA827" t="s">
        <v>804</v>
      </c>
      <c r="AB827" t="s">
        <v>1415</v>
      </c>
      <c r="AD827" t="s">
        <v>2613</v>
      </c>
      <c r="AE827">
        <v>8.9870999999999999</v>
      </c>
      <c r="AF827">
        <v>97178</v>
      </c>
    </row>
    <row r="828" spans="18:32" x14ac:dyDescent="0.25">
      <c r="R828">
        <v>97178</v>
      </c>
      <c r="S828" t="s">
        <v>926</v>
      </c>
      <c r="T828" t="s">
        <v>807</v>
      </c>
      <c r="U828" t="str">
        <f t="shared" si="94"/>
        <v>CBRU132</v>
      </c>
      <c r="W828" t="str">
        <f t="shared" si="95"/>
        <v>CBRU132T2</v>
      </c>
      <c r="X828">
        <v>8.9519000000000002</v>
      </c>
      <c r="Z828" t="s">
        <v>926</v>
      </c>
      <c r="AA828" t="s">
        <v>807</v>
      </c>
      <c r="AB828" t="s">
        <v>1415</v>
      </c>
      <c r="AD828" t="s">
        <v>2614</v>
      </c>
      <c r="AE828">
        <v>8.9519000000000002</v>
      </c>
      <c r="AF828">
        <v>97178</v>
      </c>
    </row>
    <row r="829" spans="18:32" x14ac:dyDescent="0.25">
      <c r="R829">
        <v>97178</v>
      </c>
      <c r="S829" t="s">
        <v>926</v>
      </c>
      <c r="T829" t="s">
        <v>808</v>
      </c>
      <c r="U829" t="str">
        <f t="shared" si="94"/>
        <v>CBRU132</v>
      </c>
      <c r="W829" t="str">
        <f t="shared" si="95"/>
        <v>CBRU132T3</v>
      </c>
      <c r="X829">
        <v>24.7029</v>
      </c>
      <c r="Z829" t="s">
        <v>926</v>
      </c>
      <c r="AA829" t="s">
        <v>808</v>
      </c>
      <c r="AB829" t="s">
        <v>1415</v>
      </c>
      <c r="AD829" t="s">
        <v>2615</v>
      </c>
      <c r="AE829">
        <v>24.7029</v>
      </c>
      <c r="AF829">
        <v>97178</v>
      </c>
    </row>
    <row r="830" spans="18:32" x14ac:dyDescent="0.25">
      <c r="R830">
        <v>97178</v>
      </c>
      <c r="S830" t="s">
        <v>926</v>
      </c>
      <c r="T830" t="s">
        <v>809</v>
      </c>
      <c r="U830" t="str">
        <f t="shared" si="94"/>
        <v>CBRU132</v>
      </c>
      <c r="W830" t="str">
        <f t="shared" si="95"/>
        <v>CBRU132T4</v>
      </c>
      <c r="X830">
        <v>24.4833</v>
      </c>
      <c r="Z830" t="s">
        <v>926</v>
      </c>
      <c r="AA830" t="s">
        <v>809</v>
      </c>
      <c r="AB830" t="s">
        <v>1415</v>
      </c>
      <c r="AD830" t="s">
        <v>2616</v>
      </c>
      <c r="AE830">
        <v>24.4833</v>
      </c>
      <c r="AF830">
        <v>97178</v>
      </c>
    </row>
    <row r="831" spans="18:32" x14ac:dyDescent="0.25">
      <c r="R831">
        <v>97197</v>
      </c>
      <c r="S831" t="s">
        <v>939</v>
      </c>
      <c r="T831" t="s">
        <v>804</v>
      </c>
      <c r="U831" t="str">
        <f t="shared" si="94"/>
        <v>DBAY132</v>
      </c>
      <c r="W831" t="str">
        <f t="shared" si="95"/>
        <v>DBAY132T1</v>
      </c>
      <c r="X831">
        <v>0</v>
      </c>
      <c r="Z831" t="s">
        <v>939</v>
      </c>
      <c r="AA831" t="s">
        <v>804</v>
      </c>
      <c r="AB831" t="s">
        <v>2617</v>
      </c>
      <c r="AD831" t="s">
        <v>2618</v>
      </c>
      <c r="AE831">
        <v>0</v>
      </c>
      <c r="AF831">
        <v>97197</v>
      </c>
    </row>
    <row r="832" spans="18:32" x14ac:dyDescent="0.25">
      <c r="R832">
        <v>97197</v>
      </c>
      <c r="S832" t="s">
        <v>939</v>
      </c>
      <c r="T832" t="s">
        <v>807</v>
      </c>
      <c r="U832" t="str">
        <f t="shared" si="94"/>
        <v>DBAY132</v>
      </c>
      <c r="W832" t="str">
        <f t="shared" si="95"/>
        <v>DBAY132T2</v>
      </c>
      <c r="X832">
        <v>0</v>
      </c>
      <c r="Z832" t="s">
        <v>939</v>
      </c>
      <c r="AA832" t="s">
        <v>807</v>
      </c>
      <c r="AB832" t="s">
        <v>2617</v>
      </c>
      <c r="AD832" t="s">
        <v>2619</v>
      </c>
      <c r="AE832">
        <v>0</v>
      </c>
      <c r="AF832">
        <v>97197</v>
      </c>
    </row>
    <row r="833" spans="18:32" x14ac:dyDescent="0.25">
      <c r="R833">
        <v>97157</v>
      </c>
      <c r="S833" t="s">
        <v>946</v>
      </c>
      <c r="T833" t="s">
        <v>804</v>
      </c>
      <c r="U833" t="str">
        <f t="shared" si="94"/>
        <v>DSRU132</v>
      </c>
      <c r="W833" t="str">
        <f t="shared" si="95"/>
        <v>DSRU132T1</v>
      </c>
      <c r="X833">
        <v>4.4941000000000004</v>
      </c>
      <c r="Z833" t="s">
        <v>946</v>
      </c>
      <c r="AA833" t="s">
        <v>804</v>
      </c>
      <c r="AB833" t="s">
        <v>2620</v>
      </c>
      <c r="AD833" t="s">
        <v>2621</v>
      </c>
      <c r="AE833">
        <v>4.4941000000000004</v>
      </c>
      <c r="AF833">
        <v>97157</v>
      </c>
    </row>
    <row r="834" spans="18:32" x14ac:dyDescent="0.25">
      <c r="R834">
        <v>97157</v>
      </c>
      <c r="S834" t="s">
        <v>946</v>
      </c>
      <c r="T834" t="s">
        <v>807</v>
      </c>
      <c r="U834" t="str">
        <f t="shared" si="94"/>
        <v>DSRU132</v>
      </c>
      <c r="W834" t="str">
        <f t="shared" si="95"/>
        <v>DSRU132T2</v>
      </c>
      <c r="X834">
        <v>6.4635999999999996</v>
      </c>
      <c r="Z834" t="s">
        <v>946</v>
      </c>
      <c r="AA834" t="s">
        <v>807</v>
      </c>
      <c r="AB834" t="s">
        <v>2620</v>
      </c>
      <c r="AD834" t="s">
        <v>2622</v>
      </c>
      <c r="AE834">
        <v>6.4635999999999996</v>
      </c>
      <c r="AF834">
        <v>97157</v>
      </c>
    </row>
    <row r="835" spans="18:32" x14ac:dyDescent="0.25">
      <c r="R835">
        <v>97176</v>
      </c>
      <c r="S835" t="s">
        <v>961</v>
      </c>
      <c r="T835" t="s">
        <v>804</v>
      </c>
      <c r="U835" t="str">
        <f t="shared" si="94"/>
        <v>FCTR132</v>
      </c>
      <c r="W835" t="str">
        <f t="shared" si="95"/>
        <v>FCTR132T1</v>
      </c>
      <c r="X835">
        <v>37.785299999999999</v>
      </c>
      <c r="Z835" t="s">
        <v>961</v>
      </c>
      <c r="AA835" t="s">
        <v>804</v>
      </c>
      <c r="AB835" t="s">
        <v>2623</v>
      </c>
      <c r="AD835" t="s">
        <v>2624</v>
      </c>
      <c r="AE835">
        <v>37.785299999999999</v>
      </c>
      <c r="AF835">
        <v>97176</v>
      </c>
    </row>
    <row r="836" spans="18:32" x14ac:dyDescent="0.25">
      <c r="R836">
        <v>97176</v>
      </c>
      <c r="S836" t="s">
        <v>961</v>
      </c>
      <c r="T836" t="s">
        <v>807</v>
      </c>
      <c r="U836" t="str">
        <f t="shared" ref="U836:U899" si="96">LEFT(S836,7)</f>
        <v>FCTR132</v>
      </c>
      <c r="W836" t="str">
        <f t="shared" ref="W836:W899" si="97">U836&amp;T836</f>
        <v>FCTR132T2</v>
      </c>
      <c r="X836">
        <v>39.121099999999998</v>
      </c>
      <c r="Z836" t="s">
        <v>961</v>
      </c>
      <c r="AA836" t="s">
        <v>807</v>
      </c>
      <c r="AB836" t="s">
        <v>2623</v>
      </c>
      <c r="AD836" t="s">
        <v>2625</v>
      </c>
      <c r="AE836">
        <v>39.121099999999998</v>
      </c>
      <c r="AF836">
        <v>97176</v>
      </c>
    </row>
    <row r="837" spans="18:32" x14ac:dyDescent="0.25">
      <c r="R837">
        <v>97187</v>
      </c>
      <c r="S837" t="s">
        <v>976</v>
      </c>
      <c r="T837" t="s">
        <v>804</v>
      </c>
      <c r="U837" t="str">
        <f t="shared" si="96"/>
        <v>GPTH132</v>
      </c>
      <c r="W837" t="str">
        <f t="shared" si="97"/>
        <v>GPTH132T1</v>
      </c>
      <c r="X837">
        <v>6.9481999999999999</v>
      </c>
      <c r="Z837" t="s">
        <v>976</v>
      </c>
      <c r="AA837" t="s">
        <v>804</v>
      </c>
      <c r="AB837" t="s">
        <v>2626</v>
      </c>
      <c r="AD837" t="s">
        <v>2627</v>
      </c>
      <c r="AE837">
        <v>6.9481999999999999</v>
      </c>
      <c r="AF837">
        <v>97187</v>
      </c>
    </row>
    <row r="838" spans="18:32" x14ac:dyDescent="0.25">
      <c r="R838">
        <v>97187</v>
      </c>
      <c r="S838" t="s">
        <v>976</v>
      </c>
      <c r="T838" t="s">
        <v>807</v>
      </c>
      <c r="U838" t="str">
        <f t="shared" si="96"/>
        <v>GPTH132</v>
      </c>
      <c r="W838" t="str">
        <f t="shared" si="97"/>
        <v>GPTH132T2</v>
      </c>
      <c r="X838">
        <v>6.9181999999999997</v>
      </c>
      <c r="Z838" t="s">
        <v>976</v>
      </c>
      <c r="AA838" t="s">
        <v>807</v>
      </c>
      <c r="AB838" t="s">
        <v>2626</v>
      </c>
      <c r="AD838" t="s">
        <v>2628</v>
      </c>
      <c r="AE838">
        <v>6.9181999999999997</v>
      </c>
      <c r="AF838">
        <v>97187</v>
      </c>
    </row>
    <row r="839" spans="18:32" x14ac:dyDescent="0.25">
      <c r="R839">
        <v>97187</v>
      </c>
      <c r="S839" t="s">
        <v>976</v>
      </c>
      <c r="T839" t="s">
        <v>808</v>
      </c>
      <c r="U839" t="str">
        <f t="shared" si="96"/>
        <v>GPTH132</v>
      </c>
      <c r="W839" t="str">
        <f t="shared" si="97"/>
        <v>GPTH132T3</v>
      </c>
      <c r="X839">
        <v>38.513300000000001</v>
      </c>
      <c r="Z839" t="s">
        <v>976</v>
      </c>
      <c r="AA839" t="s">
        <v>808</v>
      </c>
      <c r="AB839" t="s">
        <v>2626</v>
      </c>
      <c r="AD839" t="s">
        <v>2629</v>
      </c>
      <c r="AE839">
        <v>38.513300000000001</v>
      </c>
      <c r="AF839">
        <v>97187</v>
      </c>
    </row>
    <row r="840" spans="18:32" x14ac:dyDescent="0.25">
      <c r="R840">
        <v>97187</v>
      </c>
      <c r="S840" t="s">
        <v>976</v>
      </c>
      <c r="T840" t="s">
        <v>809</v>
      </c>
      <c r="U840" t="str">
        <f t="shared" si="96"/>
        <v>GPTH132</v>
      </c>
      <c r="W840" t="str">
        <f t="shared" si="97"/>
        <v>GPTH132T4</v>
      </c>
      <c r="X840">
        <v>38.445</v>
      </c>
      <c r="Z840" t="s">
        <v>976</v>
      </c>
      <c r="AA840" t="s">
        <v>809</v>
      </c>
      <c r="AB840" t="s">
        <v>2626</v>
      </c>
      <c r="AD840" t="s">
        <v>2630</v>
      </c>
      <c r="AE840">
        <v>38.445</v>
      </c>
      <c r="AF840">
        <v>97187</v>
      </c>
    </row>
    <row r="841" spans="18:32" x14ac:dyDescent="0.25">
      <c r="R841">
        <v>97105</v>
      </c>
      <c r="S841" t="s">
        <v>979</v>
      </c>
      <c r="T841" t="s">
        <v>804</v>
      </c>
      <c r="U841" t="str">
        <f t="shared" si="96"/>
        <v>GRSK132</v>
      </c>
      <c r="W841" t="str">
        <f t="shared" si="97"/>
        <v>GRSK132T1</v>
      </c>
      <c r="X841">
        <v>12.008699999999999</v>
      </c>
      <c r="Z841" t="s">
        <v>979</v>
      </c>
      <c r="AA841" t="s">
        <v>804</v>
      </c>
      <c r="AB841" t="s">
        <v>1520</v>
      </c>
      <c r="AD841" t="s">
        <v>2631</v>
      </c>
      <c r="AE841">
        <v>12.008699999999999</v>
      </c>
      <c r="AF841">
        <v>97105</v>
      </c>
    </row>
    <row r="842" spans="18:32" x14ac:dyDescent="0.25">
      <c r="R842">
        <v>97105</v>
      </c>
      <c r="S842" t="s">
        <v>979</v>
      </c>
      <c r="T842" t="s">
        <v>807</v>
      </c>
      <c r="U842" t="str">
        <f t="shared" si="96"/>
        <v>GRSK132</v>
      </c>
      <c r="W842" t="str">
        <f t="shared" si="97"/>
        <v>GRSK132T2</v>
      </c>
      <c r="X842">
        <v>11.980700000000001</v>
      </c>
      <c r="Z842" t="s">
        <v>979</v>
      </c>
      <c r="AA842" t="s">
        <v>807</v>
      </c>
      <c r="AB842" t="s">
        <v>1520</v>
      </c>
      <c r="AD842" t="s">
        <v>2632</v>
      </c>
      <c r="AE842">
        <v>11.980700000000001</v>
      </c>
      <c r="AF842">
        <v>97105</v>
      </c>
    </row>
    <row r="843" spans="18:32" x14ac:dyDescent="0.25">
      <c r="R843">
        <v>97253</v>
      </c>
      <c r="S843" t="s">
        <v>981</v>
      </c>
      <c r="T843" t="s">
        <v>804</v>
      </c>
      <c r="U843" t="str">
        <f t="shared" si="96"/>
        <v>GSDC275</v>
      </c>
      <c r="W843" t="str">
        <f t="shared" si="97"/>
        <v>GSDC275T1</v>
      </c>
      <c r="X843">
        <v>0</v>
      </c>
      <c r="Z843" t="s">
        <v>981</v>
      </c>
      <c r="AA843" t="s">
        <v>804</v>
      </c>
      <c r="AB843" t="s">
        <v>2633</v>
      </c>
      <c r="AD843" t="s">
        <v>2634</v>
      </c>
      <c r="AE843">
        <v>0</v>
      </c>
      <c r="AF843">
        <v>97253</v>
      </c>
    </row>
    <row r="844" spans="18:32" x14ac:dyDescent="0.25">
      <c r="R844">
        <v>97253</v>
      </c>
      <c r="S844" t="s">
        <v>981</v>
      </c>
      <c r="T844" t="s">
        <v>807</v>
      </c>
      <c r="U844" t="str">
        <f t="shared" si="96"/>
        <v>GSDC275</v>
      </c>
      <c r="W844" t="str">
        <f t="shared" si="97"/>
        <v>GSDC275T2</v>
      </c>
      <c r="X844">
        <v>0</v>
      </c>
      <c r="Z844" t="s">
        <v>981</v>
      </c>
      <c r="AA844" t="s">
        <v>807</v>
      </c>
      <c r="AB844" t="s">
        <v>2633</v>
      </c>
      <c r="AD844" t="s">
        <v>2635</v>
      </c>
      <c r="AE844">
        <v>0</v>
      </c>
      <c r="AF844">
        <v>97253</v>
      </c>
    </row>
    <row r="845" spans="18:32" x14ac:dyDescent="0.25">
      <c r="R845">
        <v>97253</v>
      </c>
      <c r="S845" t="s">
        <v>981</v>
      </c>
      <c r="T845" t="s">
        <v>808</v>
      </c>
      <c r="U845" t="str">
        <f t="shared" si="96"/>
        <v>GSDC275</v>
      </c>
      <c r="W845" t="str">
        <f t="shared" si="97"/>
        <v>GSDC275T3</v>
      </c>
      <c r="X845">
        <v>0</v>
      </c>
      <c r="Z845" t="s">
        <v>981</v>
      </c>
      <c r="AA845" t="s">
        <v>808</v>
      </c>
      <c r="AB845" t="s">
        <v>2633</v>
      </c>
      <c r="AD845" t="s">
        <v>2636</v>
      </c>
      <c r="AE845">
        <v>0</v>
      </c>
      <c r="AF845">
        <v>97253</v>
      </c>
    </row>
    <row r="846" spans="18:32" x14ac:dyDescent="0.25">
      <c r="R846">
        <v>97253</v>
      </c>
      <c r="S846" t="s">
        <v>981</v>
      </c>
      <c r="T846" t="s">
        <v>809</v>
      </c>
      <c r="U846" t="str">
        <f t="shared" si="96"/>
        <v>GSDC275</v>
      </c>
      <c r="W846" t="str">
        <f t="shared" si="97"/>
        <v>GSDC275T4</v>
      </c>
      <c r="X846">
        <v>0</v>
      </c>
      <c r="Z846" t="s">
        <v>981</v>
      </c>
      <c r="AA846" t="s">
        <v>809</v>
      </c>
      <c r="AB846" t="s">
        <v>2633</v>
      </c>
      <c r="AD846" t="s">
        <v>2637</v>
      </c>
      <c r="AE846">
        <v>0</v>
      </c>
      <c r="AF846">
        <v>97253</v>
      </c>
    </row>
    <row r="847" spans="18:32" x14ac:dyDescent="0.25">
      <c r="R847">
        <v>97407</v>
      </c>
      <c r="S847" t="s">
        <v>986</v>
      </c>
      <c r="T847" t="s">
        <v>804</v>
      </c>
      <c r="U847" t="str">
        <f t="shared" si="96"/>
        <v>GWDC132</v>
      </c>
      <c r="W847" t="str">
        <f t="shared" si="97"/>
        <v>GWDC132T1</v>
      </c>
      <c r="X847">
        <v>30.381499999999999</v>
      </c>
      <c r="Z847" t="s">
        <v>986</v>
      </c>
      <c r="AA847" t="s">
        <v>804</v>
      </c>
      <c r="AB847" t="s">
        <v>2638</v>
      </c>
      <c r="AD847" t="s">
        <v>2639</v>
      </c>
      <c r="AE847">
        <v>30.381499999999999</v>
      </c>
      <c r="AF847">
        <v>97407</v>
      </c>
    </row>
    <row r="848" spans="18:32" x14ac:dyDescent="0.25">
      <c r="R848">
        <v>97407</v>
      </c>
      <c r="S848" t="s">
        <v>986</v>
      </c>
      <c r="T848" t="s">
        <v>807</v>
      </c>
      <c r="U848" t="str">
        <f t="shared" si="96"/>
        <v>GWDC132</v>
      </c>
      <c r="W848" t="str">
        <f t="shared" si="97"/>
        <v>GWDC132T2</v>
      </c>
      <c r="X848">
        <v>27.8963</v>
      </c>
      <c r="Z848" t="s">
        <v>986</v>
      </c>
      <c r="AA848" t="s">
        <v>807</v>
      </c>
      <c r="AB848" t="s">
        <v>2638</v>
      </c>
      <c r="AD848" t="s">
        <v>2640</v>
      </c>
      <c r="AE848">
        <v>27.8963</v>
      </c>
      <c r="AF848">
        <v>97407</v>
      </c>
    </row>
    <row r="849" spans="18:32" x14ac:dyDescent="0.25">
      <c r="R849">
        <v>97194</v>
      </c>
      <c r="S849" t="s">
        <v>1010</v>
      </c>
      <c r="T849" t="s">
        <v>804</v>
      </c>
      <c r="U849" t="str">
        <f t="shared" si="96"/>
        <v>JBSK132</v>
      </c>
      <c r="W849" t="str">
        <f t="shared" si="97"/>
        <v>JBSK132T1</v>
      </c>
      <c r="X849">
        <v>25.7425</v>
      </c>
      <c r="Z849" t="s">
        <v>1010</v>
      </c>
      <c r="AA849" t="s">
        <v>804</v>
      </c>
      <c r="AB849" t="s">
        <v>2641</v>
      </c>
      <c r="AD849" t="s">
        <v>2642</v>
      </c>
      <c r="AE849">
        <v>25.7425</v>
      </c>
      <c r="AF849">
        <v>97194</v>
      </c>
    </row>
    <row r="850" spans="18:32" x14ac:dyDescent="0.25">
      <c r="R850">
        <v>97194</v>
      </c>
      <c r="S850" t="s">
        <v>1010</v>
      </c>
      <c r="T850" t="s">
        <v>807</v>
      </c>
      <c r="U850" t="str">
        <f t="shared" si="96"/>
        <v>JBSK132</v>
      </c>
      <c r="W850" t="str">
        <f t="shared" si="97"/>
        <v>JBSK132T2</v>
      </c>
      <c r="X850">
        <v>25.254799999999999</v>
      </c>
      <c r="Z850" t="s">
        <v>1010</v>
      </c>
      <c r="AA850" t="s">
        <v>807</v>
      </c>
      <c r="AB850" t="s">
        <v>2641</v>
      </c>
      <c r="AD850" t="s">
        <v>2643</v>
      </c>
      <c r="AE850">
        <v>25.254799999999999</v>
      </c>
      <c r="AF850">
        <v>97194</v>
      </c>
    </row>
    <row r="851" spans="18:32" x14ac:dyDescent="0.25">
      <c r="R851">
        <v>97150</v>
      </c>
      <c r="S851" t="s">
        <v>1016</v>
      </c>
      <c r="T851" t="s">
        <v>804</v>
      </c>
      <c r="U851" t="str">
        <f t="shared" si="96"/>
        <v>JMTH132</v>
      </c>
      <c r="W851" t="str">
        <f t="shared" si="97"/>
        <v>JMTH132T1</v>
      </c>
      <c r="X851">
        <v>6.3890000000000002</v>
      </c>
      <c r="Z851" t="s">
        <v>1016</v>
      </c>
      <c r="AA851" t="s">
        <v>804</v>
      </c>
      <c r="AB851" t="s">
        <v>1505</v>
      </c>
      <c r="AD851" t="s">
        <v>2644</v>
      </c>
      <c r="AE851">
        <v>6.3890000000000002</v>
      </c>
      <c r="AF851">
        <v>97150</v>
      </c>
    </row>
    <row r="852" spans="18:32" x14ac:dyDescent="0.25">
      <c r="R852">
        <v>97150</v>
      </c>
      <c r="S852" t="s">
        <v>1016</v>
      </c>
      <c r="T852" t="s">
        <v>807</v>
      </c>
      <c r="U852" t="str">
        <f t="shared" si="96"/>
        <v>JMTH132</v>
      </c>
      <c r="W852" t="str">
        <f t="shared" si="97"/>
        <v>JMTH132T2</v>
      </c>
      <c r="X852">
        <v>7.5384000000000002</v>
      </c>
      <c r="Z852" t="s">
        <v>1016</v>
      </c>
      <c r="AA852" t="s">
        <v>807</v>
      </c>
      <c r="AB852" t="s">
        <v>1505</v>
      </c>
      <c r="AD852" t="s">
        <v>2645</v>
      </c>
      <c r="AE852">
        <v>7.5384000000000002</v>
      </c>
      <c r="AF852">
        <v>97150</v>
      </c>
    </row>
    <row r="853" spans="18:32" x14ac:dyDescent="0.25">
      <c r="R853">
        <v>97110</v>
      </c>
      <c r="S853" t="s">
        <v>1020</v>
      </c>
      <c r="T853" t="s">
        <v>804</v>
      </c>
      <c r="U853" t="str">
        <f t="shared" si="96"/>
        <v>JTGH132</v>
      </c>
      <c r="W853" t="str">
        <f t="shared" si="97"/>
        <v>JTGH132T1</v>
      </c>
      <c r="X853">
        <v>12.193</v>
      </c>
      <c r="Z853" t="s">
        <v>1020</v>
      </c>
      <c r="AA853" t="s">
        <v>804</v>
      </c>
      <c r="AB853" t="s">
        <v>1447</v>
      </c>
      <c r="AD853" t="s">
        <v>2646</v>
      </c>
      <c r="AE853">
        <v>12.193</v>
      </c>
      <c r="AF853">
        <v>97110</v>
      </c>
    </row>
    <row r="854" spans="18:32" x14ac:dyDescent="0.25">
      <c r="R854">
        <v>97110</v>
      </c>
      <c r="S854" t="s">
        <v>1020</v>
      </c>
      <c r="T854" t="s">
        <v>807</v>
      </c>
      <c r="U854" t="str">
        <f t="shared" si="96"/>
        <v>JTGH132</v>
      </c>
      <c r="W854" t="str">
        <f t="shared" si="97"/>
        <v>JTGH132T2</v>
      </c>
      <c r="X854">
        <v>12.245799999999999</v>
      </c>
      <c r="Z854" t="s">
        <v>1020</v>
      </c>
      <c r="AA854" t="s">
        <v>807</v>
      </c>
      <c r="AB854" t="s">
        <v>1447</v>
      </c>
      <c r="AD854" t="s">
        <v>2647</v>
      </c>
      <c r="AE854">
        <v>12.245799999999999</v>
      </c>
      <c r="AF854">
        <v>97110</v>
      </c>
    </row>
    <row r="855" spans="18:32" x14ac:dyDescent="0.25">
      <c r="R855">
        <v>97173</v>
      </c>
      <c r="S855" t="s">
        <v>1024</v>
      </c>
      <c r="T855" t="s">
        <v>804</v>
      </c>
      <c r="U855" t="str">
        <f t="shared" si="96"/>
        <v>KBEK132</v>
      </c>
      <c r="W855" t="str">
        <f t="shared" si="97"/>
        <v>KBEK132T1</v>
      </c>
      <c r="X855">
        <v>0.23200000000000001</v>
      </c>
      <c r="Z855" t="s">
        <v>1024</v>
      </c>
      <c r="AA855" t="s">
        <v>804</v>
      </c>
      <c r="AB855" t="s">
        <v>2648</v>
      </c>
      <c r="AD855" t="s">
        <v>2649</v>
      </c>
      <c r="AE855">
        <v>0.23200000000000001</v>
      </c>
      <c r="AF855">
        <v>97173</v>
      </c>
    </row>
    <row r="856" spans="18:32" x14ac:dyDescent="0.25">
      <c r="R856">
        <v>97173</v>
      </c>
      <c r="S856" t="s">
        <v>1024</v>
      </c>
      <c r="T856" t="s">
        <v>807</v>
      </c>
      <c r="U856" t="str">
        <f t="shared" si="96"/>
        <v>KBEK132</v>
      </c>
      <c r="W856" t="str">
        <f t="shared" si="97"/>
        <v>KBEK132T2</v>
      </c>
      <c r="X856">
        <v>0.82320000000000004</v>
      </c>
      <c r="Z856" t="s">
        <v>1024</v>
      </c>
      <c r="AA856" t="s">
        <v>807</v>
      </c>
      <c r="AB856" t="s">
        <v>2648</v>
      </c>
      <c r="AD856" t="s">
        <v>2650</v>
      </c>
      <c r="AE856">
        <v>0.82320000000000004</v>
      </c>
      <c r="AF856">
        <v>97173</v>
      </c>
    </row>
    <row r="857" spans="18:32" x14ac:dyDescent="0.25">
      <c r="R857">
        <v>97168</v>
      </c>
      <c r="S857" t="s">
        <v>1053</v>
      </c>
      <c r="T857" t="s">
        <v>804</v>
      </c>
      <c r="U857" t="str">
        <f t="shared" si="96"/>
        <v>KKUP132</v>
      </c>
      <c r="W857" t="str">
        <f t="shared" si="97"/>
        <v>KKUP132T1</v>
      </c>
      <c r="X857">
        <v>2.6663999999999999</v>
      </c>
      <c r="Z857" t="s">
        <v>1053</v>
      </c>
      <c r="AA857" t="s">
        <v>804</v>
      </c>
      <c r="AB857" t="s">
        <v>2651</v>
      </c>
      <c r="AD857" t="s">
        <v>2652</v>
      </c>
      <c r="AE857">
        <v>2.6663999999999999</v>
      </c>
      <c r="AF857">
        <v>97168</v>
      </c>
    </row>
    <row r="858" spans="18:32" x14ac:dyDescent="0.25">
      <c r="R858">
        <v>97168</v>
      </c>
      <c r="S858" t="s">
        <v>1053</v>
      </c>
      <c r="T858" t="s">
        <v>807</v>
      </c>
      <c r="U858" t="str">
        <f t="shared" si="96"/>
        <v>KKUP132</v>
      </c>
      <c r="W858" t="str">
        <f t="shared" si="97"/>
        <v>KKUP132T2</v>
      </c>
      <c r="X858">
        <v>4.6753</v>
      </c>
      <c r="Z858" t="s">
        <v>1053</v>
      </c>
      <c r="AA858" t="s">
        <v>807</v>
      </c>
      <c r="AB858" t="s">
        <v>2651</v>
      </c>
      <c r="AD858" t="s">
        <v>2653</v>
      </c>
      <c r="AE858">
        <v>4.6753</v>
      </c>
      <c r="AF858">
        <v>97168</v>
      </c>
    </row>
    <row r="859" spans="18:32" x14ac:dyDescent="0.25">
      <c r="R859">
        <v>97112</v>
      </c>
      <c r="S859" t="s">
        <v>1055</v>
      </c>
      <c r="T859" t="s">
        <v>804</v>
      </c>
      <c r="U859" t="str">
        <f t="shared" si="96"/>
        <v>KLAI132</v>
      </c>
      <c r="W859" t="str">
        <f t="shared" si="97"/>
        <v>KLAI132T1</v>
      </c>
      <c r="X859">
        <v>0</v>
      </c>
      <c r="Z859" t="s">
        <v>1055</v>
      </c>
      <c r="AA859" t="s">
        <v>804</v>
      </c>
      <c r="AB859" t="s">
        <v>1569</v>
      </c>
      <c r="AD859" t="s">
        <v>2654</v>
      </c>
      <c r="AE859">
        <v>0</v>
      </c>
      <c r="AF859">
        <v>97112</v>
      </c>
    </row>
    <row r="860" spans="18:32" x14ac:dyDescent="0.25">
      <c r="R860">
        <v>597112</v>
      </c>
      <c r="S860" t="s">
        <v>1056</v>
      </c>
      <c r="T860" t="s">
        <v>807</v>
      </c>
      <c r="U860" t="str">
        <f>LEFT(S860,8)</f>
        <v>KLAI132R</v>
      </c>
      <c r="W860" t="str">
        <f t="shared" si="97"/>
        <v>KLAI132RT2</v>
      </c>
      <c r="X860">
        <v>20.135300000000001</v>
      </c>
      <c r="Z860" t="s">
        <v>1056</v>
      </c>
      <c r="AA860" t="s">
        <v>807</v>
      </c>
      <c r="AB860" t="str">
        <f>LEFT(Z860,8)</f>
        <v>KLAI132R</v>
      </c>
      <c r="AD860" t="str">
        <f t="shared" ref="AD860" si="98">AB860&amp;AA860</f>
        <v>KLAI132RT2</v>
      </c>
      <c r="AE860">
        <v>20.135300000000001</v>
      </c>
      <c r="AF860">
        <v>597112</v>
      </c>
    </row>
    <row r="861" spans="18:32" x14ac:dyDescent="0.25">
      <c r="R861">
        <v>97149</v>
      </c>
      <c r="S861" t="s">
        <v>1064</v>
      </c>
      <c r="T861" t="s">
        <v>804</v>
      </c>
      <c r="U861" t="str">
        <f t="shared" si="96"/>
        <v>KLID132</v>
      </c>
      <c r="W861" t="str">
        <f t="shared" si="97"/>
        <v>KLID132T1</v>
      </c>
      <c r="X861">
        <v>10.126099999999999</v>
      </c>
      <c r="Z861" t="s">
        <v>1064</v>
      </c>
      <c r="AA861" t="s">
        <v>804</v>
      </c>
      <c r="AB861" t="s">
        <v>1608</v>
      </c>
      <c r="AD861" t="s">
        <v>2655</v>
      </c>
      <c r="AE861">
        <v>10.126099999999999</v>
      </c>
      <c r="AF861">
        <v>97149</v>
      </c>
    </row>
    <row r="862" spans="18:32" x14ac:dyDescent="0.25">
      <c r="R862">
        <v>97149</v>
      </c>
      <c r="S862" t="s">
        <v>1064</v>
      </c>
      <c r="T862" t="s">
        <v>807</v>
      </c>
      <c r="U862" t="str">
        <f t="shared" si="96"/>
        <v>KLID132</v>
      </c>
      <c r="W862" t="str">
        <f t="shared" si="97"/>
        <v>KLID132T2</v>
      </c>
      <c r="X862">
        <v>10.852</v>
      </c>
      <c r="Z862" t="s">
        <v>1064</v>
      </c>
      <c r="AA862" t="s">
        <v>807</v>
      </c>
      <c r="AB862" t="s">
        <v>1608</v>
      </c>
      <c r="AD862" t="s">
        <v>2656</v>
      </c>
      <c r="AE862">
        <v>10.852</v>
      </c>
      <c r="AF862">
        <v>97149</v>
      </c>
    </row>
    <row r="863" spans="18:32" x14ac:dyDescent="0.25">
      <c r="R863">
        <v>97149</v>
      </c>
      <c r="S863" t="s">
        <v>1064</v>
      </c>
      <c r="T863" t="s">
        <v>808</v>
      </c>
      <c r="U863" t="str">
        <f t="shared" si="96"/>
        <v>KLID132</v>
      </c>
      <c r="W863" t="str">
        <f t="shared" si="97"/>
        <v>KLID132T3</v>
      </c>
      <c r="X863">
        <v>6.3331</v>
      </c>
      <c r="Z863" t="s">
        <v>1064</v>
      </c>
      <c r="AA863" t="s">
        <v>808</v>
      </c>
      <c r="AB863" t="s">
        <v>1608</v>
      </c>
      <c r="AD863" t="s">
        <v>2657</v>
      </c>
      <c r="AE863">
        <v>6.3331</v>
      </c>
      <c r="AF863">
        <v>97149</v>
      </c>
    </row>
    <row r="864" spans="18:32" x14ac:dyDescent="0.25">
      <c r="R864">
        <v>97149</v>
      </c>
      <c r="S864" t="s">
        <v>1064</v>
      </c>
      <c r="T864" t="s">
        <v>809</v>
      </c>
      <c r="U864" t="str">
        <f t="shared" si="96"/>
        <v>KLID132</v>
      </c>
      <c r="W864" t="str">
        <f t="shared" si="97"/>
        <v>KLID132T4</v>
      </c>
      <c r="X864">
        <v>10.1158</v>
      </c>
      <c r="Z864" t="s">
        <v>1064</v>
      </c>
      <c r="AA864" t="s">
        <v>809</v>
      </c>
      <c r="AB864" t="s">
        <v>1608</v>
      </c>
      <c r="AD864" t="s">
        <v>2658</v>
      </c>
      <c r="AE864">
        <v>10.1158</v>
      </c>
      <c r="AF864">
        <v>97149</v>
      </c>
    </row>
    <row r="865" spans="18:32" x14ac:dyDescent="0.25">
      <c r="R865">
        <v>97109</v>
      </c>
      <c r="S865" t="s">
        <v>1071</v>
      </c>
      <c r="T865" t="s">
        <v>804</v>
      </c>
      <c r="U865" t="str">
        <f t="shared" si="96"/>
        <v>KLUG132</v>
      </c>
      <c r="W865" t="str">
        <f t="shared" si="97"/>
        <v>KLUG132T1</v>
      </c>
      <c r="X865">
        <v>8.5646000000000004</v>
      </c>
      <c r="Z865" t="s">
        <v>1071</v>
      </c>
      <c r="AA865" t="s">
        <v>804</v>
      </c>
      <c r="AB865" t="s">
        <v>1541</v>
      </c>
      <c r="AD865" t="s">
        <v>2659</v>
      </c>
      <c r="AE865">
        <v>8.5646000000000004</v>
      </c>
      <c r="AF865">
        <v>97109</v>
      </c>
    </row>
    <row r="866" spans="18:32" x14ac:dyDescent="0.25">
      <c r="R866">
        <v>97109</v>
      </c>
      <c r="S866" t="s">
        <v>1071</v>
      </c>
      <c r="T866" t="s">
        <v>807</v>
      </c>
      <c r="U866" t="str">
        <f t="shared" si="96"/>
        <v>KLUG132</v>
      </c>
      <c r="W866" t="str">
        <f t="shared" si="97"/>
        <v>KLUG132T2</v>
      </c>
      <c r="X866">
        <v>8.2529000000000003</v>
      </c>
      <c r="Z866" t="s">
        <v>1071</v>
      </c>
      <c r="AA866" t="s">
        <v>807</v>
      </c>
      <c r="AB866" t="s">
        <v>1541</v>
      </c>
      <c r="AD866" t="s">
        <v>2660</v>
      </c>
      <c r="AE866">
        <v>8.2529000000000003</v>
      </c>
      <c r="AF866">
        <v>97109</v>
      </c>
    </row>
    <row r="867" spans="18:32" x14ac:dyDescent="0.25">
      <c r="R867">
        <v>97109</v>
      </c>
      <c r="S867" t="s">
        <v>1071</v>
      </c>
      <c r="T867" t="s">
        <v>808</v>
      </c>
      <c r="U867" t="str">
        <f t="shared" si="96"/>
        <v>KLUG132</v>
      </c>
      <c r="W867" t="str">
        <f t="shared" si="97"/>
        <v>KLUG132T3</v>
      </c>
      <c r="X867">
        <v>12.4208</v>
      </c>
      <c r="Z867" t="s">
        <v>1071</v>
      </c>
      <c r="AA867" t="s">
        <v>808</v>
      </c>
      <c r="AB867" t="s">
        <v>1541</v>
      </c>
      <c r="AD867" t="s">
        <v>2661</v>
      </c>
      <c r="AE867">
        <v>12.4208</v>
      </c>
      <c r="AF867">
        <v>97109</v>
      </c>
    </row>
    <row r="868" spans="18:32" x14ac:dyDescent="0.25">
      <c r="R868">
        <v>97109</v>
      </c>
      <c r="S868" t="s">
        <v>1071</v>
      </c>
      <c r="T868" t="s">
        <v>809</v>
      </c>
      <c r="U868" t="str">
        <f t="shared" si="96"/>
        <v>KLUG132</v>
      </c>
      <c r="W868" t="str">
        <f t="shared" si="97"/>
        <v>KLUG132T4</v>
      </c>
      <c r="X868">
        <v>12.4125</v>
      </c>
      <c r="Z868" t="s">
        <v>1071</v>
      </c>
      <c r="AA868" t="s">
        <v>809</v>
      </c>
      <c r="AB868" t="s">
        <v>1541</v>
      </c>
      <c r="AD868" t="s">
        <v>2662</v>
      </c>
      <c r="AE868">
        <v>12.4125</v>
      </c>
      <c r="AF868">
        <v>97109</v>
      </c>
    </row>
    <row r="869" spans="18:32" x14ac:dyDescent="0.25">
      <c r="R869">
        <v>97132</v>
      </c>
      <c r="S869" t="s">
        <v>1080</v>
      </c>
      <c r="T869" t="s">
        <v>804</v>
      </c>
      <c r="U869" t="str">
        <f t="shared" si="96"/>
        <v>KPTR132</v>
      </c>
      <c r="W869" t="str">
        <f t="shared" si="97"/>
        <v>KPTR132T1</v>
      </c>
      <c r="X869">
        <v>11.7539</v>
      </c>
      <c r="Z869" t="s">
        <v>1080</v>
      </c>
      <c r="AA869" t="s">
        <v>804</v>
      </c>
      <c r="AB869" t="s">
        <v>1521</v>
      </c>
      <c r="AD869" t="s">
        <v>2663</v>
      </c>
      <c r="AE869">
        <v>11.7539</v>
      </c>
      <c r="AF869">
        <v>97132</v>
      </c>
    </row>
    <row r="870" spans="18:32" x14ac:dyDescent="0.25">
      <c r="R870">
        <v>97132</v>
      </c>
      <c r="S870" t="s">
        <v>1080</v>
      </c>
      <c r="T870" t="s">
        <v>807</v>
      </c>
      <c r="U870" t="str">
        <f t="shared" si="96"/>
        <v>KPTR132</v>
      </c>
      <c r="W870" t="str">
        <f t="shared" si="97"/>
        <v>KPTR132T2</v>
      </c>
      <c r="X870">
        <v>11.748799999999999</v>
      </c>
      <c r="Z870" t="s">
        <v>1080</v>
      </c>
      <c r="AA870" t="s">
        <v>807</v>
      </c>
      <c r="AB870" t="s">
        <v>1521</v>
      </c>
      <c r="AD870" t="s">
        <v>2664</v>
      </c>
      <c r="AE870">
        <v>11.748799999999999</v>
      </c>
      <c r="AF870">
        <v>97132</v>
      </c>
    </row>
    <row r="871" spans="18:32" x14ac:dyDescent="0.25">
      <c r="R871">
        <v>97158</v>
      </c>
      <c r="S871" t="s">
        <v>1094</v>
      </c>
      <c r="T871" t="s">
        <v>823</v>
      </c>
      <c r="U871" t="str">
        <f t="shared" si="96"/>
        <v>KSNI132</v>
      </c>
      <c r="W871" t="str">
        <f t="shared" si="97"/>
        <v>KSNI132F1</v>
      </c>
      <c r="X871">
        <v>0</v>
      </c>
      <c r="Z871" t="s">
        <v>1094</v>
      </c>
      <c r="AA871" t="s">
        <v>823</v>
      </c>
      <c r="AB871" t="s">
        <v>2665</v>
      </c>
      <c r="AD871" t="s">
        <v>2666</v>
      </c>
      <c r="AE871">
        <v>0</v>
      </c>
      <c r="AF871">
        <v>97158</v>
      </c>
    </row>
    <row r="872" spans="18:32" x14ac:dyDescent="0.25">
      <c r="R872">
        <v>97158</v>
      </c>
      <c r="S872" t="s">
        <v>1094</v>
      </c>
      <c r="T872" t="s">
        <v>826</v>
      </c>
      <c r="U872" t="str">
        <f t="shared" si="96"/>
        <v>KSNI132</v>
      </c>
      <c r="W872" t="str">
        <f t="shared" si="97"/>
        <v>KSNI132F2</v>
      </c>
      <c r="X872">
        <v>0</v>
      </c>
      <c r="Z872" t="s">
        <v>1094</v>
      </c>
      <c r="AA872" t="s">
        <v>826</v>
      </c>
      <c r="AB872" t="s">
        <v>2665</v>
      </c>
      <c r="AD872" t="s">
        <v>2667</v>
      </c>
      <c r="AE872">
        <v>0</v>
      </c>
      <c r="AF872">
        <v>97158</v>
      </c>
    </row>
    <row r="873" spans="18:32" x14ac:dyDescent="0.25">
      <c r="R873">
        <v>97189</v>
      </c>
      <c r="S873" t="s">
        <v>1102</v>
      </c>
      <c r="T873" t="s">
        <v>804</v>
      </c>
      <c r="U873" t="str">
        <f t="shared" si="96"/>
        <v>KTBR132</v>
      </c>
      <c r="W873" t="str">
        <f t="shared" si="97"/>
        <v>KTBR132T1</v>
      </c>
      <c r="X873">
        <v>10.2173</v>
      </c>
      <c r="Z873" t="s">
        <v>1102</v>
      </c>
      <c r="AA873" t="s">
        <v>804</v>
      </c>
      <c r="AB873" t="s">
        <v>2668</v>
      </c>
      <c r="AD873" t="s">
        <v>2669</v>
      </c>
      <c r="AE873">
        <v>10.2173</v>
      </c>
      <c r="AF873">
        <v>97189</v>
      </c>
    </row>
    <row r="874" spans="18:32" x14ac:dyDescent="0.25">
      <c r="R874">
        <v>97189</v>
      </c>
      <c r="S874" t="s">
        <v>1102</v>
      </c>
      <c r="T874" t="s">
        <v>807</v>
      </c>
      <c r="U874" t="str">
        <f t="shared" si="96"/>
        <v>KTBR132</v>
      </c>
      <c r="W874" t="str">
        <f t="shared" si="97"/>
        <v>KTBR132T2</v>
      </c>
      <c r="X874">
        <v>10.707100000000001</v>
      </c>
      <c r="Z874" t="s">
        <v>1102</v>
      </c>
      <c r="AA874" t="s">
        <v>807</v>
      </c>
      <c r="AB874" t="s">
        <v>2668</v>
      </c>
      <c r="AD874" t="s">
        <v>2670</v>
      </c>
      <c r="AE874">
        <v>10.707100000000001</v>
      </c>
      <c r="AF874">
        <v>97189</v>
      </c>
    </row>
    <row r="875" spans="18:32" x14ac:dyDescent="0.25">
      <c r="R875">
        <v>97189</v>
      </c>
      <c r="S875" t="s">
        <v>1102</v>
      </c>
      <c r="T875" t="s">
        <v>808</v>
      </c>
      <c r="U875" t="str">
        <f t="shared" si="96"/>
        <v>KTBR132</v>
      </c>
      <c r="W875" t="str">
        <f t="shared" si="97"/>
        <v>KTBR132T3</v>
      </c>
      <c r="X875">
        <v>33.488</v>
      </c>
      <c r="Z875" t="s">
        <v>1102</v>
      </c>
      <c r="AA875" t="s">
        <v>808</v>
      </c>
      <c r="AB875" t="s">
        <v>2668</v>
      </c>
      <c r="AD875" t="s">
        <v>2671</v>
      </c>
      <c r="AE875">
        <v>33.488</v>
      </c>
      <c r="AF875">
        <v>97189</v>
      </c>
    </row>
    <row r="876" spans="18:32" x14ac:dyDescent="0.25">
      <c r="R876">
        <v>97189</v>
      </c>
      <c r="S876" t="s">
        <v>1102</v>
      </c>
      <c r="T876" t="s">
        <v>809</v>
      </c>
      <c r="U876" t="str">
        <f t="shared" si="96"/>
        <v>KTBR132</v>
      </c>
      <c r="W876" t="str">
        <f t="shared" si="97"/>
        <v>KTBR132T4</v>
      </c>
      <c r="X876">
        <v>33.032400000000003</v>
      </c>
      <c r="Z876" t="s">
        <v>1102</v>
      </c>
      <c r="AA876" t="s">
        <v>809</v>
      </c>
      <c r="AB876" t="s">
        <v>2668</v>
      </c>
      <c r="AD876" t="s">
        <v>2672</v>
      </c>
      <c r="AE876">
        <v>33.032400000000003</v>
      </c>
      <c r="AF876">
        <v>97189</v>
      </c>
    </row>
    <row r="877" spans="18:32" x14ac:dyDescent="0.25">
      <c r="R877">
        <v>97189</v>
      </c>
      <c r="S877" t="s">
        <v>1102</v>
      </c>
      <c r="T877" t="s">
        <v>810</v>
      </c>
      <c r="U877" t="str">
        <f t="shared" si="96"/>
        <v>KTBR132</v>
      </c>
      <c r="W877" t="str">
        <f t="shared" si="97"/>
        <v>KTBR132T5</v>
      </c>
      <c r="X877">
        <v>5.8598999999999997</v>
      </c>
      <c r="Z877" t="s">
        <v>1102</v>
      </c>
      <c r="AA877" t="s">
        <v>810</v>
      </c>
      <c r="AB877" t="s">
        <v>2668</v>
      </c>
      <c r="AD877" t="s">
        <v>2673</v>
      </c>
      <c r="AE877">
        <v>5.8598999999999997</v>
      </c>
      <c r="AF877">
        <v>97189</v>
      </c>
    </row>
    <row r="878" spans="18:32" x14ac:dyDescent="0.25">
      <c r="R878">
        <v>97189</v>
      </c>
      <c r="S878" t="s">
        <v>1102</v>
      </c>
      <c r="T878" t="s">
        <v>812</v>
      </c>
      <c r="U878" t="str">
        <f t="shared" si="96"/>
        <v>KTBR132</v>
      </c>
      <c r="W878" t="str">
        <f t="shared" si="97"/>
        <v>KTBR132T6</v>
      </c>
      <c r="X878">
        <v>5.7790999999999997</v>
      </c>
      <c r="Z878" t="s">
        <v>1102</v>
      </c>
      <c r="AA878" t="s">
        <v>812</v>
      </c>
      <c r="AB878" t="s">
        <v>2668</v>
      </c>
      <c r="AD878" t="s">
        <v>2674</v>
      </c>
      <c r="AE878">
        <v>5.7790999999999997</v>
      </c>
      <c r="AF878">
        <v>97189</v>
      </c>
    </row>
    <row r="879" spans="18:32" x14ac:dyDescent="0.25">
      <c r="R879">
        <v>97249</v>
      </c>
      <c r="S879" t="s">
        <v>1104</v>
      </c>
      <c r="T879" t="s">
        <v>804</v>
      </c>
      <c r="U879" t="str">
        <f t="shared" si="96"/>
        <v>KTDC275</v>
      </c>
      <c r="W879" t="str">
        <f t="shared" si="97"/>
        <v>KTDC275T1</v>
      </c>
      <c r="X879">
        <v>28.0517</v>
      </c>
      <c r="Z879" t="s">
        <v>1104</v>
      </c>
      <c r="AA879" t="s">
        <v>804</v>
      </c>
      <c r="AB879" t="s">
        <v>2675</v>
      </c>
      <c r="AD879" t="s">
        <v>2676</v>
      </c>
      <c r="AE879">
        <v>28.0517</v>
      </c>
      <c r="AF879">
        <v>97249</v>
      </c>
    </row>
    <row r="880" spans="18:32" x14ac:dyDescent="0.25">
      <c r="R880">
        <v>97249</v>
      </c>
      <c r="S880" t="s">
        <v>1104</v>
      </c>
      <c r="T880" t="s">
        <v>807</v>
      </c>
      <c r="U880" t="str">
        <f t="shared" si="96"/>
        <v>KTDC275</v>
      </c>
      <c r="W880" t="str">
        <f t="shared" si="97"/>
        <v>KTDC275T2</v>
      </c>
      <c r="X880">
        <v>22.905200000000001</v>
      </c>
      <c r="Z880" t="s">
        <v>1104</v>
      </c>
      <c r="AA880" t="s">
        <v>807</v>
      </c>
      <c r="AB880" t="s">
        <v>2675</v>
      </c>
      <c r="AD880" t="s">
        <v>2677</v>
      </c>
      <c r="AE880">
        <v>22.905200000000001</v>
      </c>
      <c r="AF880">
        <v>97249</v>
      </c>
    </row>
    <row r="881" spans="18:32" x14ac:dyDescent="0.25">
      <c r="R881">
        <v>97116</v>
      </c>
      <c r="S881" t="s">
        <v>1105</v>
      </c>
      <c r="T881" t="s">
        <v>808</v>
      </c>
      <c r="U881" t="str">
        <f t="shared" si="96"/>
        <v>KTGI132</v>
      </c>
      <c r="W881" t="str">
        <f t="shared" si="97"/>
        <v>KTGI132T3</v>
      </c>
      <c r="X881">
        <v>8.3232999999999997</v>
      </c>
      <c r="Z881" t="s">
        <v>1105</v>
      </c>
      <c r="AA881" t="s">
        <v>808</v>
      </c>
      <c r="AB881" t="s">
        <v>1603</v>
      </c>
      <c r="AD881" t="s">
        <v>2678</v>
      </c>
      <c r="AE881">
        <v>8.3232999999999997</v>
      </c>
      <c r="AF881">
        <v>97116</v>
      </c>
    </row>
    <row r="882" spans="18:32" x14ac:dyDescent="0.25">
      <c r="R882">
        <v>97116</v>
      </c>
      <c r="S882" t="s">
        <v>1105</v>
      </c>
      <c r="T882" t="s">
        <v>809</v>
      </c>
      <c r="U882" t="str">
        <f t="shared" si="96"/>
        <v>KTGI132</v>
      </c>
      <c r="W882" t="str">
        <f t="shared" si="97"/>
        <v>KTGI132T4</v>
      </c>
      <c r="X882">
        <v>5.8112000000000004</v>
      </c>
      <c r="Z882" t="s">
        <v>1105</v>
      </c>
      <c r="AA882" t="s">
        <v>809</v>
      </c>
      <c r="AB882" t="s">
        <v>1603</v>
      </c>
      <c r="AD882" t="s">
        <v>2679</v>
      </c>
      <c r="AE882">
        <v>5.8112000000000004</v>
      </c>
      <c r="AF882">
        <v>97116</v>
      </c>
    </row>
    <row r="883" spans="18:32" x14ac:dyDescent="0.25">
      <c r="R883">
        <v>97185</v>
      </c>
      <c r="S883" t="s">
        <v>1122</v>
      </c>
      <c r="T883" t="s">
        <v>804</v>
      </c>
      <c r="U883" t="str">
        <f t="shared" si="96"/>
        <v>LKIN132</v>
      </c>
      <c r="W883" t="str">
        <f t="shared" si="97"/>
        <v>LKIN132T1</v>
      </c>
      <c r="X883">
        <v>11.7415</v>
      </c>
      <c r="Z883" t="s">
        <v>1122</v>
      </c>
      <c r="AA883" t="s">
        <v>804</v>
      </c>
      <c r="AB883" t="s">
        <v>1523</v>
      </c>
      <c r="AD883" t="s">
        <v>2680</v>
      </c>
      <c r="AE883">
        <v>11.7415</v>
      </c>
      <c r="AF883">
        <v>97185</v>
      </c>
    </row>
    <row r="884" spans="18:32" x14ac:dyDescent="0.25">
      <c r="R884">
        <v>97185</v>
      </c>
      <c r="S884" t="s">
        <v>1122</v>
      </c>
      <c r="T884" t="s">
        <v>807</v>
      </c>
      <c r="U884" t="str">
        <f t="shared" si="96"/>
        <v>LKIN132</v>
      </c>
      <c r="W884" t="str">
        <f t="shared" si="97"/>
        <v>LKIN132T2</v>
      </c>
      <c r="X884">
        <v>11.7995</v>
      </c>
      <c r="Z884" t="s">
        <v>1122</v>
      </c>
      <c r="AA884" t="s">
        <v>807</v>
      </c>
      <c r="AB884" t="s">
        <v>1523</v>
      </c>
      <c r="AD884" t="s">
        <v>2681</v>
      </c>
      <c r="AE884">
        <v>11.7995</v>
      </c>
      <c r="AF884">
        <v>97185</v>
      </c>
    </row>
    <row r="885" spans="18:32" x14ac:dyDescent="0.25">
      <c r="R885">
        <v>97185</v>
      </c>
      <c r="S885" t="s">
        <v>1122</v>
      </c>
      <c r="T885" t="s">
        <v>808</v>
      </c>
      <c r="U885" t="str">
        <f t="shared" si="96"/>
        <v>LKIN132</v>
      </c>
      <c r="W885" t="str">
        <f t="shared" si="97"/>
        <v>LKIN132T3</v>
      </c>
      <c r="X885">
        <v>14.206</v>
      </c>
      <c r="Z885" t="s">
        <v>1122</v>
      </c>
      <c r="AA885" t="s">
        <v>808</v>
      </c>
      <c r="AB885" t="s">
        <v>1523</v>
      </c>
      <c r="AD885" t="s">
        <v>2682</v>
      </c>
      <c r="AE885">
        <v>14.206</v>
      </c>
      <c r="AF885">
        <v>97185</v>
      </c>
    </row>
    <row r="886" spans="18:32" x14ac:dyDescent="0.25">
      <c r="R886">
        <v>97185</v>
      </c>
      <c r="S886" t="s">
        <v>1122</v>
      </c>
      <c r="T886" t="s">
        <v>809</v>
      </c>
      <c r="U886" t="str">
        <f t="shared" si="96"/>
        <v>LKIN132</v>
      </c>
      <c r="W886" t="str">
        <f t="shared" si="97"/>
        <v>LKIN132T4</v>
      </c>
      <c r="X886">
        <v>14.126300000000001</v>
      </c>
      <c r="Z886" t="s">
        <v>1122</v>
      </c>
      <c r="AA886" t="s">
        <v>809</v>
      </c>
      <c r="AB886" t="s">
        <v>1523</v>
      </c>
      <c r="AD886" t="s">
        <v>2683</v>
      </c>
      <c r="AE886">
        <v>14.126300000000001</v>
      </c>
      <c r="AF886">
        <v>97185</v>
      </c>
    </row>
    <row r="887" spans="18:32" x14ac:dyDescent="0.25">
      <c r="R887">
        <v>97115</v>
      </c>
      <c r="S887" t="s">
        <v>1129</v>
      </c>
      <c r="T887" t="s">
        <v>804</v>
      </c>
      <c r="U887" t="str">
        <f t="shared" si="96"/>
        <v>MAJD132</v>
      </c>
      <c r="W887" t="str">
        <f t="shared" si="97"/>
        <v>MAJD132T1</v>
      </c>
      <c r="X887">
        <v>6.5547000000000004</v>
      </c>
      <c r="Z887" t="s">
        <v>1129</v>
      </c>
      <c r="AA887" t="s">
        <v>804</v>
      </c>
      <c r="AB887" t="s">
        <v>1542</v>
      </c>
      <c r="AD887" t="s">
        <v>2684</v>
      </c>
      <c r="AE887">
        <v>6.5547000000000004</v>
      </c>
      <c r="AF887">
        <v>97115</v>
      </c>
    </row>
    <row r="888" spans="18:32" x14ac:dyDescent="0.25">
      <c r="R888">
        <v>97115</v>
      </c>
      <c r="S888" t="s">
        <v>1129</v>
      </c>
      <c r="T888" t="s">
        <v>807</v>
      </c>
      <c r="U888" t="str">
        <f t="shared" si="96"/>
        <v>MAJD132</v>
      </c>
      <c r="W888" t="str">
        <f t="shared" si="97"/>
        <v>MAJD132T2</v>
      </c>
      <c r="X888">
        <v>6.2512999999999996</v>
      </c>
      <c r="Z888" t="s">
        <v>1129</v>
      </c>
      <c r="AA888" t="s">
        <v>807</v>
      </c>
      <c r="AB888" t="s">
        <v>1542</v>
      </c>
      <c r="AD888" t="s">
        <v>2685</v>
      </c>
      <c r="AE888">
        <v>6.2512999999999996</v>
      </c>
      <c r="AF888">
        <v>97115</v>
      </c>
    </row>
    <row r="889" spans="18:32" x14ac:dyDescent="0.25">
      <c r="R889">
        <v>97140</v>
      </c>
      <c r="S889" t="s">
        <v>1148</v>
      </c>
      <c r="T889" t="s">
        <v>804</v>
      </c>
      <c r="U889" t="str">
        <f t="shared" si="96"/>
        <v>MKBL132</v>
      </c>
      <c r="W889" t="str">
        <f t="shared" si="97"/>
        <v>MKBL132T1</v>
      </c>
      <c r="X889">
        <v>5.6528</v>
      </c>
      <c r="Z889" t="s">
        <v>1148</v>
      </c>
      <c r="AA889" t="s">
        <v>804</v>
      </c>
      <c r="AB889" t="s">
        <v>2686</v>
      </c>
      <c r="AD889" t="s">
        <v>2687</v>
      </c>
      <c r="AE889">
        <v>5.6528</v>
      </c>
      <c r="AF889">
        <v>97140</v>
      </c>
    </row>
    <row r="890" spans="18:32" x14ac:dyDescent="0.25">
      <c r="R890">
        <v>97140</v>
      </c>
      <c r="S890" t="s">
        <v>1148</v>
      </c>
      <c r="T890" t="s">
        <v>807</v>
      </c>
      <c r="U890" t="str">
        <f t="shared" si="96"/>
        <v>MKBL132</v>
      </c>
      <c r="W890" t="str">
        <f t="shared" si="97"/>
        <v>MKBL132T2</v>
      </c>
      <c r="X890">
        <v>15.251899999999999</v>
      </c>
      <c r="Z890" t="s">
        <v>1148</v>
      </c>
      <c r="AA890" t="s">
        <v>807</v>
      </c>
      <c r="AB890" t="s">
        <v>2686</v>
      </c>
      <c r="AD890" t="s">
        <v>2688</v>
      </c>
      <c r="AE890">
        <v>15.251899999999999</v>
      </c>
      <c r="AF890">
        <v>97140</v>
      </c>
    </row>
    <row r="891" spans="18:32" x14ac:dyDescent="0.25">
      <c r="R891">
        <v>97136</v>
      </c>
      <c r="S891" t="s">
        <v>1158</v>
      </c>
      <c r="T891" t="s">
        <v>804</v>
      </c>
      <c r="U891" t="str">
        <f t="shared" si="96"/>
        <v>MSAI132</v>
      </c>
      <c r="W891" t="str">
        <f t="shared" si="97"/>
        <v>MSAI132T1</v>
      </c>
      <c r="X891">
        <v>11.7995</v>
      </c>
      <c r="Z891" t="s">
        <v>1158</v>
      </c>
      <c r="AA891" t="s">
        <v>804</v>
      </c>
      <c r="AB891" t="s">
        <v>2689</v>
      </c>
      <c r="AD891" t="s">
        <v>2690</v>
      </c>
      <c r="AE891">
        <v>11.7995</v>
      </c>
      <c r="AF891">
        <v>97136</v>
      </c>
    </row>
    <row r="892" spans="18:32" x14ac:dyDescent="0.25">
      <c r="R892">
        <v>97136</v>
      </c>
      <c r="S892" t="s">
        <v>1158</v>
      </c>
      <c r="T892" t="s">
        <v>807</v>
      </c>
      <c r="U892" t="str">
        <f t="shared" si="96"/>
        <v>MSAI132</v>
      </c>
      <c r="W892" t="str">
        <f t="shared" si="97"/>
        <v>MSAI132T2</v>
      </c>
      <c r="X892">
        <v>11.7798</v>
      </c>
      <c r="Z892" t="s">
        <v>1158</v>
      </c>
      <c r="AA892" t="s">
        <v>807</v>
      </c>
      <c r="AB892" t="s">
        <v>2689</v>
      </c>
      <c r="AD892" t="s">
        <v>2691</v>
      </c>
      <c r="AE892">
        <v>11.7798</v>
      </c>
      <c r="AF892">
        <v>97136</v>
      </c>
    </row>
    <row r="893" spans="18:32" x14ac:dyDescent="0.25">
      <c r="R893">
        <v>97131</v>
      </c>
      <c r="S893" t="s">
        <v>1159</v>
      </c>
      <c r="T893" t="s">
        <v>804</v>
      </c>
      <c r="U893" t="str">
        <f t="shared" si="96"/>
        <v>MSNG132</v>
      </c>
      <c r="W893" t="str">
        <f t="shared" si="97"/>
        <v>MSNG132T1</v>
      </c>
      <c r="X893">
        <v>2.8311000000000002</v>
      </c>
      <c r="Z893" t="s">
        <v>1159</v>
      </c>
      <c r="AA893" t="s">
        <v>804</v>
      </c>
      <c r="AB893" t="s">
        <v>1609</v>
      </c>
      <c r="AD893" t="s">
        <v>2692</v>
      </c>
      <c r="AE893">
        <v>2.8311000000000002</v>
      </c>
      <c r="AF893">
        <v>97131</v>
      </c>
    </row>
    <row r="894" spans="18:32" x14ac:dyDescent="0.25">
      <c r="R894">
        <v>97131</v>
      </c>
      <c r="S894" t="s">
        <v>1159</v>
      </c>
      <c r="T894" t="s">
        <v>807</v>
      </c>
      <c r="U894" t="str">
        <f t="shared" si="96"/>
        <v>MSNG132</v>
      </c>
      <c r="W894" t="str">
        <f t="shared" si="97"/>
        <v>MSNG132T2</v>
      </c>
      <c r="X894">
        <v>3.8685999999999998</v>
      </c>
      <c r="Z894" t="s">
        <v>1159</v>
      </c>
      <c r="AA894" t="s">
        <v>807</v>
      </c>
      <c r="AB894" t="s">
        <v>1609</v>
      </c>
      <c r="AD894" t="s">
        <v>2693</v>
      </c>
      <c r="AE894">
        <v>3.8685999999999998</v>
      </c>
      <c r="AF894">
        <v>97131</v>
      </c>
    </row>
    <row r="895" spans="18:32" x14ac:dyDescent="0.25">
      <c r="R895">
        <v>97131</v>
      </c>
      <c r="S895" t="s">
        <v>1159</v>
      </c>
      <c r="T895" t="s">
        <v>808</v>
      </c>
      <c r="U895" t="str">
        <f t="shared" si="96"/>
        <v>MSNG132</v>
      </c>
      <c r="W895" t="str">
        <f t="shared" si="97"/>
        <v>MSNG132T3</v>
      </c>
      <c r="X895">
        <v>6.8384</v>
      </c>
      <c r="Z895" t="s">
        <v>1159</v>
      </c>
      <c r="AA895" t="s">
        <v>808</v>
      </c>
      <c r="AB895" t="s">
        <v>1609</v>
      </c>
      <c r="AD895" t="s">
        <v>2694</v>
      </c>
      <c r="AE895">
        <v>6.8384</v>
      </c>
      <c r="AF895">
        <v>97131</v>
      </c>
    </row>
    <row r="896" spans="18:32" x14ac:dyDescent="0.25">
      <c r="R896">
        <v>97131</v>
      </c>
      <c r="S896" t="s">
        <v>1159</v>
      </c>
      <c r="T896" t="s">
        <v>809</v>
      </c>
      <c r="U896" t="str">
        <f t="shared" si="96"/>
        <v>MSNG132</v>
      </c>
      <c r="W896" t="str">
        <f t="shared" si="97"/>
        <v>MSNG132T4</v>
      </c>
      <c r="X896">
        <v>6.8291000000000004</v>
      </c>
      <c r="Z896" t="s">
        <v>1159</v>
      </c>
      <c r="AA896" t="s">
        <v>809</v>
      </c>
      <c r="AB896" t="s">
        <v>1609</v>
      </c>
      <c r="AD896" t="s">
        <v>2695</v>
      </c>
      <c r="AE896">
        <v>6.8291000000000004</v>
      </c>
      <c r="AF896">
        <v>97131</v>
      </c>
    </row>
    <row r="897" spans="18:32" x14ac:dyDescent="0.25">
      <c r="R897">
        <v>97147</v>
      </c>
      <c r="S897" t="s">
        <v>1166</v>
      </c>
      <c r="T897" t="s">
        <v>807</v>
      </c>
      <c r="U897" t="str">
        <f t="shared" si="96"/>
        <v>MUAR132</v>
      </c>
      <c r="W897" t="str">
        <f t="shared" si="97"/>
        <v>MUAR132T2</v>
      </c>
      <c r="X897">
        <v>9.4168000000000003</v>
      </c>
      <c r="Z897" t="s">
        <v>1166</v>
      </c>
      <c r="AA897" t="s">
        <v>807</v>
      </c>
      <c r="AB897" t="s">
        <v>1452</v>
      </c>
      <c r="AD897" t="s">
        <v>2696</v>
      </c>
      <c r="AE897">
        <v>9.4168000000000003</v>
      </c>
      <c r="AF897">
        <v>97147</v>
      </c>
    </row>
    <row r="898" spans="18:32" x14ac:dyDescent="0.25">
      <c r="R898">
        <v>97147</v>
      </c>
      <c r="S898" t="s">
        <v>1166</v>
      </c>
      <c r="T898" t="s">
        <v>808</v>
      </c>
      <c r="U898" t="str">
        <f t="shared" si="96"/>
        <v>MUAR132</v>
      </c>
      <c r="W898" t="str">
        <f t="shared" si="97"/>
        <v>MUAR132T3</v>
      </c>
      <c r="X898">
        <v>12.604100000000001</v>
      </c>
      <c r="Z898" t="s">
        <v>1166</v>
      </c>
      <c r="AA898" t="s">
        <v>808</v>
      </c>
      <c r="AB898" t="s">
        <v>1452</v>
      </c>
      <c r="AD898" t="s">
        <v>2697</v>
      </c>
      <c r="AE898">
        <v>12.604100000000001</v>
      </c>
      <c r="AF898">
        <v>97147</v>
      </c>
    </row>
    <row r="899" spans="18:32" x14ac:dyDescent="0.25">
      <c r="R899">
        <v>97138</v>
      </c>
      <c r="S899" t="s">
        <v>1182</v>
      </c>
      <c r="T899" t="s">
        <v>804</v>
      </c>
      <c r="U899" t="str">
        <f t="shared" si="96"/>
        <v>NYOR132</v>
      </c>
      <c r="W899" t="str">
        <f t="shared" si="97"/>
        <v>NYOR132T1</v>
      </c>
      <c r="X899">
        <v>11.3926</v>
      </c>
      <c r="Z899" t="s">
        <v>1182</v>
      </c>
      <c r="AA899" t="s">
        <v>804</v>
      </c>
      <c r="AB899" t="s">
        <v>1611</v>
      </c>
      <c r="AD899" t="s">
        <v>2698</v>
      </c>
      <c r="AE899">
        <v>11.3926</v>
      </c>
      <c r="AF899">
        <v>97138</v>
      </c>
    </row>
    <row r="900" spans="18:32" x14ac:dyDescent="0.25">
      <c r="R900">
        <v>97138</v>
      </c>
      <c r="S900" t="s">
        <v>1182</v>
      </c>
      <c r="T900" t="s">
        <v>807</v>
      </c>
      <c r="U900" t="str">
        <f t="shared" ref="U900:U963" si="99">LEFT(S900,7)</f>
        <v>NYOR132</v>
      </c>
      <c r="W900" t="str">
        <f t="shared" ref="W900:W963" si="100">U900&amp;T900</f>
        <v>NYOR132T2</v>
      </c>
      <c r="X900">
        <v>16.610399999999998</v>
      </c>
      <c r="Z900" t="s">
        <v>1182</v>
      </c>
      <c r="AA900" t="s">
        <v>807</v>
      </c>
      <c r="AB900" t="s">
        <v>1611</v>
      </c>
      <c r="AD900" t="s">
        <v>2699</v>
      </c>
      <c r="AE900">
        <v>16.610399999999998</v>
      </c>
      <c r="AF900">
        <v>97138</v>
      </c>
    </row>
    <row r="901" spans="18:32" x14ac:dyDescent="0.25">
      <c r="R901">
        <v>97177</v>
      </c>
      <c r="S901" t="s">
        <v>1189</v>
      </c>
      <c r="T901" t="s">
        <v>804</v>
      </c>
      <c r="U901" t="str">
        <f t="shared" si="99"/>
        <v>PBJB132</v>
      </c>
      <c r="W901" t="str">
        <f t="shared" si="100"/>
        <v>PBJB132T1</v>
      </c>
      <c r="X901">
        <v>9.6228999999999996</v>
      </c>
      <c r="Z901" t="s">
        <v>1189</v>
      </c>
      <c r="AA901" t="s">
        <v>804</v>
      </c>
      <c r="AB901" t="s">
        <v>2700</v>
      </c>
      <c r="AD901" t="s">
        <v>2701</v>
      </c>
      <c r="AE901">
        <v>9.6228999999999996</v>
      </c>
      <c r="AF901">
        <v>97177</v>
      </c>
    </row>
    <row r="902" spans="18:32" x14ac:dyDescent="0.25">
      <c r="R902">
        <v>97177</v>
      </c>
      <c r="S902" t="s">
        <v>1189</v>
      </c>
      <c r="T902" t="s">
        <v>807</v>
      </c>
      <c r="U902" t="str">
        <f t="shared" si="99"/>
        <v>PBJB132</v>
      </c>
      <c r="W902" t="str">
        <f t="shared" si="100"/>
        <v>PBJB132T2</v>
      </c>
      <c r="X902">
        <v>9.6197999999999997</v>
      </c>
      <c r="Z902" t="s">
        <v>1189</v>
      </c>
      <c r="AA902" t="s">
        <v>807</v>
      </c>
      <c r="AB902" t="s">
        <v>2700</v>
      </c>
      <c r="AD902" t="s">
        <v>2702</v>
      </c>
      <c r="AE902">
        <v>9.6197999999999997</v>
      </c>
      <c r="AF902">
        <v>97177</v>
      </c>
    </row>
    <row r="903" spans="18:32" x14ac:dyDescent="0.25">
      <c r="R903">
        <v>97177</v>
      </c>
      <c r="S903" t="s">
        <v>1189</v>
      </c>
      <c r="T903" t="s">
        <v>808</v>
      </c>
      <c r="U903" t="str">
        <f t="shared" si="99"/>
        <v>PBJB132</v>
      </c>
      <c r="W903" t="str">
        <f t="shared" si="100"/>
        <v>PBJB132T3</v>
      </c>
      <c r="X903">
        <v>43.071599999999997</v>
      </c>
      <c r="Z903" t="s">
        <v>1189</v>
      </c>
      <c r="AA903" t="s">
        <v>808</v>
      </c>
      <c r="AB903" t="s">
        <v>2700</v>
      </c>
      <c r="AD903" t="s">
        <v>2703</v>
      </c>
      <c r="AE903">
        <v>43.071599999999997</v>
      </c>
      <c r="AF903">
        <v>97177</v>
      </c>
    </row>
    <row r="904" spans="18:32" x14ac:dyDescent="0.25">
      <c r="R904">
        <v>97177</v>
      </c>
      <c r="S904" t="s">
        <v>1189</v>
      </c>
      <c r="T904" t="s">
        <v>809</v>
      </c>
      <c r="U904" t="str">
        <f t="shared" si="99"/>
        <v>PBJB132</v>
      </c>
      <c r="W904" t="str">
        <f t="shared" si="100"/>
        <v>PBJB132T4</v>
      </c>
      <c r="X904">
        <v>43.246600000000001</v>
      </c>
      <c r="Z904" t="s">
        <v>1189</v>
      </c>
      <c r="AA904" t="s">
        <v>809</v>
      </c>
      <c r="AB904" t="s">
        <v>2700</v>
      </c>
      <c r="AD904" t="s">
        <v>2704</v>
      </c>
      <c r="AE904">
        <v>43.246600000000001</v>
      </c>
      <c r="AF904">
        <v>97177</v>
      </c>
    </row>
    <row r="905" spans="18:32" x14ac:dyDescent="0.25">
      <c r="R905">
        <v>97244</v>
      </c>
      <c r="S905" t="s">
        <v>1192</v>
      </c>
      <c r="T905">
        <v>1</v>
      </c>
      <c r="U905" t="str">
        <f t="shared" si="99"/>
        <v>PCGP275</v>
      </c>
      <c r="W905" t="str">
        <f t="shared" si="100"/>
        <v>PCGP2751</v>
      </c>
      <c r="X905">
        <v>0</v>
      </c>
      <c r="Z905" t="s">
        <v>1192</v>
      </c>
      <c r="AA905">
        <v>1</v>
      </c>
      <c r="AB905" t="s">
        <v>2705</v>
      </c>
      <c r="AD905" t="s">
        <v>2706</v>
      </c>
      <c r="AE905">
        <v>0</v>
      </c>
      <c r="AF905">
        <v>97244</v>
      </c>
    </row>
    <row r="906" spans="18:32" x14ac:dyDescent="0.25">
      <c r="R906">
        <v>97153</v>
      </c>
      <c r="S906" t="s">
        <v>1204</v>
      </c>
      <c r="T906" t="s">
        <v>804</v>
      </c>
      <c r="U906" t="str">
        <f t="shared" si="99"/>
        <v>PGDT132</v>
      </c>
      <c r="W906" t="str">
        <f t="shared" si="100"/>
        <v>PGDT132T1</v>
      </c>
      <c r="X906">
        <v>2.4872999999999998</v>
      </c>
      <c r="Z906" t="s">
        <v>1204</v>
      </c>
      <c r="AA906" t="s">
        <v>804</v>
      </c>
      <c r="AB906" t="s">
        <v>1416</v>
      </c>
      <c r="AD906" t="s">
        <v>2707</v>
      </c>
      <c r="AE906">
        <v>2.4872999999999998</v>
      </c>
      <c r="AF906">
        <v>97153</v>
      </c>
    </row>
    <row r="907" spans="18:32" x14ac:dyDescent="0.25">
      <c r="R907">
        <v>97153</v>
      </c>
      <c r="S907" t="s">
        <v>1204</v>
      </c>
      <c r="T907" t="s">
        <v>807</v>
      </c>
      <c r="U907" t="str">
        <f t="shared" si="99"/>
        <v>PGDT132</v>
      </c>
      <c r="W907" t="str">
        <f t="shared" si="100"/>
        <v>PGDT132T2</v>
      </c>
      <c r="X907">
        <v>10.1427</v>
      </c>
      <c r="Z907" t="s">
        <v>1204</v>
      </c>
      <c r="AA907" t="s">
        <v>807</v>
      </c>
      <c r="AB907" t="s">
        <v>1416</v>
      </c>
      <c r="AD907" t="s">
        <v>2708</v>
      </c>
      <c r="AE907">
        <v>10.1427</v>
      </c>
      <c r="AF907">
        <v>97153</v>
      </c>
    </row>
    <row r="908" spans="18:32" x14ac:dyDescent="0.25">
      <c r="R908">
        <v>97153</v>
      </c>
      <c r="S908" t="s">
        <v>1204</v>
      </c>
      <c r="T908" t="s">
        <v>808</v>
      </c>
      <c r="U908" t="str">
        <f t="shared" si="99"/>
        <v>PGDT132</v>
      </c>
      <c r="W908" t="str">
        <f t="shared" si="100"/>
        <v>PGDT132T3</v>
      </c>
      <c r="X908">
        <v>16.368099999999998</v>
      </c>
      <c r="Z908" t="s">
        <v>1204</v>
      </c>
      <c r="AA908" t="s">
        <v>808</v>
      </c>
      <c r="AB908" t="s">
        <v>1416</v>
      </c>
      <c r="AD908" t="s">
        <v>2709</v>
      </c>
      <c r="AE908">
        <v>16.368099999999998</v>
      </c>
      <c r="AF908">
        <v>97153</v>
      </c>
    </row>
    <row r="909" spans="18:32" x14ac:dyDescent="0.25">
      <c r="R909">
        <v>97153</v>
      </c>
      <c r="S909" t="s">
        <v>1204</v>
      </c>
      <c r="T909" t="s">
        <v>809</v>
      </c>
      <c r="U909" t="str">
        <f t="shared" si="99"/>
        <v>PGDT132</v>
      </c>
      <c r="W909" t="str">
        <f t="shared" si="100"/>
        <v>PGDT132T4</v>
      </c>
      <c r="X909">
        <v>16.462399999999999</v>
      </c>
      <c r="Z909" t="s">
        <v>1204</v>
      </c>
      <c r="AA909" t="s">
        <v>809</v>
      </c>
      <c r="AB909" t="s">
        <v>1416</v>
      </c>
      <c r="AD909" t="s">
        <v>2710</v>
      </c>
      <c r="AE909">
        <v>16.462399999999999</v>
      </c>
      <c r="AF909">
        <v>97153</v>
      </c>
    </row>
    <row r="910" spans="18:32" x14ac:dyDescent="0.25">
      <c r="R910">
        <v>97191</v>
      </c>
      <c r="S910" t="s">
        <v>1205</v>
      </c>
      <c r="T910" t="s">
        <v>804</v>
      </c>
      <c r="U910" t="str">
        <f t="shared" si="99"/>
        <v>PGEH132</v>
      </c>
      <c r="W910" t="str">
        <f t="shared" si="100"/>
        <v>PGEH132T1</v>
      </c>
      <c r="X910">
        <v>2.0379</v>
      </c>
      <c r="Z910" t="s">
        <v>1205</v>
      </c>
      <c r="AA910" t="s">
        <v>804</v>
      </c>
      <c r="AB910" t="s">
        <v>2711</v>
      </c>
      <c r="AD910" t="s">
        <v>2712</v>
      </c>
      <c r="AE910">
        <v>2.0379</v>
      </c>
      <c r="AF910">
        <v>97191</v>
      </c>
    </row>
    <row r="911" spans="18:32" x14ac:dyDescent="0.25">
      <c r="R911">
        <v>97191</v>
      </c>
      <c r="S911" t="s">
        <v>1205</v>
      </c>
      <c r="T911" t="s">
        <v>807</v>
      </c>
      <c r="U911" t="str">
        <f t="shared" si="99"/>
        <v>PGEH132</v>
      </c>
      <c r="W911" t="str">
        <f t="shared" si="100"/>
        <v>PGEH132T2</v>
      </c>
      <c r="X911">
        <v>2.0274999999999999</v>
      </c>
      <c r="Z911" t="s">
        <v>1205</v>
      </c>
      <c r="AA911" t="s">
        <v>807</v>
      </c>
      <c r="AB911" t="s">
        <v>2711</v>
      </c>
      <c r="AD911" t="s">
        <v>2713</v>
      </c>
      <c r="AE911">
        <v>2.0274999999999999</v>
      </c>
      <c r="AF911">
        <v>97191</v>
      </c>
    </row>
    <row r="912" spans="18:32" x14ac:dyDescent="0.25">
      <c r="R912">
        <v>97123</v>
      </c>
      <c r="S912" t="s">
        <v>1206</v>
      </c>
      <c r="T912" t="s">
        <v>804</v>
      </c>
      <c r="U912" t="str">
        <f t="shared" si="99"/>
        <v>PGIE132</v>
      </c>
      <c r="W912" t="str">
        <f t="shared" si="100"/>
        <v>PGIE132T1</v>
      </c>
      <c r="X912">
        <v>13.8622</v>
      </c>
      <c r="Z912" t="s">
        <v>1206</v>
      </c>
      <c r="AA912" t="s">
        <v>804</v>
      </c>
      <c r="AB912" t="s">
        <v>1468</v>
      </c>
      <c r="AD912" t="s">
        <v>2714</v>
      </c>
      <c r="AE912">
        <v>13.8622</v>
      </c>
      <c r="AF912">
        <v>97123</v>
      </c>
    </row>
    <row r="913" spans="18:32" x14ac:dyDescent="0.25">
      <c r="R913">
        <v>97123</v>
      </c>
      <c r="S913" t="s">
        <v>1206</v>
      </c>
      <c r="T913" t="s">
        <v>807</v>
      </c>
      <c r="U913" t="str">
        <f t="shared" si="99"/>
        <v>PGIE132</v>
      </c>
      <c r="W913" t="str">
        <f t="shared" si="100"/>
        <v>PGIE132T2</v>
      </c>
      <c r="X913">
        <v>13.871499999999999</v>
      </c>
      <c r="Z913" t="s">
        <v>1206</v>
      </c>
      <c r="AA913" t="s">
        <v>807</v>
      </c>
      <c r="AB913" t="s">
        <v>1468</v>
      </c>
      <c r="AD913" t="s">
        <v>2715</v>
      </c>
      <c r="AE913">
        <v>13.871499999999999</v>
      </c>
      <c r="AF913">
        <v>97123</v>
      </c>
    </row>
    <row r="914" spans="18:32" x14ac:dyDescent="0.25">
      <c r="R914">
        <v>97123</v>
      </c>
      <c r="S914" t="s">
        <v>1206</v>
      </c>
      <c r="T914" t="s">
        <v>808</v>
      </c>
      <c r="U914" t="str">
        <f t="shared" si="99"/>
        <v>PGIE132</v>
      </c>
      <c r="W914" t="str">
        <f t="shared" si="100"/>
        <v>PGIE132T3</v>
      </c>
      <c r="X914">
        <v>12.4343</v>
      </c>
      <c r="Z914" t="s">
        <v>1206</v>
      </c>
      <c r="AA914" t="s">
        <v>808</v>
      </c>
      <c r="AB914" t="s">
        <v>1468</v>
      </c>
      <c r="AD914" t="s">
        <v>2716</v>
      </c>
      <c r="AE914">
        <v>12.4343</v>
      </c>
      <c r="AF914">
        <v>97123</v>
      </c>
    </row>
    <row r="915" spans="18:32" x14ac:dyDescent="0.25">
      <c r="R915">
        <v>97179</v>
      </c>
      <c r="S915" t="s">
        <v>1207</v>
      </c>
      <c r="T915" t="s">
        <v>804</v>
      </c>
      <c r="U915" t="str">
        <f t="shared" si="99"/>
        <v>PGOH132</v>
      </c>
      <c r="W915" t="str">
        <f t="shared" si="100"/>
        <v>PGOH132T1</v>
      </c>
      <c r="X915">
        <v>3.4762</v>
      </c>
      <c r="Z915" t="s">
        <v>1207</v>
      </c>
      <c r="AA915" t="s">
        <v>804</v>
      </c>
      <c r="AB915" t="s">
        <v>2717</v>
      </c>
      <c r="AD915" t="s">
        <v>2718</v>
      </c>
      <c r="AE915">
        <v>3.4762</v>
      </c>
      <c r="AF915">
        <v>97179</v>
      </c>
    </row>
    <row r="916" spans="18:32" x14ac:dyDescent="0.25">
      <c r="R916">
        <v>97179</v>
      </c>
      <c r="S916" t="s">
        <v>1207</v>
      </c>
      <c r="T916" t="s">
        <v>807</v>
      </c>
      <c r="U916" t="str">
        <f t="shared" si="99"/>
        <v>PGOH132</v>
      </c>
      <c r="W916" t="str">
        <f t="shared" si="100"/>
        <v>PGOH132T2</v>
      </c>
      <c r="X916">
        <v>3.4658000000000002</v>
      </c>
      <c r="Z916" t="s">
        <v>1207</v>
      </c>
      <c r="AA916" t="s">
        <v>807</v>
      </c>
      <c r="AB916" t="s">
        <v>2717</v>
      </c>
      <c r="AD916" t="s">
        <v>2719</v>
      </c>
      <c r="AE916">
        <v>3.4658000000000002</v>
      </c>
      <c r="AF916">
        <v>97179</v>
      </c>
    </row>
    <row r="917" spans="18:32" x14ac:dyDescent="0.25">
      <c r="R917">
        <v>97114</v>
      </c>
      <c r="S917" t="s">
        <v>1209</v>
      </c>
      <c r="T917" t="s">
        <v>1202</v>
      </c>
      <c r="U917" t="str">
        <f t="shared" si="99"/>
        <v>PGPS132</v>
      </c>
      <c r="W917" t="str">
        <f t="shared" si="100"/>
        <v>PGPS132N1</v>
      </c>
      <c r="X917">
        <v>0</v>
      </c>
      <c r="Z917" t="s">
        <v>1209</v>
      </c>
      <c r="AA917" t="s">
        <v>1202</v>
      </c>
      <c r="AB917" t="s">
        <v>2720</v>
      </c>
      <c r="AD917" t="s">
        <v>2721</v>
      </c>
      <c r="AE917">
        <v>0</v>
      </c>
      <c r="AF917">
        <v>97114</v>
      </c>
    </row>
    <row r="918" spans="18:32" x14ac:dyDescent="0.25">
      <c r="R918">
        <v>97114</v>
      </c>
      <c r="S918" t="s">
        <v>1209</v>
      </c>
      <c r="T918" t="s">
        <v>1203</v>
      </c>
      <c r="U918" t="str">
        <f t="shared" si="99"/>
        <v>PGPS132</v>
      </c>
      <c r="W918" t="str">
        <f t="shared" si="100"/>
        <v>PGPS132N2</v>
      </c>
      <c r="X918">
        <v>0</v>
      </c>
      <c r="Z918" t="s">
        <v>1209</v>
      </c>
      <c r="AA918" t="s">
        <v>1203</v>
      </c>
      <c r="AB918" t="s">
        <v>2720</v>
      </c>
      <c r="AD918" t="s">
        <v>2722</v>
      </c>
      <c r="AE918">
        <v>0</v>
      </c>
      <c r="AF918">
        <v>97114</v>
      </c>
    </row>
    <row r="919" spans="18:32" x14ac:dyDescent="0.25">
      <c r="R919">
        <v>97114</v>
      </c>
      <c r="S919" t="s">
        <v>1209</v>
      </c>
      <c r="T919" t="s">
        <v>807</v>
      </c>
      <c r="U919" t="str">
        <f t="shared" si="99"/>
        <v>PGPS132</v>
      </c>
      <c r="W919" t="str">
        <f t="shared" si="100"/>
        <v>PGPS132T2</v>
      </c>
      <c r="X919">
        <v>0</v>
      </c>
      <c r="Z919" t="s">
        <v>1209</v>
      </c>
      <c r="AA919" t="s">
        <v>807</v>
      </c>
      <c r="AB919" t="s">
        <v>2720</v>
      </c>
      <c r="AD919" t="s">
        <v>2723</v>
      </c>
      <c r="AE919">
        <v>0</v>
      </c>
      <c r="AF919">
        <v>97114</v>
      </c>
    </row>
    <row r="920" spans="18:32" x14ac:dyDescent="0.25">
      <c r="R920">
        <v>97167</v>
      </c>
      <c r="S920" t="s">
        <v>1210</v>
      </c>
      <c r="T920" t="s">
        <v>804</v>
      </c>
      <c r="U920" t="str">
        <f t="shared" si="99"/>
        <v>PGTC132</v>
      </c>
      <c r="W920" t="str">
        <f t="shared" si="100"/>
        <v>PGTC132T1</v>
      </c>
      <c r="X920">
        <v>47.834899999999998</v>
      </c>
      <c r="Z920" t="s">
        <v>1210</v>
      </c>
      <c r="AA920" t="s">
        <v>804</v>
      </c>
      <c r="AB920" t="s">
        <v>1467</v>
      </c>
      <c r="AD920" t="s">
        <v>2724</v>
      </c>
      <c r="AE920">
        <v>47.834899999999998</v>
      </c>
      <c r="AF920">
        <v>97167</v>
      </c>
    </row>
    <row r="921" spans="18:32" x14ac:dyDescent="0.25">
      <c r="R921">
        <v>97167</v>
      </c>
      <c r="S921" t="s">
        <v>1210</v>
      </c>
      <c r="T921" t="s">
        <v>807</v>
      </c>
      <c r="U921" t="str">
        <f t="shared" si="99"/>
        <v>PGTC132</v>
      </c>
      <c r="W921" t="str">
        <f t="shared" si="100"/>
        <v>PGTC132T2</v>
      </c>
      <c r="X921">
        <v>47.675400000000003</v>
      </c>
      <c r="Z921" t="s">
        <v>1210</v>
      </c>
      <c r="AA921" t="s">
        <v>807</v>
      </c>
      <c r="AB921" t="s">
        <v>1467</v>
      </c>
      <c r="AD921" t="s">
        <v>2725</v>
      </c>
      <c r="AE921">
        <v>47.675400000000003</v>
      </c>
      <c r="AF921">
        <v>97167</v>
      </c>
    </row>
    <row r="922" spans="18:32" x14ac:dyDescent="0.25">
      <c r="R922">
        <v>97103</v>
      </c>
      <c r="S922" t="s">
        <v>1214</v>
      </c>
      <c r="T922" t="s">
        <v>808</v>
      </c>
      <c r="U922" t="str">
        <f t="shared" si="99"/>
        <v>PJML132</v>
      </c>
      <c r="W922" t="str">
        <f t="shared" si="100"/>
        <v>PJML132T3</v>
      </c>
      <c r="X922">
        <v>9.6156000000000006</v>
      </c>
      <c r="Z922" t="s">
        <v>1214</v>
      </c>
      <c r="AA922" t="s">
        <v>808</v>
      </c>
      <c r="AB922" t="s">
        <v>1621</v>
      </c>
      <c r="AD922" t="s">
        <v>2726</v>
      </c>
      <c r="AE922">
        <v>9.6156000000000006</v>
      </c>
      <c r="AF922">
        <v>97103</v>
      </c>
    </row>
    <row r="923" spans="18:32" x14ac:dyDescent="0.25">
      <c r="R923">
        <v>97103</v>
      </c>
      <c r="S923" t="s">
        <v>1214</v>
      </c>
      <c r="T923" t="s">
        <v>809</v>
      </c>
      <c r="U923" t="str">
        <f t="shared" si="99"/>
        <v>PJML132</v>
      </c>
      <c r="W923" t="str">
        <f t="shared" si="100"/>
        <v>PJML132T4</v>
      </c>
      <c r="X923">
        <v>9.5803999999999991</v>
      </c>
      <c r="Z923" t="s">
        <v>1214</v>
      </c>
      <c r="AA923" t="s">
        <v>809</v>
      </c>
      <c r="AB923" t="s">
        <v>1621</v>
      </c>
      <c r="AD923" t="s">
        <v>2727</v>
      </c>
      <c r="AE923">
        <v>9.5803999999999991</v>
      </c>
      <c r="AF923">
        <v>97103</v>
      </c>
    </row>
    <row r="924" spans="18:32" x14ac:dyDescent="0.25">
      <c r="R924">
        <v>97198</v>
      </c>
      <c r="S924" t="s">
        <v>1224</v>
      </c>
      <c r="T924" t="s">
        <v>804</v>
      </c>
      <c r="U924" t="str">
        <f t="shared" si="99"/>
        <v>PLGI132</v>
      </c>
      <c r="W924" t="str">
        <f t="shared" si="100"/>
        <v>PLGI132T1</v>
      </c>
      <c r="X924">
        <v>29.056100000000001</v>
      </c>
      <c r="Z924" t="s">
        <v>1224</v>
      </c>
      <c r="AA924" t="s">
        <v>804</v>
      </c>
      <c r="AB924" t="s">
        <v>1606</v>
      </c>
      <c r="AD924" t="s">
        <v>2728</v>
      </c>
      <c r="AE924">
        <v>29.056100000000001</v>
      </c>
      <c r="AF924">
        <v>97198</v>
      </c>
    </row>
    <row r="925" spans="18:32" x14ac:dyDescent="0.25">
      <c r="R925">
        <v>97198</v>
      </c>
      <c r="S925" t="s">
        <v>1224</v>
      </c>
      <c r="T925" t="s">
        <v>807</v>
      </c>
      <c r="U925" t="str">
        <f t="shared" si="99"/>
        <v>PLGI132</v>
      </c>
      <c r="W925" t="str">
        <f t="shared" si="100"/>
        <v>PLGI132T2</v>
      </c>
      <c r="X925">
        <v>29.205200000000001</v>
      </c>
      <c r="Z925" t="s">
        <v>1224</v>
      </c>
      <c r="AA925" t="s">
        <v>807</v>
      </c>
      <c r="AB925" t="s">
        <v>1606</v>
      </c>
      <c r="AD925" t="s">
        <v>2729</v>
      </c>
      <c r="AE925">
        <v>29.205200000000001</v>
      </c>
      <c r="AF925">
        <v>97198</v>
      </c>
    </row>
    <row r="926" spans="18:32" x14ac:dyDescent="0.25">
      <c r="R926">
        <v>97108</v>
      </c>
      <c r="S926" t="s">
        <v>1225</v>
      </c>
      <c r="T926" t="s">
        <v>804</v>
      </c>
      <c r="U926" t="str">
        <f t="shared" si="99"/>
        <v>PLNG132</v>
      </c>
      <c r="W926" t="str">
        <f t="shared" si="100"/>
        <v>PLNG132T1</v>
      </c>
      <c r="X926">
        <v>11.456799999999999</v>
      </c>
      <c r="Z926" t="s">
        <v>1225</v>
      </c>
      <c r="AA926" t="s">
        <v>804</v>
      </c>
      <c r="AB926" t="s">
        <v>2730</v>
      </c>
      <c r="AD926" t="s">
        <v>2731</v>
      </c>
      <c r="AE926">
        <v>11.456799999999999</v>
      </c>
      <c r="AF926">
        <v>97108</v>
      </c>
    </row>
    <row r="927" spans="18:32" x14ac:dyDescent="0.25">
      <c r="R927">
        <v>97108</v>
      </c>
      <c r="S927" t="s">
        <v>1225</v>
      </c>
      <c r="T927" t="s">
        <v>807</v>
      </c>
      <c r="U927" t="str">
        <f t="shared" si="99"/>
        <v>PLNG132</v>
      </c>
      <c r="W927" t="str">
        <f t="shared" si="100"/>
        <v>PLNG132T2</v>
      </c>
      <c r="X927">
        <v>11.298299999999999</v>
      </c>
      <c r="Z927" t="s">
        <v>1225</v>
      </c>
      <c r="AA927" t="s">
        <v>807</v>
      </c>
      <c r="AB927" t="s">
        <v>2730</v>
      </c>
      <c r="AD927" t="s">
        <v>2732</v>
      </c>
      <c r="AE927">
        <v>11.298299999999999</v>
      </c>
      <c r="AF927">
        <v>97108</v>
      </c>
    </row>
    <row r="928" spans="18:32" x14ac:dyDescent="0.25">
      <c r="R928">
        <v>97108</v>
      </c>
      <c r="S928" t="s">
        <v>1225</v>
      </c>
      <c r="T928" t="s">
        <v>808</v>
      </c>
      <c r="U928" t="str">
        <f t="shared" si="99"/>
        <v>PLNG132</v>
      </c>
      <c r="W928" t="str">
        <f t="shared" si="100"/>
        <v>PLNG132T3</v>
      </c>
      <c r="X928">
        <v>41.812399999999997</v>
      </c>
      <c r="Z928" t="s">
        <v>1225</v>
      </c>
      <c r="AA928" t="s">
        <v>808</v>
      </c>
      <c r="AB928" t="s">
        <v>2730</v>
      </c>
      <c r="AD928" t="s">
        <v>2733</v>
      </c>
      <c r="AE928">
        <v>41.812399999999997</v>
      </c>
      <c r="AF928">
        <v>97108</v>
      </c>
    </row>
    <row r="929" spans="18:32" x14ac:dyDescent="0.25">
      <c r="R929">
        <v>97108</v>
      </c>
      <c r="S929" t="s">
        <v>1225</v>
      </c>
      <c r="T929" t="s">
        <v>809</v>
      </c>
      <c r="U929" t="str">
        <f t="shared" si="99"/>
        <v>PLNG132</v>
      </c>
      <c r="W929" t="str">
        <f t="shared" si="100"/>
        <v>PLNG132T4</v>
      </c>
      <c r="X929">
        <v>42.667700000000004</v>
      </c>
      <c r="Z929" t="s">
        <v>1225</v>
      </c>
      <c r="AA929" t="s">
        <v>809</v>
      </c>
      <c r="AB929" t="s">
        <v>2730</v>
      </c>
      <c r="AD929" t="s">
        <v>2734</v>
      </c>
      <c r="AE929">
        <v>42.667700000000004</v>
      </c>
      <c r="AF929">
        <v>97108</v>
      </c>
    </row>
    <row r="930" spans="18:32" x14ac:dyDescent="0.25">
      <c r="R930">
        <v>97165</v>
      </c>
      <c r="S930" t="s">
        <v>1227</v>
      </c>
      <c r="T930" t="s">
        <v>804</v>
      </c>
      <c r="U930" t="str">
        <f t="shared" si="99"/>
        <v>PMJY132</v>
      </c>
      <c r="W930" t="str">
        <f t="shared" si="100"/>
        <v>PMJY132T1</v>
      </c>
      <c r="X930">
        <v>10.484400000000001</v>
      </c>
      <c r="Z930" t="s">
        <v>1227</v>
      </c>
      <c r="AA930" t="s">
        <v>804</v>
      </c>
      <c r="AB930" t="s">
        <v>2735</v>
      </c>
      <c r="AD930" t="s">
        <v>2736</v>
      </c>
      <c r="AE930">
        <v>10.484400000000001</v>
      </c>
      <c r="AF930">
        <v>97165</v>
      </c>
    </row>
    <row r="931" spans="18:32" x14ac:dyDescent="0.25">
      <c r="R931">
        <v>97165</v>
      </c>
      <c r="S931" t="s">
        <v>1227</v>
      </c>
      <c r="T931" t="s">
        <v>807</v>
      </c>
      <c r="U931" t="str">
        <f t="shared" si="99"/>
        <v>PMJY132</v>
      </c>
      <c r="W931" t="str">
        <f t="shared" si="100"/>
        <v>PMJY132T2</v>
      </c>
      <c r="X931">
        <v>13.091799999999999</v>
      </c>
      <c r="Z931" t="s">
        <v>1227</v>
      </c>
      <c r="AA931" t="s">
        <v>807</v>
      </c>
      <c r="AB931" t="s">
        <v>2735</v>
      </c>
      <c r="AD931" t="s">
        <v>2737</v>
      </c>
      <c r="AE931">
        <v>13.091799999999999</v>
      </c>
      <c r="AF931">
        <v>97165</v>
      </c>
    </row>
    <row r="932" spans="18:32" x14ac:dyDescent="0.25">
      <c r="R932">
        <v>97165</v>
      </c>
      <c r="S932" t="s">
        <v>1227</v>
      </c>
      <c r="T932" t="s">
        <v>808</v>
      </c>
      <c r="U932" t="str">
        <f t="shared" si="99"/>
        <v>PMJY132</v>
      </c>
      <c r="W932" t="str">
        <f t="shared" si="100"/>
        <v>PMJY132T3</v>
      </c>
      <c r="X932">
        <v>35.955599999999997</v>
      </c>
      <c r="Z932" t="s">
        <v>1227</v>
      </c>
      <c r="AA932" t="s">
        <v>808</v>
      </c>
      <c r="AB932" t="s">
        <v>2735</v>
      </c>
      <c r="AD932" t="s">
        <v>2738</v>
      </c>
      <c r="AE932">
        <v>35.955599999999997</v>
      </c>
      <c r="AF932">
        <v>97165</v>
      </c>
    </row>
    <row r="933" spans="18:32" x14ac:dyDescent="0.25">
      <c r="R933">
        <v>97165</v>
      </c>
      <c r="S933" t="s">
        <v>1227</v>
      </c>
      <c r="T933" t="s">
        <v>809</v>
      </c>
      <c r="U933" t="str">
        <f t="shared" si="99"/>
        <v>PMJY132</v>
      </c>
      <c r="W933" t="str">
        <f t="shared" si="100"/>
        <v>PMJY132T4</v>
      </c>
      <c r="X933">
        <v>38.029699999999998</v>
      </c>
      <c r="Z933" t="s">
        <v>1227</v>
      </c>
      <c r="AA933" t="s">
        <v>809</v>
      </c>
      <c r="AB933" t="s">
        <v>2735</v>
      </c>
      <c r="AD933" t="s">
        <v>2739</v>
      </c>
      <c r="AE933">
        <v>38.029699999999998</v>
      </c>
      <c r="AF933">
        <v>97165</v>
      </c>
    </row>
    <row r="934" spans="18:32" x14ac:dyDescent="0.25">
      <c r="R934">
        <v>97155</v>
      </c>
      <c r="S934" t="s">
        <v>1230</v>
      </c>
      <c r="T934" t="s">
        <v>804</v>
      </c>
      <c r="U934" t="str">
        <f t="shared" si="99"/>
        <v>PNAS132</v>
      </c>
      <c r="W934" t="str">
        <f t="shared" si="100"/>
        <v>PNAS132T1</v>
      </c>
      <c r="X934">
        <v>12.268599999999999</v>
      </c>
      <c r="Z934" t="s">
        <v>1230</v>
      </c>
      <c r="AA934" t="s">
        <v>804</v>
      </c>
      <c r="AB934" t="s">
        <v>2740</v>
      </c>
      <c r="AD934" t="s">
        <v>2741</v>
      </c>
      <c r="AE934">
        <v>12.268599999999999</v>
      </c>
      <c r="AF934">
        <v>97155</v>
      </c>
    </row>
    <row r="935" spans="18:32" x14ac:dyDescent="0.25">
      <c r="R935">
        <v>97155</v>
      </c>
      <c r="S935" t="s">
        <v>1230</v>
      </c>
      <c r="T935" t="s">
        <v>807</v>
      </c>
      <c r="U935" t="str">
        <f t="shared" si="99"/>
        <v>PNAS132</v>
      </c>
      <c r="W935" t="str">
        <f t="shared" si="100"/>
        <v>PNAS132T2</v>
      </c>
      <c r="X935">
        <v>16.207599999999999</v>
      </c>
      <c r="Z935" t="s">
        <v>1230</v>
      </c>
      <c r="AA935" t="s">
        <v>807</v>
      </c>
      <c r="AB935" t="s">
        <v>2740</v>
      </c>
      <c r="AD935" t="s">
        <v>2742</v>
      </c>
      <c r="AE935">
        <v>16.207599999999999</v>
      </c>
      <c r="AF935">
        <v>97155</v>
      </c>
    </row>
    <row r="936" spans="18:32" x14ac:dyDescent="0.25">
      <c r="R936">
        <v>97145</v>
      </c>
      <c r="S936" t="s">
        <v>1233</v>
      </c>
      <c r="T936" t="s">
        <v>804</v>
      </c>
      <c r="U936" t="str">
        <f t="shared" si="99"/>
        <v>PNWR132</v>
      </c>
      <c r="W936" t="str">
        <f t="shared" si="100"/>
        <v>PNWR132T1</v>
      </c>
      <c r="X936">
        <v>6.2544000000000004</v>
      </c>
      <c r="Z936" t="s">
        <v>1233</v>
      </c>
      <c r="AA936" t="s">
        <v>804</v>
      </c>
      <c r="AB936" t="s">
        <v>2743</v>
      </c>
      <c r="AD936" t="s">
        <v>2744</v>
      </c>
      <c r="AE936">
        <v>6.2544000000000004</v>
      </c>
      <c r="AF936">
        <v>97145</v>
      </c>
    </row>
    <row r="937" spans="18:32" x14ac:dyDescent="0.25">
      <c r="R937">
        <v>97145</v>
      </c>
      <c r="S937" t="s">
        <v>1233</v>
      </c>
      <c r="T937" t="s">
        <v>807</v>
      </c>
      <c r="U937" t="str">
        <f t="shared" si="99"/>
        <v>PNWR132</v>
      </c>
      <c r="W937" t="str">
        <f t="shared" si="100"/>
        <v>PNWR132T2</v>
      </c>
      <c r="X937">
        <v>5.1619999999999999</v>
      </c>
      <c r="Z937" t="s">
        <v>1233</v>
      </c>
      <c r="AA937" t="s">
        <v>807</v>
      </c>
      <c r="AB937" t="s">
        <v>2743</v>
      </c>
      <c r="AD937" t="s">
        <v>2745</v>
      </c>
      <c r="AE937">
        <v>5.1619999999999999</v>
      </c>
      <c r="AF937">
        <v>97145</v>
      </c>
    </row>
    <row r="938" spans="18:32" x14ac:dyDescent="0.25">
      <c r="R938">
        <v>97151</v>
      </c>
      <c r="S938" t="s">
        <v>1234</v>
      </c>
      <c r="T938" t="s">
        <v>804</v>
      </c>
      <c r="U938" t="str">
        <f t="shared" si="99"/>
        <v>PONT132</v>
      </c>
      <c r="W938" t="str">
        <f t="shared" si="100"/>
        <v>PONT132T1</v>
      </c>
      <c r="X938">
        <v>6.5194999999999999</v>
      </c>
      <c r="Z938" t="s">
        <v>1234</v>
      </c>
      <c r="AA938" t="s">
        <v>804</v>
      </c>
      <c r="AB938" t="s">
        <v>2746</v>
      </c>
      <c r="AD938" t="s">
        <v>2747</v>
      </c>
      <c r="AE938">
        <v>6.5194999999999999</v>
      </c>
      <c r="AF938">
        <v>97151</v>
      </c>
    </row>
    <row r="939" spans="18:32" x14ac:dyDescent="0.25">
      <c r="R939">
        <v>97151</v>
      </c>
      <c r="S939" t="s">
        <v>1234</v>
      </c>
      <c r="T939" t="s">
        <v>807</v>
      </c>
      <c r="U939" t="str">
        <f t="shared" si="99"/>
        <v>PONT132</v>
      </c>
      <c r="W939" t="str">
        <f t="shared" si="100"/>
        <v>PONT132T2</v>
      </c>
      <c r="X939">
        <v>11.2538</v>
      </c>
      <c r="Z939" t="s">
        <v>1234</v>
      </c>
      <c r="AA939" t="s">
        <v>807</v>
      </c>
      <c r="AB939" t="s">
        <v>2746</v>
      </c>
      <c r="AD939" t="s">
        <v>2748</v>
      </c>
      <c r="AE939">
        <v>11.2538</v>
      </c>
      <c r="AF939">
        <v>97151</v>
      </c>
    </row>
    <row r="940" spans="18:32" x14ac:dyDescent="0.25">
      <c r="R940">
        <v>97151</v>
      </c>
      <c r="S940" t="s">
        <v>1234</v>
      </c>
      <c r="T940" t="s">
        <v>808</v>
      </c>
      <c r="U940" t="str">
        <f t="shared" si="99"/>
        <v>PONT132</v>
      </c>
      <c r="W940" t="str">
        <f t="shared" si="100"/>
        <v>PONT132T3</v>
      </c>
      <c r="X940">
        <v>12.456</v>
      </c>
      <c r="Z940" t="s">
        <v>1234</v>
      </c>
      <c r="AA940" t="s">
        <v>808</v>
      </c>
      <c r="AB940" t="s">
        <v>2746</v>
      </c>
      <c r="AD940" t="s">
        <v>2749</v>
      </c>
      <c r="AE940">
        <v>12.456</v>
      </c>
      <c r="AF940">
        <v>97151</v>
      </c>
    </row>
    <row r="941" spans="18:32" x14ac:dyDescent="0.25">
      <c r="R941">
        <v>97151</v>
      </c>
      <c r="S941" t="s">
        <v>1234</v>
      </c>
      <c r="T941" t="s">
        <v>809</v>
      </c>
      <c r="U941" t="str">
        <f t="shared" si="99"/>
        <v>PONT132</v>
      </c>
      <c r="W941" t="str">
        <f t="shared" si="100"/>
        <v>PONT132T4</v>
      </c>
      <c r="X941">
        <v>12.482900000000001</v>
      </c>
      <c r="Z941" t="s">
        <v>1234</v>
      </c>
      <c r="AA941" t="s">
        <v>809</v>
      </c>
      <c r="AB941" t="s">
        <v>2746</v>
      </c>
      <c r="AD941" t="s">
        <v>2750</v>
      </c>
      <c r="AE941">
        <v>12.482900000000001</v>
      </c>
      <c r="AF941">
        <v>97151</v>
      </c>
    </row>
    <row r="942" spans="18:32" x14ac:dyDescent="0.25">
      <c r="R942">
        <v>97119</v>
      </c>
      <c r="S942" t="s">
        <v>1241</v>
      </c>
      <c r="T942" t="s">
        <v>804</v>
      </c>
      <c r="U942" t="str">
        <f t="shared" si="99"/>
        <v>PRJA132</v>
      </c>
      <c r="W942" t="str">
        <f t="shared" si="100"/>
        <v>PRJA132T1</v>
      </c>
      <c r="X942">
        <v>20.467700000000001</v>
      </c>
      <c r="Z942" t="s">
        <v>1241</v>
      </c>
      <c r="AA942" t="s">
        <v>804</v>
      </c>
      <c r="AB942" t="s">
        <v>1500</v>
      </c>
      <c r="AD942" t="s">
        <v>2751</v>
      </c>
      <c r="AE942">
        <v>20.467700000000001</v>
      </c>
      <c r="AF942">
        <v>97119</v>
      </c>
    </row>
    <row r="943" spans="18:32" x14ac:dyDescent="0.25">
      <c r="R943">
        <v>97119</v>
      </c>
      <c r="S943" t="s">
        <v>1241</v>
      </c>
      <c r="T943" t="s">
        <v>807</v>
      </c>
      <c r="U943" t="str">
        <f t="shared" si="99"/>
        <v>PRJA132</v>
      </c>
      <c r="W943" t="str">
        <f t="shared" si="100"/>
        <v>PRJA132T2</v>
      </c>
      <c r="X943">
        <v>0</v>
      </c>
      <c r="Z943" t="s">
        <v>1241</v>
      </c>
      <c r="AA943" t="s">
        <v>807</v>
      </c>
      <c r="AB943" t="s">
        <v>1500</v>
      </c>
      <c r="AD943" t="s">
        <v>2752</v>
      </c>
      <c r="AE943">
        <v>0</v>
      </c>
      <c r="AF943">
        <v>97119</v>
      </c>
    </row>
    <row r="944" spans="18:32" x14ac:dyDescent="0.25">
      <c r="R944">
        <v>97119</v>
      </c>
      <c r="S944" t="s">
        <v>1241</v>
      </c>
      <c r="T944" t="s">
        <v>808</v>
      </c>
      <c r="U944" t="str">
        <f t="shared" si="99"/>
        <v>PRJA132</v>
      </c>
      <c r="W944" t="str">
        <f t="shared" si="100"/>
        <v>PRJA132T3</v>
      </c>
      <c r="X944">
        <v>1.2457</v>
      </c>
      <c r="Z944" t="s">
        <v>1241</v>
      </c>
      <c r="AA944" t="s">
        <v>808</v>
      </c>
      <c r="AB944" t="s">
        <v>1500</v>
      </c>
      <c r="AD944" t="s">
        <v>2753</v>
      </c>
      <c r="AE944">
        <v>1.2457</v>
      </c>
      <c r="AF944">
        <v>97119</v>
      </c>
    </row>
    <row r="945" spans="18:32" x14ac:dyDescent="0.25">
      <c r="R945">
        <v>97119</v>
      </c>
      <c r="S945" t="s">
        <v>1241</v>
      </c>
      <c r="T945" t="s">
        <v>809</v>
      </c>
      <c r="U945" t="str">
        <f t="shared" si="99"/>
        <v>PRJA132</v>
      </c>
      <c r="W945" t="str">
        <f t="shared" si="100"/>
        <v>PRJA132T4</v>
      </c>
      <c r="X945">
        <v>1.2571000000000001</v>
      </c>
      <c r="Z945" t="s">
        <v>1241</v>
      </c>
      <c r="AA945" t="s">
        <v>809</v>
      </c>
      <c r="AB945" t="s">
        <v>1500</v>
      </c>
      <c r="AD945" t="s">
        <v>2754</v>
      </c>
      <c r="AE945">
        <v>1.2571000000000001</v>
      </c>
      <c r="AF945">
        <v>97119</v>
      </c>
    </row>
    <row r="946" spans="18:32" x14ac:dyDescent="0.25">
      <c r="R946">
        <v>97163</v>
      </c>
      <c r="S946" t="s">
        <v>1244</v>
      </c>
      <c r="T946" t="s">
        <v>804</v>
      </c>
      <c r="U946" t="str">
        <f t="shared" si="99"/>
        <v>PSAK132</v>
      </c>
      <c r="W946" t="str">
        <f t="shared" si="100"/>
        <v>PSAK132T1</v>
      </c>
      <c r="X946">
        <v>7.9858000000000002</v>
      </c>
      <c r="Z946" t="s">
        <v>1244</v>
      </c>
      <c r="AA946" t="s">
        <v>804</v>
      </c>
      <c r="AB946" t="s">
        <v>2755</v>
      </c>
      <c r="AD946" t="s">
        <v>2756</v>
      </c>
      <c r="AE946">
        <v>7.9858000000000002</v>
      </c>
      <c r="AF946">
        <v>97163</v>
      </c>
    </row>
    <row r="947" spans="18:32" x14ac:dyDescent="0.25">
      <c r="R947">
        <v>97163</v>
      </c>
      <c r="S947" t="s">
        <v>1244</v>
      </c>
      <c r="T947" t="s">
        <v>807</v>
      </c>
      <c r="U947" t="str">
        <f t="shared" si="99"/>
        <v>PSAK132</v>
      </c>
      <c r="W947" t="str">
        <f t="shared" si="100"/>
        <v>PSAK132T2</v>
      </c>
      <c r="X947">
        <v>16.474799999999998</v>
      </c>
      <c r="Z947" t="s">
        <v>1244</v>
      </c>
      <c r="AA947" t="s">
        <v>807</v>
      </c>
      <c r="AB947" t="s">
        <v>2755</v>
      </c>
      <c r="AD947" t="s">
        <v>2757</v>
      </c>
      <c r="AE947">
        <v>16.474799999999998</v>
      </c>
      <c r="AF947">
        <v>97163</v>
      </c>
    </row>
    <row r="948" spans="18:32" x14ac:dyDescent="0.25">
      <c r="R948">
        <v>97163</v>
      </c>
      <c r="S948" t="s">
        <v>1244</v>
      </c>
      <c r="T948" t="s">
        <v>808</v>
      </c>
      <c r="U948" t="str">
        <f t="shared" si="99"/>
        <v>PSAK132</v>
      </c>
      <c r="W948" t="str">
        <f t="shared" si="100"/>
        <v>PSAK132T3</v>
      </c>
      <c r="X948">
        <v>11.9331</v>
      </c>
      <c r="Z948" t="s">
        <v>1244</v>
      </c>
      <c r="AA948" t="s">
        <v>808</v>
      </c>
      <c r="AB948" t="s">
        <v>2755</v>
      </c>
      <c r="AD948" t="s">
        <v>2758</v>
      </c>
      <c r="AE948">
        <v>11.9331</v>
      </c>
      <c r="AF948">
        <v>97163</v>
      </c>
    </row>
    <row r="949" spans="18:32" x14ac:dyDescent="0.25">
      <c r="R949">
        <v>97163</v>
      </c>
      <c r="S949" t="s">
        <v>1244</v>
      </c>
      <c r="T949" t="s">
        <v>809</v>
      </c>
      <c r="U949" t="str">
        <f t="shared" si="99"/>
        <v>PSAK132</v>
      </c>
      <c r="W949" t="str">
        <f t="shared" si="100"/>
        <v>PSAK132T4</v>
      </c>
      <c r="X949">
        <v>12.026300000000001</v>
      </c>
      <c r="Z949" t="s">
        <v>1244</v>
      </c>
      <c r="AA949" t="s">
        <v>809</v>
      </c>
      <c r="AB949" t="s">
        <v>2755</v>
      </c>
      <c r="AD949" t="s">
        <v>2759</v>
      </c>
      <c r="AE949">
        <v>12.026300000000001</v>
      </c>
      <c r="AF949">
        <v>97163</v>
      </c>
    </row>
    <row r="950" spans="18:32" x14ac:dyDescent="0.25">
      <c r="R950">
        <v>97181</v>
      </c>
      <c r="S950" t="s">
        <v>1245</v>
      </c>
      <c r="T950" t="s">
        <v>808</v>
      </c>
      <c r="U950" t="str">
        <f t="shared" si="99"/>
        <v>PSLG132</v>
      </c>
      <c r="W950" t="str">
        <f t="shared" si="100"/>
        <v>PSLG132T3</v>
      </c>
      <c r="X950">
        <v>6.4667000000000003</v>
      </c>
      <c r="Z950" t="s">
        <v>1245</v>
      </c>
      <c r="AA950" t="s">
        <v>808</v>
      </c>
      <c r="AB950" t="s">
        <v>2760</v>
      </c>
      <c r="AD950" t="s">
        <v>2761</v>
      </c>
      <c r="AE950">
        <v>6.4667000000000003</v>
      </c>
      <c r="AF950">
        <v>97181</v>
      </c>
    </row>
    <row r="951" spans="18:32" x14ac:dyDescent="0.25">
      <c r="R951">
        <v>97181</v>
      </c>
      <c r="S951" t="s">
        <v>1245</v>
      </c>
      <c r="T951" t="s">
        <v>809</v>
      </c>
      <c r="U951" t="str">
        <f t="shared" si="99"/>
        <v>PSLG132</v>
      </c>
      <c r="W951" t="str">
        <f t="shared" si="100"/>
        <v>PSLG132T4</v>
      </c>
      <c r="X951">
        <v>7.4969999999999999</v>
      </c>
      <c r="Z951" t="s">
        <v>1245</v>
      </c>
      <c r="AA951" t="s">
        <v>809</v>
      </c>
      <c r="AB951" t="s">
        <v>2760</v>
      </c>
      <c r="AD951" t="s">
        <v>2762</v>
      </c>
      <c r="AE951">
        <v>7.4969999999999999</v>
      </c>
      <c r="AF951">
        <v>97181</v>
      </c>
    </row>
    <row r="952" spans="18:32" x14ac:dyDescent="0.25">
      <c r="R952">
        <v>97120</v>
      </c>
      <c r="S952" t="s">
        <v>1246</v>
      </c>
      <c r="T952" t="s">
        <v>804</v>
      </c>
      <c r="U952" t="str">
        <f t="shared" si="99"/>
        <v>PSRI132</v>
      </c>
      <c r="W952" t="str">
        <f t="shared" si="100"/>
        <v>PSRI132T1</v>
      </c>
      <c r="X952">
        <v>6.8032000000000004</v>
      </c>
      <c r="Z952" t="s">
        <v>1246</v>
      </c>
      <c r="AA952" t="s">
        <v>804</v>
      </c>
      <c r="AB952" t="s">
        <v>1623</v>
      </c>
      <c r="AD952" t="s">
        <v>2763</v>
      </c>
      <c r="AE952">
        <v>6.8032000000000004</v>
      </c>
      <c r="AF952">
        <v>97120</v>
      </c>
    </row>
    <row r="953" spans="18:32" x14ac:dyDescent="0.25">
      <c r="R953">
        <v>97120</v>
      </c>
      <c r="S953" t="s">
        <v>1246</v>
      </c>
      <c r="T953" t="s">
        <v>807</v>
      </c>
      <c r="U953" t="str">
        <f t="shared" si="99"/>
        <v>PSRI132</v>
      </c>
      <c r="W953" t="str">
        <f t="shared" si="100"/>
        <v>PSRI132T2</v>
      </c>
      <c r="X953">
        <v>16.16</v>
      </c>
      <c r="Z953" t="s">
        <v>1246</v>
      </c>
      <c r="AA953" t="s">
        <v>807</v>
      </c>
      <c r="AB953" t="s">
        <v>1623</v>
      </c>
      <c r="AD953" t="s">
        <v>2764</v>
      </c>
      <c r="AE953">
        <v>16.16</v>
      </c>
      <c r="AF953">
        <v>97120</v>
      </c>
    </row>
    <row r="954" spans="18:32" x14ac:dyDescent="0.25">
      <c r="R954">
        <v>97118</v>
      </c>
      <c r="S954" t="s">
        <v>1250</v>
      </c>
      <c r="T954" t="s">
        <v>804</v>
      </c>
      <c r="U954" t="str">
        <f t="shared" si="99"/>
        <v>PUBB132</v>
      </c>
      <c r="W954" t="str">
        <f t="shared" si="100"/>
        <v>PUBB132T1</v>
      </c>
      <c r="X954">
        <v>10.158200000000001</v>
      </c>
      <c r="Z954" t="s">
        <v>1250</v>
      </c>
      <c r="AA954" t="s">
        <v>804</v>
      </c>
      <c r="AB954" t="s">
        <v>1605</v>
      </c>
      <c r="AD954" t="s">
        <v>2765</v>
      </c>
      <c r="AE954">
        <v>10.158200000000001</v>
      </c>
      <c r="AF954">
        <v>97118</v>
      </c>
    </row>
    <row r="955" spans="18:32" x14ac:dyDescent="0.25">
      <c r="R955">
        <v>97118</v>
      </c>
      <c r="S955" t="s">
        <v>1250</v>
      </c>
      <c r="T955" t="s">
        <v>807</v>
      </c>
      <c r="U955" t="str">
        <f t="shared" si="99"/>
        <v>PUBB132</v>
      </c>
      <c r="W955" t="str">
        <f t="shared" si="100"/>
        <v>PUBB132T2</v>
      </c>
      <c r="X955">
        <v>10.2514</v>
      </c>
      <c r="Z955" t="s">
        <v>1250</v>
      </c>
      <c r="AA955" t="s">
        <v>807</v>
      </c>
      <c r="AB955" t="s">
        <v>1605</v>
      </c>
      <c r="AD955" t="s">
        <v>2766</v>
      </c>
      <c r="AE955">
        <v>10.2514</v>
      </c>
      <c r="AF955">
        <v>97118</v>
      </c>
    </row>
    <row r="956" spans="18:32" x14ac:dyDescent="0.25">
      <c r="R956">
        <v>97104</v>
      </c>
      <c r="S956" t="s">
        <v>1255</v>
      </c>
      <c r="T956" t="s">
        <v>804</v>
      </c>
      <c r="U956" t="str">
        <f t="shared" si="99"/>
        <v>PYSF132</v>
      </c>
      <c r="W956" t="str">
        <f t="shared" si="100"/>
        <v>PYSF132T1</v>
      </c>
      <c r="X956">
        <v>4.0208000000000004</v>
      </c>
      <c r="Z956" t="s">
        <v>1255</v>
      </c>
      <c r="AA956" t="s">
        <v>804</v>
      </c>
      <c r="AB956" t="s">
        <v>1622</v>
      </c>
      <c r="AD956" t="s">
        <v>2767</v>
      </c>
      <c r="AE956">
        <v>4.0208000000000004</v>
      </c>
      <c r="AF956">
        <v>97104</v>
      </c>
    </row>
    <row r="957" spans="18:32" x14ac:dyDescent="0.25">
      <c r="R957">
        <v>97104</v>
      </c>
      <c r="S957" t="s">
        <v>1255</v>
      </c>
      <c r="T957" t="s">
        <v>807</v>
      </c>
      <c r="U957" t="str">
        <f t="shared" si="99"/>
        <v>PYSF132</v>
      </c>
      <c r="W957" t="str">
        <f t="shared" si="100"/>
        <v>PYSF132T2</v>
      </c>
      <c r="X957">
        <v>3.9866999999999999</v>
      </c>
      <c r="Z957" t="s">
        <v>1255</v>
      </c>
      <c r="AA957" t="s">
        <v>807</v>
      </c>
      <c r="AB957" t="s">
        <v>1622</v>
      </c>
      <c r="AD957" t="s">
        <v>2768</v>
      </c>
      <c r="AE957">
        <v>3.9866999999999999</v>
      </c>
      <c r="AF957">
        <v>97104</v>
      </c>
    </row>
    <row r="958" spans="18:32" x14ac:dyDescent="0.25">
      <c r="R958">
        <v>97111</v>
      </c>
      <c r="S958" t="s">
        <v>1258</v>
      </c>
      <c r="T958" t="s">
        <v>804</v>
      </c>
      <c r="U958" t="str">
        <f t="shared" si="99"/>
        <v>RNGM132</v>
      </c>
      <c r="W958" t="str">
        <f t="shared" si="100"/>
        <v>RNGM132T1</v>
      </c>
      <c r="X958">
        <v>4.3905000000000003</v>
      </c>
      <c r="Z958" t="s">
        <v>1258</v>
      </c>
      <c r="AA958" t="s">
        <v>804</v>
      </c>
      <c r="AB958" t="s">
        <v>1607</v>
      </c>
      <c r="AD958" t="s">
        <v>2769</v>
      </c>
      <c r="AE958">
        <v>4.3905000000000003</v>
      </c>
      <c r="AF958">
        <v>97111</v>
      </c>
    </row>
    <row r="959" spans="18:32" x14ac:dyDescent="0.25">
      <c r="R959">
        <v>97111</v>
      </c>
      <c r="S959" t="s">
        <v>1258</v>
      </c>
      <c r="T959" t="s">
        <v>807</v>
      </c>
      <c r="U959" t="str">
        <f t="shared" si="99"/>
        <v>RNGM132</v>
      </c>
      <c r="W959" t="str">
        <f t="shared" si="100"/>
        <v>RNGM132T2</v>
      </c>
      <c r="X959">
        <v>4.4764999999999997</v>
      </c>
      <c r="Z959" t="s">
        <v>1258</v>
      </c>
      <c r="AA959" t="s">
        <v>807</v>
      </c>
      <c r="AB959" t="s">
        <v>1607</v>
      </c>
      <c r="AD959" t="s">
        <v>2770</v>
      </c>
      <c r="AE959">
        <v>4.4764999999999997</v>
      </c>
      <c r="AF959">
        <v>97111</v>
      </c>
    </row>
    <row r="960" spans="18:32" x14ac:dyDescent="0.25">
      <c r="R960">
        <v>97124</v>
      </c>
      <c r="S960" t="s">
        <v>1259</v>
      </c>
      <c r="T960" t="s">
        <v>804</v>
      </c>
      <c r="U960" t="str">
        <f t="shared" si="99"/>
        <v>RNGT132</v>
      </c>
      <c r="W960" t="str">
        <f t="shared" si="100"/>
        <v>RNGT132T1</v>
      </c>
      <c r="X960">
        <v>7.9526000000000003</v>
      </c>
      <c r="Z960" t="s">
        <v>1259</v>
      </c>
      <c r="AA960" t="s">
        <v>804</v>
      </c>
      <c r="AB960" t="s">
        <v>2771</v>
      </c>
      <c r="AD960" t="s">
        <v>2772</v>
      </c>
      <c r="AE960">
        <v>7.9526000000000003</v>
      </c>
      <c r="AF960">
        <v>97124</v>
      </c>
    </row>
    <row r="961" spans="18:32" x14ac:dyDescent="0.25">
      <c r="R961">
        <v>97124</v>
      </c>
      <c r="S961" t="s">
        <v>1259</v>
      </c>
      <c r="T961" t="s">
        <v>807</v>
      </c>
      <c r="U961" t="str">
        <f t="shared" si="99"/>
        <v>RNGT132</v>
      </c>
      <c r="W961" t="str">
        <f t="shared" si="100"/>
        <v>RNGT132T2</v>
      </c>
      <c r="X961">
        <v>6.7203999999999997</v>
      </c>
      <c r="Z961" t="s">
        <v>1259</v>
      </c>
      <c r="AA961" t="s">
        <v>807</v>
      </c>
      <c r="AB961" t="s">
        <v>2771</v>
      </c>
      <c r="AD961" t="s">
        <v>2773</v>
      </c>
      <c r="AE961">
        <v>6.7203999999999997</v>
      </c>
      <c r="AF961">
        <v>97124</v>
      </c>
    </row>
    <row r="962" spans="18:32" x14ac:dyDescent="0.25">
      <c r="R962">
        <v>97124</v>
      </c>
      <c r="S962" t="s">
        <v>1259</v>
      </c>
      <c r="T962" t="s">
        <v>808</v>
      </c>
      <c r="U962" t="str">
        <f t="shared" si="99"/>
        <v>RNGT132</v>
      </c>
      <c r="W962" t="str">
        <f t="shared" si="100"/>
        <v>RNGT132T3</v>
      </c>
      <c r="X962">
        <v>9.0823999999999998</v>
      </c>
      <c r="Z962" t="s">
        <v>1259</v>
      </c>
      <c r="AA962" t="s">
        <v>808</v>
      </c>
      <c r="AB962" t="s">
        <v>2771</v>
      </c>
      <c r="AD962" t="s">
        <v>2774</v>
      </c>
      <c r="AE962">
        <v>9.0823999999999998</v>
      </c>
      <c r="AF962">
        <v>97124</v>
      </c>
    </row>
    <row r="963" spans="18:32" x14ac:dyDescent="0.25">
      <c r="R963">
        <v>97134</v>
      </c>
      <c r="S963" t="s">
        <v>1265</v>
      </c>
      <c r="T963" t="s">
        <v>804</v>
      </c>
      <c r="U963" t="str">
        <f t="shared" si="99"/>
        <v>SABG132</v>
      </c>
      <c r="W963" t="str">
        <f t="shared" si="100"/>
        <v>SABG132T1</v>
      </c>
      <c r="X963">
        <v>10.093999999999999</v>
      </c>
      <c r="Z963" t="s">
        <v>1265</v>
      </c>
      <c r="AA963" t="s">
        <v>804</v>
      </c>
      <c r="AB963" t="s">
        <v>2775</v>
      </c>
      <c r="AD963" t="s">
        <v>2776</v>
      </c>
      <c r="AE963">
        <v>10.093999999999999</v>
      </c>
      <c r="AF963">
        <v>97134</v>
      </c>
    </row>
    <row r="964" spans="18:32" x14ac:dyDescent="0.25">
      <c r="R964">
        <v>97134</v>
      </c>
      <c r="S964" t="s">
        <v>1265</v>
      </c>
      <c r="T964" t="s">
        <v>807</v>
      </c>
      <c r="U964" t="str">
        <f t="shared" ref="U964:U1027" si="101">LEFT(S964,7)</f>
        <v>SABG132</v>
      </c>
      <c r="W964" t="str">
        <f t="shared" ref="W964:W1027" si="102">U964&amp;T964</f>
        <v>SABG132T2</v>
      </c>
      <c r="X964">
        <v>11.085000000000001</v>
      </c>
      <c r="Z964" t="s">
        <v>1265</v>
      </c>
      <c r="AA964" t="s">
        <v>807</v>
      </c>
      <c r="AB964" t="s">
        <v>2775</v>
      </c>
      <c r="AD964" t="s">
        <v>2777</v>
      </c>
      <c r="AE964">
        <v>11.085000000000001</v>
      </c>
      <c r="AF964">
        <v>97134</v>
      </c>
    </row>
    <row r="965" spans="18:32" x14ac:dyDescent="0.25">
      <c r="R965">
        <v>97134</v>
      </c>
      <c r="S965" t="s">
        <v>1265</v>
      </c>
      <c r="T965" t="s">
        <v>808</v>
      </c>
      <c r="U965" t="str">
        <f t="shared" si="101"/>
        <v>SABG132</v>
      </c>
      <c r="W965" t="str">
        <f t="shared" si="102"/>
        <v>SABG132T3</v>
      </c>
      <c r="X965">
        <v>27.6737</v>
      </c>
      <c r="Z965" t="s">
        <v>1265</v>
      </c>
      <c r="AA965" t="s">
        <v>808</v>
      </c>
      <c r="AB965" t="s">
        <v>2775</v>
      </c>
      <c r="AD965" t="s">
        <v>2778</v>
      </c>
      <c r="AE965">
        <v>27.6737</v>
      </c>
      <c r="AF965">
        <v>97134</v>
      </c>
    </row>
    <row r="966" spans="18:32" x14ac:dyDescent="0.25">
      <c r="R966">
        <v>97134</v>
      </c>
      <c r="S966" t="s">
        <v>1265</v>
      </c>
      <c r="T966" t="s">
        <v>809</v>
      </c>
      <c r="U966" t="str">
        <f t="shared" si="101"/>
        <v>SABG132</v>
      </c>
      <c r="W966" t="str">
        <f t="shared" si="102"/>
        <v>SABG132T4</v>
      </c>
      <c r="X966">
        <v>27.331</v>
      </c>
      <c r="Z966" t="s">
        <v>1265</v>
      </c>
      <c r="AA966" t="s">
        <v>809</v>
      </c>
      <c r="AB966" t="s">
        <v>2775</v>
      </c>
      <c r="AD966" t="s">
        <v>2779</v>
      </c>
      <c r="AE966">
        <v>27.331</v>
      </c>
      <c r="AF966">
        <v>97134</v>
      </c>
    </row>
    <row r="967" spans="18:32" x14ac:dyDescent="0.25">
      <c r="R967">
        <v>97113</v>
      </c>
      <c r="S967" t="s">
        <v>1272</v>
      </c>
      <c r="T967" t="s">
        <v>804</v>
      </c>
      <c r="U967" t="str">
        <f t="shared" si="101"/>
        <v>SDAI132</v>
      </c>
      <c r="W967" t="str">
        <f t="shared" si="102"/>
        <v>SDAI132T1</v>
      </c>
      <c r="X967">
        <v>30.019100000000002</v>
      </c>
      <c r="Z967" t="s">
        <v>1272</v>
      </c>
      <c r="AA967" t="s">
        <v>804</v>
      </c>
      <c r="AB967" t="s">
        <v>1522</v>
      </c>
      <c r="AD967" t="s">
        <v>2780</v>
      </c>
      <c r="AE967">
        <v>30.019100000000002</v>
      </c>
      <c r="AF967">
        <v>97113</v>
      </c>
    </row>
    <row r="968" spans="18:32" x14ac:dyDescent="0.25">
      <c r="R968">
        <v>97113</v>
      </c>
      <c r="S968" t="s">
        <v>1272</v>
      </c>
      <c r="T968" t="s">
        <v>807</v>
      </c>
      <c r="U968" t="str">
        <f t="shared" si="101"/>
        <v>SDAI132</v>
      </c>
      <c r="W968" t="str">
        <f t="shared" si="102"/>
        <v>SDAI132T2</v>
      </c>
      <c r="X968">
        <v>29.783000000000001</v>
      </c>
      <c r="Z968" t="s">
        <v>1272</v>
      </c>
      <c r="AA968" t="s">
        <v>807</v>
      </c>
      <c r="AB968" t="s">
        <v>1522</v>
      </c>
      <c r="AD968" t="s">
        <v>2781</v>
      </c>
      <c r="AE968">
        <v>29.783000000000001</v>
      </c>
      <c r="AF968">
        <v>97113</v>
      </c>
    </row>
    <row r="969" spans="18:32" x14ac:dyDescent="0.25">
      <c r="R969">
        <v>97113</v>
      </c>
      <c r="S969" t="s">
        <v>1272</v>
      </c>
      <c r="T969" t="s">
        <v>848</v>
      </c>
      <c r="U969" t="str">
        <f t="shared" si="101"/>
        <v>SDAI132</v>
      </c>
      <c r="W969" t="str">
        <f t="shared" si="102"/>
        <v>SDAI132T7</v>
      </c>
      <c r="X969">
        <v>0.62749999999999995</v>
      </c>
      <c r="Z969" t="s">
        <v>1272</v>
      </c>
      <c r="AA969" t="s">
        <v>848</v>
      </c>
      <c r="AB969" t="s">
        <v>1522</v>
      </c>
      <c r="AD969" t="s">
        <v>2782</v>
      </c>
      <c r="AE969">
        <v>0.62749999999999995</v>
      </c>
      <c r="AF969">
        <v>97113</v>
      </c>
    </row>
    <row r="970" spans="18:32" x14ac:dyDescent="0.25">
      <c r="R970">
        <v>97113</v>
      </c>
      <c r="S970" t="s">
        <v>1272</v>
      </c>
      <c r="T970" t="s">
        <v>860</v>
      </c>
      <c r="U970" t="str">
        <f t="shared" si="101"/>
        <v>SDAI132</v>
      </c>
      <c r="W970" t="str">
        <f t="shared" si="102"/>
        <v>SDAI132T8</v>
      </c>
      <c r="X970">
        <v>0.67410000000000003</v>
      </c>
      <c r="Z970" t="s">
        <v>1272</v>
      </c>
      <c r="AA970" t="s">
        <v>860</v>
      </c>
      <c r="AB970" t="s">
        <v>1522</v>
      </c>
      <c r="AD970" t="s">
        <v>2783</v>
      </c>
      <c r="AE970">
        <v>0.67410000000000003</v>
      </c>
      <c r="AF970">
        <v>97113</v>
      </c>
    </row>
    <row r="971" spans="18:32" x14ac:dyDescent="0.25">
      <c r="R971">
        <v>197113</v>
      </c>
      <c r="S971" t="s">
        <v>1273</v>
      </c>
      <c r="T971" t="s">
        <v>1274</v>
      </c>
      <c r="U971" t="str">
        <f t="shared" si="101"/>
        <v>SDAI132</v>
      </c>
      <c r="W971" t="str">
        <f t="shared" si="102"/>
        <v>SDAI132T9</v>
      </c>
      <c r="X971">
        <v>0</v>
      </c>
      <c r="Z971" t="s">
        <v>1273</v>
      </c>
      <c r="AA971" t="s">
        <v>1274</v>
      </c>
      <c r="AB971" t="s">
        <v>1522</v>
      </c>
      <c r="AD971" t="s">
        <v>2784</v>
      </c>
      <c r="AE971">
        <v>0</v>
      </c>
      <c r="AF971">
        <v>197113</v>
      </c>
    </row>
    <row r="972" spans="18:32" x14ac:dyDescent="0.25">
      <c r="R972">
        <v>97137</v>
      </c>
      <c r="S972" t="s">
        <v>1277</v>
      </c>
      <c r="T972" t="s">
        <v>804</v>
      </c>
      <c r="U972" t="str">
        <f t="shared" si="101"/>
        <v>SDNK132</v>
      </c>
      <c r="W972" t="str">
        <f t="shared" si="102"/>
        <v>SDNK132T1</v>
      </c>
      <c r="X972">
        <v>2.7730999999999999</v>
      </c>
      <c r="Z972" t="s">
        <v>1277</v>
      </c>
      <c r="AA972" t="s">
        <v>804</v>
      </c>
      <c r="AB972" t="s">
        <v>2785</v>
      </c>
      <c r="AD972" t="s">
        <v>2786</v>
      </c>
      <c r="AE972">
        <v>2.7730999999999999</v>
      </c>
      <c r="AF972">
        <v>97137</v>
      </c>
    </row>
    <row r="973" spans="18:32" x14ac:dyDescent="0.25">
      <c r="R973">
        <v>97137</v>
      </c>
      <c r="S973" t="s">
        <v>1277</v>
      </c>
      <c r="T973" t="s">
        <v>807</v>
      </c>
      <c r="U973" t="str">
        <f t="shared" si="101"/>
        <v>SDNK132</v>
      </c>
      <c r="W973" t="str">
        <f t="shared" si="102"/>
        <v>SDNK132T2</v>
      </c>
      <c r="X973">
        <v>2.7740999999999998</v>
      </c>
      <c r="Z973" t="s">
        <v>1277</v>
      </c>
      <c r="AA973" t="s">
        <v>807</v>
      </c>
      <c r="AB973" t="s">
        <v>2785</v>
      </c>
      <c r="AD973" t="s">
        <v>2787</v>
      </c>
      <c r="AE973">
        <v>2.7740999999999998</v>
      </c>
      <c r="AF973">
        <v>97137</v>
      </c>
    </row>
    <row r="974" spans="18:32" x14ac:dyDescent="0.25">
      <c r="R974">
        <v>97142</v>
      </c>
      <c r="S974" t="s">
        <v>1279</v>
      </c>
      <c r="T974" t="s">
        <v>804</v>
      </c>
      <c r="U974" t="str">
        <f t="shared" si="101"/>
        <v>SELG132</v>
      </c>
      <c r="W974" t="str">
        <f t="shared" si="102"/>
        <v>SELG132T1</v>
      </c>
      <c r="X974">
        <v>14.6927</v>
      </c>
      <c r="Z974" t="s">
        <v>1279</v>
      </c>
      <c r="AA974" t="s">
        <v>804</v>
      </c>
      <c r="AB974" t="s">
        <v>1618</v>
      </c>
      <c r="AD974" t="s">
        <v>2788</v>
      </c>
      <c r="AE974">
        <v>14.6927</v>
      </c>
      <c r="AF974">
        <v>97142</v>
      </c>
    </row>
    <row r="975" spans="18:32" x14ac:dyDescent="0.25">
      <c r="R975">
        <v>97142</v>
      </c>
      <c r="S975" t="s">
        <v>1279</v>
      </c>
      <c r="T975" t="s">
        <v>807</v>
      </c>
      <c r="U975" t="str">
        <f t="shared" si="101"/>
        <v>SELG132</v>
      </c>
      <c r="W975" t="str">
        <f t="shared" si="102"/>
        <v>SELG132T2</v>
      </c>
      <c r="X975">
        <v>14.6927</v>
      </c>
      <c r="Z975" t="s">
        <v>1279</v>
      </c>
      <c r="AA975" t="s">
        <v>807</v>
      </c>
      <c r="AB975" t="s">
        <v>1618</v>
      </c>
      <c r="AD975" t="s">
        <v>2789</v>
      </c>
      <c r="AE975">
        <v>14.6927</v>
      </c>
      <c r="AF975">
        <v>97142</v>
      </c>
    </row>
    <row r="976" spans="18:32" x14ac:dyDescent="0.25">
      <c r="R976">
        <v>97146</v>
      </c>
      <c r="S976" t="s">
        <v>1280</v>
      </c>
      <c r="T976" t="s">
        <v>804</v>
      </c>
      <c r="U976" t="str">
        <f t="shared" si="101"/>
        <v>SGAD132</v>
      </c>
      <c r="W976" t="str">
        <f t="shared" si="102"/>
        <v>SGAD132T1</v>
      </c>
      <c r="X976">
        <v>15.217700000000001</v>
      </c>
      <c r="Z976" t="s">
        <v>1280</v>
      </c>
      <c r="AA976" t="s">
        <v>804</v>
      </c>
      <c r="AB976" t="s">
        <v>1620</v>
      </c>
      <c r="AD976" t="s">
        <v>2790</v>
      </c>
      <c r="AE976">
        <v>15.217700000000001</v>
      </c>
      <c r="AF976">
        <v>97146</v>
      </c>
    </row>
    <row r="977" spans="18:32" x14ac:dyDescent="0.25">
      <c r="R977">
        <v>97146</v>
      </c>
      <c r="S977" t="s">
        <v>1280</v>
      </c>
      <c r="T977" t="s">
        <v>807</v>
      </c>
      <c r="U977" t="str">
        <f t="shared" si="101"/>
        <v>SGAD132</v>
      </c>
      <c r="W977" t="str">
        <f t="shared" si="102"/>
        <v>SGAD132T2</v>
      </c>
      <c r="X977">
        <v>8.7022999999999993</v>
      </c>
      <c r="Z977" t="s">
        <v>1280</v>
      </c>
      <c r="AA977" t="s">
        <v>807</v>
      </c>
      <c r="AB977" t="s">
        <v>1620</v>
      </c>
      <c r="AD977" t="s">
        <v>2791</v>
      </c>
      <c r="AE977">
        <v>8.7022999999999993</v>
      </c>
      <c r="AF977">
        <v>97146</v>
      </c>
    </row>
    <row r="978" spans="18:32" x14ac:dyDescent="0.25">
      <c r="R978">
        <v>97146</v>
      </c>
      <c r="S978" t="s">
        <v>1280</v>
      </c>
      <c r="T978" t="s">
        <v>808</v>
      </c>
      <c r="U978" t="str">
        <f t="shared" si="101"/>
        <v>SGAD132</v>
      </c>
      <c r="W978" t="str">
        <f t="shared" si="102"/>
        <v>SGAD132T3</v>
      </c>
      <c r="X978">
        <v>11.9062</v>
      </c>
      <c r="Z978" t="s">
        <v>1280</v>
      </c>
      <c r="AA978" t="s">
        <v>808</v>
      </c>
      <c r="AB978" t="s">
        <v>1620</v>
      </c>
      <c r="AD978" t="s">
        <v>2792</v>
      </c>
      <c r="AE978">
        <v>11.9062</v>
      </c>
      <c r="AF978">
        <v>97146</v>
      </c>
    </row>
    <row r="979" spans="18:32" x14ac:dyDescent="0.25">
      <c r="R979">
        <v>97146</v>
      </c>
      <c r="S979" t="s">
        <v>1280</v>
      </c>
      <c r="T979" t="s">
        <v>809</v>
      </c>
      <c r="U979" t="str">
        <f t="shared" si="101"/>
        <v>SGAD132</v>
      </c>
      <c r="W979" t="str">
        <f t="shared" si="102"/>
        <v>SGAD132T4</v>
      </c>
      <c r="X979">
        <v>10.7537</v>
      </c>
      <c r="Z979" t="s">
        <v>1280</v>
      </c>
      <c r="AA979" t="s">
        <v>809</v>
      </c>
      <c r="AB979" t="s">
        <v>1620</v>
      </c>
      <c r="AD979" t="s">
        <v>2793</v>
      </c>
      <c r="AE979">
        <v>10.7537</v>
      </c>
      <c r="AF979">
        <v>97146</v>
      </c>
    </row>
    <row r="980" spans="18:32" x14ac:dyDescent="0.25">
      <c r="R980">
        <v>97141</v>
      </c>
      <c r="S980" t="s">
        <v>1283</v>
      </c>
      <c r="T980" t="s">
        <v>804</v>
      </c>
      <c r="U980" t="str">
        <f t="shared" si="101"/>
        <v>SGMT132</v>
      </c>
      <c r="W980" t="str">
        <f t="shared" si="102"/>
        <v>SGMT132T1</v>
      </c>
      <c r="X980">
        <v>7.9878</v>
      </c>
      <c r="Z980" t="s">
        <v>1283</v>
      </c>
      <c r="AA980" t="s">
        <v>804</v>
      </c>
      <c r="AB980" t="s">
        <v>1506</v>
      </c>
      <c r="AD980" t="s">
        <v>2794</v>
      </c>
      <c r="AE980">
        <v>7.9878</v>
      </c>
      <c r="AF980">
        <v>97141</v>
      </c>
    </row>
    <row r="981" spans="18:32" x14ac:dyDescent="0.25">
      <c r="R981">
        <v>97141</v>
      </c>
      <c r="S981" t="s">
        <v>1283</v>
      </c>
      <c r="T981" t="s">
        <v>807</v>
      </c>
      <c r="U981" t="str">
        <f t="shared" si="101"/>
        <v>SGMT132</v>
      </c>
      <c r="W981" t="str">
        <f t="shared" si="102"/>
        <v>SGMT132T2</v>
      </c>
      <c r="X981">
        <v>9.8466000000000005</v>
      </c>
      <c r="Z981" t="s">
        <v>1283</v>
      </c>
      <c r="AA981" t="s">
        <v>807</v>
      </c>
      <c r="AB981" t="s">
        <v>1506</v>
      </c>
      <c r="AD981" t="s">
        <v>2795</v>
      </c>
      <c r="AE981">
        <v>9.8466000000000005</v>
      </c>
      <c r="AF981">
        <v>97141</v>
      </c>
    </row>
    <row r="982" spans="18:32" x14ac:dyDescent="0.25">
      <c r="R982">
        <v>97126</v>
      </c>
      <c r="S982" t="s">
        <v>1292</v>
      </c>
      <c r="T982" t="s">
        <v>804</v>
      </c>
      <c r="U982" t="str">
        <f t="shared" si="101"/>
        <v>SHTE132</v>
      </c>
      <c r="W982" t="str">
        <f t="shared" si="102"/>
        <v>SHTE132T1</v>
      </c>
      <c r="X982">
        <v>33.749000000000002</v>
      </c>
      <c r="Z982" t="s">
        <v>1292</v>
      </c>
      <c r="AA982" t="s">
        <v>804</v>
      </c>
      <c r="AB982" t="s">
        <v>2796</v>
      </c>
      <c r="AD982" t="s">
        <v>2797</v>
      </c>
      <c r="AE982">
        <v>33.749000000000002</v>
      </c>
      <c r="AF982">
        <v>97126</v>
      </c>
    </row>
    <row r="983" spans="18:32" x14ac:dyDescent="0.25">
      <c r="R983">
        <v>97126</v>
      </c>
      <c r="S983" t="s">
        <v>1292</v>
      </c>
      <c r="T983" t="s">
        <v>807</v>
      </c>
      <c r="U983" t="str">
        <f t="shared" si="101"/>
        <v>SHTE132</v>
      </c>
      <c r="W983" t="str">
        <f t="shared" si="102"/>
        <v>SHTE132T2</v>
      </c>
      <c r="X983">
        <v>33.510800000000003</v>
      </c>
      <c r="Z983" t="s">
        <v>1292</v>
      </c>
      <c r="AA983" t="s">
        <v>807</v>
      </c>
      <c r="AB983" t="s">
        <v>2796</v>
      </c>
      <c r="AD983" t="s">
        <v>2798</v>
      </c>
      <c r="AE983">
        <v>33.510800000000003</v>
      </c>
      <c r="AF983">
        <v>97126</v>
      </c>
    </row>
    <row r="984" spans="18:32" x14ac:dyDescent="0.25">
      <c r="R984">
        <v>97251</v>
      </c>
      <c r="S984" t="s">
        <v>1293</v>
      </c>
      <c r="T984" t="s">
        <v>804</v>
      </c>
      <c r="U984" t="str">
        <f t="shared" si="101"/>
        <v>SIDC275</v>
      </c>
      <c r="W984" t="str">
        <f t="shared" si="102"/>
        <v>SIDC275T1</v>
      </c>
      <c r="X984">
        <v>0</v>
      </c>
      <c r="Z984" t="s">
        <v>1293</v>
      </c>
      <c r="AA984" t="s">
        <v>804</v>
      </c>
      <c r="AB984" t="s">
        <v>2799</v>
      </c>
      <c r="AD984" t="s">
        <v>2800</v>
      </c>
      <c r="AE984">
        <v>0</v>
      </c>
      <c r="AF984">
        <v>97251</v>
      </c>
    </row>
    <row r="985" spans="18:32" x14ac:dyDescent="0.25">
      <c r="R985">
        <v>97251</v>
      </c>
      <c r="S985" t="s">
        <v>1293</v>
      </c>
      <c r="T985" t="s">
        <v>807</v>
      </c>
      <c r="U985" t="str">
        <f t="shared" si="101"/>
        <v>SIDC275</v>
      </c>
      <c r="W985" t="str">
        <f t="shared" si="102"/>
        <v>SIDC275T2</v>
      </c>
      <c r="X985">
        <v>0</v>
      </c>
      <c r="Z985" t="s">
        <v>1293</v>
      </c>
      <c r="AA985" t="s">
        <v>807</v>
      </c>
      <c r="AB985" t="s">
        <v>2799</v>
      </c>
      <c r="AD985" t="s">
        <v>2801</v>
      </c>
      <c r="AE985">
        <v>0</v>
      </c>
      <c r="AF985">
        <v>97251</v>
      </c>
    </row>
    <row r="986" spans="18:32" x14ac:dyDescent="0.25">
      <c r="R986">
        <v>97190</v>
      </c>
      <c r="S986" t="s">
        <v>1300</v>
      </c>
      <c r="T986" t="s">
        <v>804</v>
      </c>
      <c r="U986" t="str">
        <f t="shared" si="101"/>
        <v>SKRG132</v>
      </c>
      <c r="W986" t="str">
        <f t="shared" si="102"/>
        <v>SKRG132T1</v>
      </c>
      <c r="X986">
        <v>2.1175999999999999</v>
      </c>
      <c r="Z986" t="s">
        <v>1300</v>
      </c>
      <c r="AA986" t="s">
        <v>804</v>
      </c>
      <c r="AB986" t="s">
        <v>2802</v>
      </c>
      <c r="AD986" t="s">
        <v>2803</v>
      </c>
      <c r="AE986">
        <v>2.1175999999999999</v>
      </c>
      <c r="AF986">
        <v>97190</v>
      </c>
    </row>
    <row r="987" spans="18:32" x14ac:dyDescent="0.25">
      <c r="R987">
        <v>597190</v>
      </c>
      <c r="S987" t="s">
        <v>1301</v>
      </c>
      <c r="T987" t="s">
        <v>807</v>
      </c>
      <c r="U987" t="str">
        <f t="shared" si="101"/>
        <v>SKRG132</v>
      </c>
      <c r="W987" t="str">
        <f t="shared" si="102"/>
        <v>SKRG132T2</v>
      </c>
      <c r="X987">
        <v>2.3754</v>
      </c>
      <c r="Z987" t="s">
        <v>1301</v>
      </c>
      <c r="AA987" t="s">
        <v>807</v>
      </c>
      <c r="AB987" t="s">
        <v>2802</v>
      </c>
      <c r="AD987" t="s">
        <v>2804</v>
      </c>
      <c r="AE987">
        <v>2.3754</v>
      </c>
      <c r="AF987">
        <v>597190</v>
      </c>
    </row>
    <row r="988" spans="18:32" x14ac:dyDescent="0.25">
      <c r="R988">
        <v>97143</v>
      </c>
      <c r="S988" t="s">
        <v>1302</v>
      </c>
      <c r="T988" t="s">
        <v>804</v>
      </c>
      <c r="U988" t="str">
        <f t="shared" si="101"/>
        <v>SLNG132</v>
      </c>
      <c r="W988" t="str">
        <f t="shared" si="102"/>
        <v>SLNG132T1</v>
      </c>
      <c r="X988">
        <v>12.476699999999999</v>
      </c>
      <c r="Z988" t="s">
        <v>1302</v>
      </c>
      <c r="AA988" t="s">
        <v>804</v>
      </c>
      <c r="AB988" t="s">
        <v>1567</v>
      </c>
      <c r="AD988" t="s">
        <v>2805</v>
      </c>
      <c r="AE988">
        <v>12.476699999999999</v>
      </c>
      <c r="AF988">
        <v>97143</v>
      </c>
    </row>
    <row r="989" spans="18:32" x14ac:dyDescent="0.25">
      <c r="R989">
        <v>97143</v>
      </c>
      <c r="S989" t="s">
        <v>1302</v>
      </c>
      <c r="T989" t="s">
        <v>807</v>
      </c>
      <c r="U989" t="str">
        <f t="shared" si="101"/>
        <v>SLNG132</v>
      </c>
      <c r="W989" t="str">
        <f t="shared" si="102"/>
        <v>SLNG132T2</v>
      </c>
      <c r="X989">
        <v>13.5661</v>
      </c>
      <c r="Z989" t="s">
        <v>1302</v>
      </c>
      <c r="AA989" t="s">
        <v>807</v>
      </c>
      <c r="AB989" t="s">
        <v>1567</v>
      </c>
      <c r="AD989" t="s">
        <v>2806</v>
      </c>
      <c r="AE989">
        <v>13.5661</v>
      </c>
      <c r="AF989">
        <v>97143</v>
      </c>
    </row>
    <row r="990" spans="18:32" x14ac:dyDescent="0.25">
      <c r="R990">
        <v>97143</v>
      </c>
      <c r="S990" t="s">
        <v>1302</v>
      </c>
      <c r="T990" t="s">
        <v>808</v>
      </c>
      <c r="U990" t="str">
        <f t="shared" si="101"/>
        <v>SLNG132</v>
      </c>
      <c r="W990" t="str">
        <f t="shared" si="102"/>
        <v>SLNG132T3</v>
      </c>
      <c r="X990">
        <v>29.151399999999999</v>
      </c>
      <c r="Z990" t="s">
        <v>1302</v>
      </c>
      <c r="AA990" t="s">
        <v>808</v>
      </c>
      <c r="AB990" t="s">
        <v>1567</v>
      </c>
      <c r="AD990" t="s">
        <v>2807</v>
      </c>
      <c r="AE990">
        <v>29.151399999999999</v>
      </c>
      <c r="AF990">
        <v>97143</v>
      </c>
    </row>
    <row r="991" spans="18:32" x14ac:dyDescent="0.25">
      <c r="R991">
        <v>97143</v>
      </c>
      <c r="S991" t="s">
        <v>1302</v>
      </c>
      <c r="T991" t="s">
        <v>809</v>
      </c>
      <c r="U991" t="str">
        <f t="shared" si="101"/>
        <v>SLNG132</v>
      </c>
      <c r="W991" t="str">
        <f t="shared" si="102"/>
        <v>SLNG132T4</v>
      </c>
      <c r="X991">
        <v>29.006399999999999</v>
      </c>
      <c r="Z991" t="s">
        <v>1302</v>
      </c>
      <c r="AA991" t="s">
        <v>809</v>
      </c>
      <c r="AB991" t="s">
        <v>1567</v>
      </c>
      <c r="AD991" t="s">
        <v>2808</v>
      </c>
      <c r="AE991">
        <v>29.006399999999999</v>
      </c>
      <c r="AF991">
        <v>97143</v>
      </c>
    </row>
    <row r="992" spans="18:32" x14ac:dyDescent="0.25">
      <c r="R992">
        <v>97154</v>
      </c>
      <c r="S992" t="s">
        <v>1306</v>
      </c>
      <c r="T992" t="s">
        <v>804</v>
      </c>
      <c r="U992" t="str">
        <f t="shared" si="101"/>
        <v>SMTI132</v>
      </c>
      <c r="W992" t="str">
        <f t="shared" si="102"/>
        <v>SMTI132T1</v>
      </c>
      <c r="X992">
        <v>9.2491000000000003</v>
      </c>
      <c r="Z992" t="s">
        <v>1306</v>
      </c>
      <c r="AA992" t="s">
        <v>804</v>
      </c>
      <c r="AB992" t="s">
        <v>2809</v>
      </c>
      <c r="AD992" t="s">
        <v>2810</v>
      </c>
      <c r="AE992">
        <v>9.2491000000000003</v>
      </c>
      <c r="AF992">
        <v>97154</v>
      </c>
    </row>
    <row r="993" spans="18:32" x14ac:dyDescent="0.25">
      <c r="R993">
        <v>97154</v>
      </c>
      <c r="S993" t="s">
        <v>1306</v>
      </c>
      <c r="T993" t="s">
        <v>807</v>
      </c>
      <c r="U993" t="str">
        <f t="shared" si="101"/>
        <v>SMTI132</v>
      </c>
      <c r="W993" t="str">
        <f t="shared" si="102"/>
        <v>SMTI132T2</v>
      </c>
      <c r="X993">
        <v>9.5090000000000003</v>
      </c>
      <c r="Z993" t="s">
        <v>1306</v>
      </c>
      <c r="AA993" t="s">
        <v>807</v>
      </c>
      <c r="AB993" t="s">
        <v>2809</v>
      </c>
      <c r="AD993" t="s">
        <v>2811</v>
      </c>
      <c r="AE993">
        <v>9.5090000000000003</v>
      </c>
      <c r="AF993">
        <v>97154</v>
      </c>
    </row>
    <row r="994" spans="18:32" x14ac:dyDescent="0.25">
      <c r="R994">
        <v>97154</v>
      </c>
      <c r="S994" t="s">
        <v>1306</v>
      </c>
      <c r="T994" t="s">
        <v>808</v>
      </c>
      <c r="U994" t="str">
        <f t="shared" si="101"/>
        <v>SMTI132</v>
      </c>
      <c r="W994" t="str">
        <f t="shared" si="102"/>
        <v>SMTI132T3</v>
      </c>
      <c r="X994">
        <v>6.9233000000000002</v>
      </c>
      <c r="Z994" t="s">
        <v>1306</v>
      </c>
      <c r="AA994" t="s">
        <v>808</v>
      </c>
      <c r="AB994" t="s">
        <v>2809</v>
      </c>
      <c r="AD994" t="s">
        <v>2812</v>
      </c>
      <c r="AE994">
        <v>6.9233000000000002</v>
      </c>
      <c r="AF994">
        <v>97154</v>
      </c>
    </row>
    <row r="995" spans="18:32" x14ac:dyDescent="0.25">
      <c r="R995">
        <v>97154</v>
      </c>
      <c r="S995" t="s">
        <v>1306</v>
      </c>
      <c r="T995" t="s">
        <v>809</v>
      </c>
      <c r="U995" t="str">
        <f t="shared" si="101"/>
        <v>SMTI132</v>
      </c>
      <c r="W995" t="str">
        <f t="shared" si="102"/>
        <v>SMTI132T4</v>
      </c>
      <c r="X995">
        <v>7.1253000000000002</v>
      </c>
      <c r="Z995" t="s">
        <v>1306</v>
      </c>
      <c r="AA995" t="s">
        <v>809</v>
      </c>
      <c r="AB995" t="s">
        <v>2809</v>
      </c>
      <c r="AD995" t="s">
        <v>2813</v>
      </c>
      <c r="AE995">
        <v>7.1253000000000002</v>
      </c>
      <c r="AF995">
        <v>97154</v>
      </c>
    </row>
    <row r="996" spans="18:32" x14ac:dyDescent="0.25">
      <c r="R996">
        <v>97162</v>
      </c>
      <c r="S996" t="s">
        <v>1309</v>
      </c>
      <c r="T996" t="s">
        <v>804</v>
      </c>
      <c r="U996" t="str">
        <f t="shared" si="101"/>
        <v>SNAI132</v>
      </c>
      <c r="W996" t="str">
        <f t="shared" si="102"/>
        <v>SNAI132T1</v>
      </c>
      <c r="X996">
        <v>9.6219000000000001</v>
      </c>
      <c r="Z996" t="s">
        <v>1309</v>
      </c>
      <c r="AA996" t="s">
        <v>804</v>
      </c>
      <c r="AB996" t="s">
        <v>1568</v>
      </c>
      <c r="AD996" t="s">
        <v>2814</v>
      </c>
      <c r="AE996">
        <v>9.6219000000000001</v>
      </c>
      <c r="AF996">
        <v>97162</v>
      </c>
    </row>
    <row r="997" spans="18:32" x14ac:dyDescent="0.25">
      <c r="R997">
        <v>97162</v>
      </c>
      <c r="S997" t="s">
        <v>1309</v>
      </c>
      <c r="T997" t="s">
        <v>807</v>
      </c>
      <c r="U997" t="str">
        <f t="shared" si="101"/>
        <v>SNAI132</v>
      </c>
      <c r="W997" t="str">
        <f t="shared" si="102"/>
        <v>SNAI132T2</v>
      </c>
      <c r="X997">
        <v>9.6228999999999996</v>
      </c>
      <c r="Z997" t="s">
        <v>1309</v>
      </c>
      <c r="AA997" t="s">
        <v>807</v>
      </c>
      <c r="AB997" t="s">
        <v>1568</v>
      </c>
      <c r="AD997" t="s">
        <v>2815</v>
      </c>
      <c r="AE997">
        <v>9.6228999999999996</v>
      </c>
      <c r="AF997">
        <v>97162</v>
      </c>
    </row>
    <row r="998" spans="18:32" x14ac:dyDescent="0.25">
      <c r="R998">
        <v>97162</v>
      </c>
      <c r="S998" t="s">
        <v>1309</v>
      </c>
      <c r="T998" t="s">
        <v>808</v>
      </c>
      <c r="U998" t="str">
        <f t="shared" si="101"/>
        <v>SNAI132</v>
      </c>
      <c r="W998" t="str">
        <f t="shared" si="102"/>
        <v>SNAI132T3</v>
      </c>
      <c r="X998">
        <v>43.069499999999998</v>
      </c>
      <c r="Z998" t="s">
        <v>1309</v>
      </c>
      <c r="AA998" t="s">
        <v>808</v>
      </c>
      <c r="AB998" t="s">
        <v>1568</v>
      </c>
      <c r="AD998" t="s">
        <v>2816</v>
      </c>
      <c r="AE998">
        <v>43.069499999999998</v>
      </c>
      <c r="AF998">
        <v>97162</v>
      </c>
    </row>
    <row r="999" spans="18:32" x14ac:dyDescent="0.25">
      <c r="R999">
        <v>97162</v>
      </c>
      <c r="S999" t="s">
        <v>1309</v>
      </c>
      <c r="T999" t="s">
        <v>809</v>
      </c>
      <c r="U999" t="str">
        <f t="shared" si="101"/>
        <v>SNAI132</v>
      </c>
      <c r="W999" t="str">
        <f t="shared" si="102"/>
        <v>SNAI132T4</v>
      </c>
      <c r="X999">
        <v>42.671900000000001</v>
      </c>
      <c r="Z999" t="s">
        <v>1309</v>
      </c>
      <c r="AA999" t="s">
        <v>809</v>
      </c>
      <c r="AB999" t="s">
        <v>1568</v>
      </c>
      <c r="AD999" t="s">
        <v>2817</v>
      </c>
      <c r="AE999">
        <v>42.671900000000001</v>
      </c>
      <c r="AF999">
        <v>97162</v>
      </c>
    </row>
    <row r="1000" spans="18:32" x14ac:dyDescent="0.25">
      <c r="R1000">
        <v>96115</v>
      </c>
      <c r="S1000" t="s">
        <v>1320</v>
      </c>
      <c r="T1000" t="s">
        <v>804</v>
      </c>
      <c r="U1000" t="str">
        <f t="shared" si="101"/>
        <v>SRBI132</v>
      </c>
      <c r="W1000" t="str">
        <f t="shared" si="102"/>
        <v>SRBI132T1</v>
      </c>
      <c r="X1000">
        <v>6.2077999999999998</v>
      </c>
      <c r="Z1000" t="s">
        <v>1320</v>
      </c>
      <c r="AA1000" t="s">
        <v>804</v>
      </c>
      <c r="AB1000" t="s">
        <v>2818</v>
      </c>
      <c r="AD1000" t="s">
        <v>2819</v>
      </c>
      <c r="AE1000">
        <v>6.2077999999999998</v>
      </c>
      <c r="AF1000">
        <v>96115</v>
      </c>
    </row>
    <row r="1001" spans="18:32" x14ac:dyDescent="0.25">
      <c r="R1001">
        <v>96115</v>
      </c>
      <c r="S1001" t="s">
        <v>1320</v>
      </c>
      <c r="T1001" t="s">
        <v>807</v>
      </c>
      <c r="U1001" t="str">
        <f t="shared" si="101"/>
        <v>SRBI132</v>
      </c>
      <c r="W1001" t="str">
        <f t="shared" si="102"/>
        <v>SRBI132T2</v>
      </c>
      <c r="X1001">
        <v>6.2182000000000004</v>
      </c>
      <c r="Z1001" t="s">
        <v>1320</v>
      </c>
      <c r="AA1001" t="s">
        <v>807</v>
      </c>
      <c r="AB1001" t="s">
        <v>2818</v>
      </c>
      <c r="AD1001" t="s">
        <v>2820</v>
      </c>
      <c r="AE1001">
        <v>6.2182000000000004</v>
      </c>
      <c r="AF1001">
        <v>96115</v>
      </c>
    </row>
    <row r="1002" spans="18:32" x14ac:dyDescent="0.25">
      <c r="R1002">
        <v>97139</v>
      </c>
      <c r="S1002" t="s">
        <v>1324</v>
      </c>
      <c r="T1002" t="s">
        <v>804</v>
      </c>
      <c r="U1002" t="str">
        <f t="shared" si="101"/>
        <v>SRGM132</v>
      </c>
      <c r="W1002" t="str">
        <f t="shared" si="102"/>
        <v>SRGM132T1</v>
      </c>
      <c r="X1002">
        <v>11.829499999999999</v>
      </c>
      <c r="Z1002" t="s">
        <v>1324</v>
      </c>
      <c r="AA1002" t="s">
        <v>804</v>
      </c>
      <c r="AB1002" t="s">
        <v>2821</v>
      </c>
      <c r="AD1002" t="s">
        <v>2822</v>
      </c>
      <c r="AE1002">
        <v>11.829499999999999</v>
      </c>
      <c r="AF1002">
        <v>97139</v>
      </c>
    </row>
    <row r="1003" spans="18:32" x14ac:dyDescent="0.25">
      <c r="R1003">
        <v>97139</v>
      </c>
      <c r="S1003" t="s">
        <v>1324</v>
      </c>
      <c r="T1003" t="s">
        <v>807</v>
      </c>
      <c r="U1003" t="str">
        <f t="shared" si="101"/>
        <v>SRGM132</v>
      </c>
      <c r="W1003" t="str">
        <f t="shared" si="102"/>
        <v>SRGM132T2</v>
      </c>
      <c r="X1003">
        <v>9.1434999999999995</v>
      </c>
      <c r="Z1003" t="s">
        <v>1324</v>
      </c>
      <c r="AA1003" t="s">
        <v>807</v>
      </c>
      <c r="AB1003" t="s">
        <v>2821</v>
      </c>
      <c r="AD1003" t="s">
        <v>2823</v>
      </c>
      <c r="AE1003">
        <v>9.1434999999999995</v>
      </c>
      <c r="AF1003">
        <v>97139</v>
      </c>
    </row>
    <row r="1004" spans="18:32" x14ac:dyDescent="0.25">
      <c r="R1004">
        <v>97125</v>
      </c>
      <c r="S1004" t="s">
        <v>1330</v>
      </c>
      <c r="T1004" t="s">
        <v>808</v>
      </c>
      <c r="U1004" t="str">
        <f t="shared" si="101"/>
        <v>SSLG132</v>
      </c>
      <c r="W1004" t="str">
        <f t="shared" si="102"/>
        <v>SSLG132T3</v>
      </c>
      <c r="X1004">
        <v>4.5012999999999996</v>
      </c>
      <c r="Z1004" t="s">
        <v>1330</v>
      </c>
      <c r="AA1004" t="s">
        <v>808</v>
      </c>
      <c r="AB1004" t="s">
        <v>1624</v>
      </c>
      <c r="AD1004" t="s">
        <v>2824</v>
      </c>
      <c r="AE1004">
        <v>4.5012999999999996</v>
      </c>
      <c r="AF1004">
        <v>97125</v>
      </c>
    </row>
    <row r="1005" spans="18:32" x14ac:dyDescent="0.25">
      <c r="R1005">
        <v>97125</v>
      </c>
      <c r="S1005" t="s">
        <v>1330</v>
      </c>
      <c r="T1005" t="s">
        <v>809</v>
      </c>
      <c r="U1005" t="str">
        <f t="shared" si="101"/>
        <v>SSLG132</v>
      </c>
      <c r="W1005" t="str">
        <f t="shared" si="102"/>
        <v>SSLG132T4</v>
      </c>
      <c r="X1005">
        <v>4.5106000000000002</v>
      </c>
      <c r="Z1005" t="s">
        <v>1330</v>
      </c>
      <c r="AA1005" t="s">
        <v>809</v>
      </c>
      <c r="AB1005" t="s">
        <v>1624</v>
      </c>
      <c r="AD1005" t="s">
        <v>2825</v>
      </c>
      <c r="AE1005">
        <v>4.5106000000000002</v>
      </c>
      <c r="AF1005">
        <v>97125</v>
      </c>
    </row>
    <row r="1006" spans="18:32" x14ac:dyDescent="0.25">
      <c r="R1006">
        <v>97254</v>
      </c>
      <c r="S1006" t="s">
        <v>1336</v>
      </c>
      <c r="T1006" t="s">
        <v>804</v>
      </c>
      <c r="U1006" t="str">
        <f t="shared" si="101"/>
        <v>STDC275</v>
      </c>
      <c r="W1006" t="str">
        <f t="shared" si="102"/>
        <v>STDC275T1</v>
      </c>
      <c r="X1006">
        <v>2.1890000000000001</v>
      </c>
      <c r="Z1006" t="s">
        <v>1336</v>
      </c>
      <c r="AA1006" t="s">
        <v>804</v>
      </c>
      <c r="AB1006" t="s">
        <v>2826</v>
      </c>
      <c r="AD1006" t="s">
        <v>2827</v>
      </c>
      <c r="AE1006">
        <v>2.1890000000000001</v>
      </c>
      <c r="AF1006">
        <v>97254</v>
      </c>
    </row>
    <row r="1007" spans="18:32" x14ac:dyDescent="0.25">
      <c r="R1007">
        <v>97254</v>
      </c>
      <c r="S1007" t="s">
        <v>1336</v>
      </c>
      <c r="T1007" t="s">
        <v>807</v>
      </c>
      <c r="U1007" t="str">
        <f t="shared" si="101"/>
        <v>STDC275</v>
      </c>
      <c r="W1007" t="str">
        <f t="shared" si="102"/>
        <v>STDC275T2</v>
      </c>
      <c r="X1007">
        <v>2.1890000000000001</v>
      </c>
      <c r="Z1007" t="s">
        <v>1336</v>
      </c>
      <c r="AA1007" t="s">
        <v>807</v>
      </c>
      <c r="AB1007" t="s">
        <v>2826</v>
      </c>
      <c r="AD1007" t="s">
        <v>2828</v>
      </c>
      <c r="AE1007">
        <v>2.1890000000000001</v>
      </c>
      <c r="AF1007">
        <v>97254</v>
      </c>
    </row>
    <row r="1008" spans="18:32" x14ac:dyDescent="0.25">
      <c r="R1008">
        <v>97254</v>
      </c>
      <c r="S1008" t="s">
        <v>1336</v>
      </c>
      <c r="T1008" t="s">
        <v>808</v>
      </c>
      <c r="U1008" t="str">
        <f t="shared" si="101"/>
        <v>STDC275</v>
      </c>
      <c r="W1008" t="str">
        <f t="shared" si="102"/>
        <v>STDC275T3</v>
      </c>
      <c r="X1008">
        <v>2.1890000000000001</v>
      </c>
      <c r="Z1008" t="s">
        <v>1336</v>
      </c>
      <c r="AA1008" t="s">
        <v>808</v>
      </c>
      <c r="AB1008" t="s">
        <v>2826</v>
      </c>
      <c r="AD1008" t="s">
        <v>2829</v>
      </c>
      <c r="AE1008">
        <v>2.1890000000000001</v>
      </c>
      <c r="AF1008">
        <v>97254</v>
      </c>
    </row>
    <row r="1009" spans="18:32" x14ac:dyDescent="0.25">
      <c r="R1009">
        <v>97254</v>
      </c>
      <c r="S1009" t="s">
        <v>1336</v>
      </c>
      <c r="T1009" t="s">
        <v>809</v>
      </c>
      <c r="U1009" t="str">
        <f t="shared" si="101"/>
        <v>STDC275</v>
      </c>
      <c r="W1009" t="str">
        <f t="shared" si="102"/>
        <v>STDC275T4</v>
      </c>
      <c r="X1009">
        <v>2.1890000000000001</v>
      </c>
      <c r="Z1009" t="s">
        <v>1336</v>
      </c>
      <c r="AA1009" t="s">
        <v>809</v>
      </c>
      <c r="AB1009" t="s">
        <v>2826</v>
      </c>
      <c r="AD1009" t="s">
        <v>2830</v>
      </c>
      <c r="AE1009">
        <v>2.1890000000000001</v>
      </c>
      <c r="AF1009">
        <v>97254</v>
      </c>
    </row>
    <row r="1010" spans="18:32" x14ac:dyDescent="0.25">
      <c r="R1010">
        <v>97152</v>
      </c>
      <c r="S1010" t="s">
        <v>1341</v>
      </c>
      <c r="T1010" t="s">
        <v>804</v>
      </c>
      <c r="U1010" t="str">
        <f t="shared" si="101"/>
        <v>STUL132</v>
      </c>
      <c r="W1010" t="str">
        <f t="shared" si="102"/>
        <v>STUL132T1</v>
      </c>
      <c r="X1010">
        <v>5.2914000000000003</v>
      </c>
      <c r="Z1010" t="s">
        <v>1341</v>
      </c>
      <c r="AA1010" t="s">
        <v>804</v>
      </c>
      <c r="AB1010" t="s">
        <v>1619</v>
      </c>
      <c r="AD1010" t="s">
        <v>2831</v>
      </c>
      <c r="AE1010">
        <v>5.2914000000000003</v>
      </c>
      <c r="AF1010">
        <v>97152</v>
      </c>
    </row>
    <row r="1011" spans="18:32" x14ac:dyDescent="0.25">
      <c r="R1011">
        <v>97152</v>
      </c>
      <c r="S1011" t="s">
        <v>1341</v>
      </c>
      <c r="T1011" t="s">
        <v>807</v>
      </c>
      <c r="U1011" t="str">
        <f t="shared" si="101"/>
        <v>STUL132</v>
      </c>
      <c r="W1011" t="str">
        <f t="shared" si="102"/>
        <v>STUL132T2</v>
      </c>
      <c r="X1011">
        <v>5.2778999999999998</v>
      </c>
      <c r="Z1011" t="s">
        <v>1341</v>
      </c>
      <c r="AA1011" t="s">
        <v>807</v>
      </c>
      <c r="AB1011" t="s">
        <v>1619</v>
      </c>
      <c r="AD1011" t="s">
        <v>2832</v>
      </c>
      <c r="AE1011">
        <v>5.2778999999999998</v>
      </c>
      <c r="AF1011">
        <v>97152</v>
      </c>
    </row>
    <row r="1012" spans="18:32" x14ac:dyDescent="0.25">
      <c r="R1012">
        <v>97101</v>
      </c>
      <c r="S1012" t="s">
        <v>1344</v>
      </c>
      <c r="T1012" t="s">
        <v>804</v>
      </c>
      <c r="U1012" t="str">
        <f t="shared" si="101"/>
        <v>TAGS132</v>
      </c>
      <c r="W1012" t="str">
        <f t="shared" si="102"/>
        <v>TAGS132T1</v>
      </c>
      <c r="X1012">
        <v>6.2938000000000001</v>
      </c>
      <c r="Z1012" t="s">
        <v>1344</v>
      </c>
      <c r="AA1012" t="s">
        <v>804</v>
      </c>
      <c r="AB1012" t="s">
        <v>2833</v>
      </c>
      <c r="AD1012" t="s">
        <v>2834</v>
      </c>
      <c r="AE1012">
        <v>6.2938000000000001</v>
      </c>
      <c r="AF1012">
        <v>97101</v>
      </c>
    </row>
    <row r="1013" spans="18:32" x14ac:dyDescent="0.25">
      <c r="R1013">
        <v>97101</v>
      </c>
      <c r="S1013" t="s">
        <v>1344</v>
      </c>
      <c r="T1013" t="s">
        <v>807</v>
      </c>
      <c r="U1013" t="str">
        <f t="shared" si="101"/>
        <v>TAGS132</v>
      </c>
      <c r="W1013" t="str">
        <f t="shared" si="102"/>
        <v>TAGS132T2</v>
      </c>
      <c r="X1013">
        <v>12.265499999999999</v>
      </c>
      <c r="Z1013" t="s">
        <v>1344</v>
      </c>
      <c r="AA1013" t="s">
        <v>807</v>
      </c>
      <c r="AB1013" t="s">
        <v>2833</v>
      </c>
      <c r="AD1013" t="s">
        <v>2835</v>
      </c>
      <c r="AE1013">
        <v>12.265499999999999</v>
      </c>
      <c r="AF1013">
        <v>97101</v>
      </c>
    </row>
    <row r="1014" spans="18:32" x14ac:dyDescent="0.25">
      <c r="R1014">
        <v>97135</v>
      </c>
      <c r="S1014" t="s">
        <v>1346</v>
      </c>
      <c r="T1014" t="s">
        <v>804</v>
      </c>
      <c r="U1014" t="str">
        <f t="shared" si="101"/>
        <v>TBKR132</v>
      </c>
      <c r="W1014" t="str">
        <f t="shared" si="102"/>
        <v>TBKR132T1</v>
      </c>
      <c r="X1014">
        <v>0.67620000000000002</v>
      </c>
      <c r="Z1014" t="s">
        <v>1346</v>
      </c>
      <c r="AA1014" t="s">
        <v>804</v>
      </c>
      <c r="AB1014" t="s">
        <v>2836</v>
      </c>
      <c r="AD1014" t="s">
        <v>2837</v>
      </c>
      <c r="AE1014">
        <v>0.67620000000000002</v>
      </c>
      <c r="AF1014">
        <v>97135</v>
      </c>
    </row>
    <row r="1015" spans="18:32" x14ac:dyDescent="0.25">
      <c r="R1015">
        <v>97135</v>
      </c>
      <c r="S1015" t="s">
        <v>1346</v>
      </c>
      <c r="T1015" t="s">
        <v>807</v>
      </c>
      <c r="U1015" t="str">
        <f t="shared" si="101"/>
        <v>TBKR132</v>
      </c>
      <c r="W1015" t="str">
        <f t="shared" si="102"/>
        <v>TBKR132T2</v>
      </c>
      <c r="X1015">
        <v>0.68340000000000001</v>
      </c>
      <c r="Z1015" t="s">
        <v>1346</v>
      </c>
      <c r="AA1015" t="s">
        <v>807</v>
      </c>
      <c r="AB1015" t="s">
        <v>2836</v>
      </c>
      <c r="AD1015" t="s">
        <v>2838</v>
      </c>
      <c r="AE1015">
        <v>0.68340000000000001</v>
      </c>
      <c r="AF1015">
        <v>97135</v>
      </c>
    </row>
    <row r="1016" spans="18:32" x14ac:dyDescent="0.25">
      <c r="R1016">
        <v>97186</v>
      </c>
      <c r="S1016" t="s">
        <v>1347</v>
      </c>
      <c r="T1016" t="s">
        <v>804</v>
      </c>
      <c r="U1016" t="str">
        <f t="shared" si="101"/>
        <v>TBRU132</v>
      </c>
      <c r="W1016" t="str">
        <f t="shared" si="102"/>
        <v>TBRU132T1</v>
      </c>
      <c r="X1016">
        <v>23.229299999999999</v>
      </c>
      <c r="Z1016" t="s">
        <v>1347</v>
      </c>
      <c r="AA1016" t="s">
        <v>804</v>
      </c>
      <c r="AB1016" t="s">
        <v>1440</v>
      </c>
      <c r="AD1016" t="s">
        <v>2839</v>
      </c>
      <c r="AE1016">
        <v>23.229299999999999</v>
      </c>
      <c r="AF1016">
        <v>97186</v>
      </c>
    </row>
    <row r="1017" spans="18:32" x14ac:dyDescent="0.25">
      <c r="R1017">
        <v>97186</v>
      </c>
      <c r="S1017" t="s">
        <v>1347</v>
      </c>
      <c r="T1017" t="s">
        <v>807</v>
      </c>
      <c r="U1017" t="str">
        <f t="shared" si="101"/>
        <v>TBRU132</v>
      </c>
      <c r="W1017" t="str">
        <f t="shared" si="102"/>
        <v>TBRU132T2</v>
      </c>
      <c r="X1017">
        <v>0</v>
      </c>
      <c r="Z1017" t="s">
        <v>1347</v>
      </c>
      <c r="AA1017" t="s">
        <v>807</v>
      </c>
      <c r="AB1017" t="s">
        <v>1440</v>
      </c>
      <c r="AD1017" t="s">
        <v>2840</v>
      </c>
      <c r="AE1017">
        <v>0</v>
      </c>
      <c r="AF1017">
        <v>97186</v>
      </c>
    </row>
    <row r="1018" spans="18:32" x14ac:dyDescent="0.25">
      <c r="R1018">
        <v>97186</v>
      </c>
      <c r="S1018" t="s">
        <v>1347</v>
      </c>
      <c r="T1018" t="s">
        <v>808</v>
      </c>
      <c r="U1018" t="str">
        <f t="shared" si="101"/>
        <v>TBRU132</v>
      </c>
      <c r="W1018" t="str">
        <f t="shared" si="102"/>
        <v>TBRU132T3</v>
      </c>
      <c r="X1018">
        <v>40.322299999999998</v>
      </c>
      <c r="Z1018" t="s">
        <v>1347</v>
      </c>
      <c r="AA1018" t="s">
        <v>808</v>
      </c>
      <c r="AB1018" t="s">
        <v>1440</v>
      </c>
      <c r="AD1018" t="s">
        <v>2841</v>
      </c>
      <c r="AE1018">
        <v>40.322299999999998</v>
      </c>
      <c r="AF1018">
        <v>97186</v>
      </c>
    </row>
    <row r="1019" spans="18:32" x14ac:dyDescent="0.25">
      <c r="R1019">
        <v>97186</v>
      </c>
      <c r="S1019" t="s">
        <v>1347</v>
      </c>
      <c r="T1019" t="s">
        <v>809</v>
      </c>
      <c r="U1019" t="str">
        <f t="shared" si="101"/>
        <v>TBRU132</v>
      </c>
      <c r="W1019" t="str">
        <f t="shared" si="102"/>
        <v>TBRU132T4</v>
      </c>
      <c r="X1019">
        <v>39.613999999999997</v>
      </c>
      <c r="Z1019" t="s">
        <v>1347</v>
      </c>
      <c r="AA1019" t="s">
        <v>809</v>
      </c>
      <c r="AB1019" t="s">
        <v>1440</v>
      </c>
      <c r="AD1019" t="s">
        <v>2842</v>
      </c>
      <c r="AE1019">
        <v>39.613999999999997</v>
      </c>
      <c r="AF1019">
        <v>97186</v>
      </c>
    </row>
    <row r="1020" spans="18:32" x14ac:dyDescent="0.25">
      <c r="R1020">
        <v>97128</v>
      </c>
      <c r="S1020" t="s">
        <v>1366</v>
      </c>
      <c r="T1020" t="s">
        <v>808</v>
      </c>
      <c r="U1020" t="str">
        <f t="shared" si="101"/>
        <v>TKAK132</v>
      </c>
      <c r="W1020" t="str">
        <f t="shared" si="102"/>
        <v>TKAK132T3</v>
      </c>
      <c r="X1020">
        <v>11.146100000000001</v>
      </c>
      <c r="Z1020" t="s">
        <v>1366</v>
      </c>
      <c r="AA1020" t="s">
        <v>808</v>
      </c>
      <c r="AB1020" t="s">
        <v>1504</v>
      </c>
      <c r="AD1020" t="s">
        <v>2843</v>
      </c>
      <c r="AE1020">
        <v>11.146100000000001</v>
      </c>
      <c r="AF1020">
        <v>97128</v>
      </c>
    </row>
    <row r="1021" spans="18:32" x14ac:dyDescent="0.25">
      <c r="R1021">
        <v>97128</v>
      </c>
      <c r="S1021" t="s">
        <v>1366</v>
      </c>
      <c r="T1021" t="s">
        <v>809</v>
      </c>
      <c r="U1021" t="str">
        <f t="shared" si="101"/>
        <v>TKAK132</v>
      </c>
      <c r="W1021" t="str">
        <f t="shared" si="102"/>
        <v>TKAK132T4</v>
      </c>
      <c r="X1021">
        <v>11.2041</v>
      </c>
      <c r="Z1021" t="s">
        <v>1366</v>
      </c>
      <c r="AA1021" t="s">
        <v>809</v>
      </c>
      <c r="AB1021" t="s">
        <v>1504</v>
      </c>
      <c r="AD1021" t="s">
        <v>2844</v>
      </c>
      <c r="AE1021">
        <v>11.2041</v>
      </c>
      <c r="AF1021">
        <v>97128</v>
      </c>
    </row>
    <row r="1022" spans="18:32" x14ac:dyDescent="0.25">
      <c r="R1022">
        <v>97166</v>
      </c>
      <c r="S1022" t="s">
        <v>1371</v>
      </c>
      <c r="T1022" t="s">
        <v>804</v>
      </c>
      <c r="U1022" t="str">
        <f t="shared" si="101"/>
        <v>TKPG132</v>
      </c>
      <c r="W1022" t="str">
        <f t="shared" si="102"/>
        <v>TKPG132T1</v>
      </c>
      <c r="X1022">
        <v>5.6683000000000003</v>
      </c>
      <c r="Z1022" t="s">
        <v>1371</v>
      </c>
      <c r="AA1022" t="s">
        <v>804</v>
      </c>
      <c r="AB1022" t="s">
        <v>2845</v>
      </c>
      <c r="AD1022" t="s">
        <v>2846</v>
      </c>
      <c r="AE1022">
        <v>5.6683000000000003</v>
      </c>
      <c r="AF1022">
        <v>97166</v>
      </c>
    </row>
    <row r="1023" spans="18:32" x14ac:dyDescent="0.25">
      <c r="R1023">
        <v>97166</v>
      </c>
      <c r="S1023" t="s">
        <v>1371</v>
      </c>
      <c r="T1023" t="s">
        <v>807</v>
      </c>
      <c r="U1023" t="str">
        <f t="shared" si="101"/>
        <v>TKPG132</v>
      </c>
      <c r="W1023" t="str">
        <f t="shared" si="102"/>
        <v>TKPG132T2</v>
      </c>
      <c r="X1023">
        <v>5.9603000000000002</v>
      </c>
      <c r="Z1023" t="s">
        <v>1371</v>
      </c>
      <c r="AA1023" t="s">
        <v>807</v>
      </c>
      <c r="AB1023" t="s">
        <v>2845</v>
      </c>
      <c r="AD1023" t="s">
        <v>2847</v>
      </c>
      <c r="AE1023">
        <v>5.9603000000000002</v>
      </c>
      <c r="AF1023">
        <v>97166</v>
      </c>
    </row>
    <row r="1024" spans="18:32" x14ac:dyDescent="0.25">
      <c r="R1024">
        <v>97166</v>
      </c>
      <c r="S1024" t="s">
        <v>1371</v>
      </c>
      <c r="T1024" t="s">
        <v>808</v>
      </c>
      <c r="U1024" t="str">
        <f t="shared" si="101"/>
        <v>TKPG132</v>
      </c>
      <c r="W1024" t="str">
        <f t="shared" si="102"/>
        <v>TKPG132T3</v>
      </c>
      <c r="X1024">
        <v>15.0562</v>
      </c>
      <c r="Z1024" t="s">
        <v>1371</v>
      </c>
      <c r="AA1024" t="s">
        <v>808</v>
      </c>
      <c r="AB1024" t="s">
        <v>2845</v>
      </c>
      <c r="AD1024" t="s">
        <v>2848</v>
      </c>
      <c r="AE1024">
        <v>15.0562</v>
      </c>
      <c r="AF1024">
        <v>97166</v>
      </c>
    </row>
    <row r="1025" spans="18:32" x14ac:dyDescent="0.25">
      <c r="R1025">
        <v>97166</v>
      </c>
      <c r="S1025" t="s">
        <v>1371</v>
      </c>
      <c r="T1025" t="s">
        <v>809</v>
      </c>
      <c r="U1025" t="str">
        <f t="shared" si="101"/>
        <v>TKPG132</v>
      </c>
      <c r="W1025" t="str">
        <f t="shared" si="102"/>
        <v>TKPG132T4</v>
      </c>
      <c r="X1025">
        <v>15.014699999999999</v>
      </c>
      <c r="Z1025" t="s">
        <v>1371</v>
      </c>
      <c r="AA1025" t="s">
        <v>809</v>
      </c>
      <c r="AB1025" t="s">
        <v>2845</v>
      </c>
      <c r="AD1025" t="s">
        <v>2849</v>
      </c>
      <c r="AE1025">
        <v>15.014699999999999</v>
      </c>
      <c r="AF1025">
        <v>97166</v>
      </c>
    </row>
    <row r="1026" spans="18:32" x14ac:dyDescent="0.25">
      <c r="R1026">
        <v>97180</v>
      </c>
      <c r="S1026" t="s">
        <v>1372</v>
      </c>
      <c r="T1026" t="s">
        <v>804</v>
      </c>
      <c r="U1026" t="str">
        <f t="shared" si="101"/>
        <v>TLBH132</v>
      </c>
      <c r="W1026" t="str">
        <f t="shared" si="102"/>
        <v>TLBH132T1</v>
      </c>
      <c r="X1026">
        <v>12.6745</v>
      </c>
      <c r="Z1026" t="s">
        <v>1372</v>
      </c>
      <c r="AA1026" t="s">
        <v>804</v>
      </c>
      <c r="AB1026" t="s">
        <v>2850</v>
      </c>
      <c r="AD1026" t="s">
        <v>2851</v>
      </c>
      <c r="AE1026">
        <v>12.6745</v>
      </c>
      <c r="AF1026">
        <v>97180</v>
      </c>
    </row>
    <row r="1027" spans="18:32" x14ac:dyDescent="0.25">
      <c r="R1027">
        <v>97180</v>
      </c>
      <c r="S1027" t="s">
        <v>1372</v>
      </c>
      <c r="T1027" t="s">
        <v>807</v>
      </c>
      <c r="U1027" t="str">
        <f t="shared" si="101"/>
        <v>TLBH132</v>
      </c>
      <c r="W1027" t="str">
        <f t="shared" si="102"/>
        <v>TLBH132T2</v>
      </c>
      <c r="X1027">
        <v>12.2738</v>
      </c>
      <c r="Z1027" t="s">
        <v>1372</v>
      </c>
      <c r="AA1027" t="s">
        <v>807</v>
      </c>
      <c r="AB1027" t="s">
        <v>2850</v>
      </c>
      <c r="AD1027" t="s">
        <v>2852</v>
      </c>
      <c r="AE1027">
        <v>12.2738</v>
      </c>
      <c r="AF1027">
        <v>97180</v>
      </c>
    </row>
    <row r="1028" spans="18:32" x14ac:dyDescent="0.25">
      <c r="R1028">
        <v>97184</v>
      </c>
      <c r="S1028" t="s">
        <v>1373</v>
      </c>
      <c r="T1028" t="s">
        <v>804</v>
      </c>
      <c r="U1028" t="str">
        <f t="shared" ref="U1028:U1091" si="103">LEFT(S1028,7)</f>
        <v>TLST132</v>
      </c>
      <c r="W1028" t="str">
        <f t="shared" ref="W1028:W1091" si="104">U1028&amp;T1028</f>
        <v>TLST132T1</v>
      </c>
      <c r="X1028">
        <v>8.4290000000000003</v>
      </c>
      <c r="Z1028" t="s">
        <v>1373</v>
      </c>
      <c r="AA1028" t="s">
        <v>804</v>
      </c>
      <c r="AB1028" t="s">
        <v>2853</v>
      </c>
      <c r="AD1028" t="s">
        <v>2854</v>
      </c>
      <c r="AE1028">
        <v>8.4290000000000003</v>
      </c>
      <c r="AF1028">
        <v>97184</v>
      </c>
    </row>
    <row r="1029" spans="18:32" x14ac:dyDescent="0.25">
      <c r="R1029">
        <v>97184</v>
      </c>
      <c r="S1029" t="s">
        <v>1373</v>
      </c>
      <c r="T1029" t="s">
        <v>807</v>
      </c>
      <c r="U1029" t="str">
        <f t="shared" si="103"/>
        <v>TLST132</v>
      </c>
      <c r="W1029" t="str">
        <f t="shared" si="104"/>
        <v>TLST132T2</v>
      </c>
      <c r="X1029">
        <v>8.4506999999999994</v>
      </c>
      <c r="Z1029" t="s">
        <v>1373</v>
      </c>
      <c r="AA1029" t="s">
        <v>807</v>
      </c>
      <c r="AB1029" t="s">
        <v>2853</v>
      </c>
      <c r="AD1029" t="s">
        <v>2855</v>
      </c>
      <c r="AE1029">
        <v>8.4506999999999994</v>
      </c>
      <c r="AF1029">
        <v>97184</v>
      </c>
    </row>
    <row r="1030" spans="18:32" x14ac:dyDescent="0.25">
      <c r="R1030">
        <v>97184</v>
      </c>
      <c r="S1030" t="s">
        <v>1373</v>
      </c>
      <c r="T1030" t="s">
        <v>808</v>
      </c>
      <c r="U1030" t="str">
        <f t="shared" si="103"/>
        <v>TLST132</v>
      </c>
      <c r="W1030" t="str">
        <f t="shared" si="104"/>
        <v>TLST132T3</v>
      </c>
      <c r="X1030">
        <v>8.8701000000000008</v>
      </c>
      <c r="Z1030" t="s">
        <v>1373</v>
      </c>
      <c r="AA1030" t="s">
        <v>808</v>
      </c>
      <c r="AB1030" t="s">
        <v>2853</v>
      </c>
      <c r="AD1030" t="s">
        <v>2856</v>
      </c>
      <c r="AE1030">
        <v>8.8701000000000008</v>
      </c>
      <c r="AF1030">
        <v>97184</v>
      </c>
    </row>
    <row r="1031" spans="18:32" x14ac:dyDescent="0.25">
      <c r="R1031">
        <v>97184</v>
      </c>
      <c r="S1031" t="s">
        <v>1373</v>
      </c>
      <c r="T1031" t="s">
        <v>809</v>
      </c>
      <c r="U1031" t="str">
        <f t="shared" si="103"/>
        <v>TLST132</v>
      </c>
      <c r="W1031" t="str">
        <f t="shared" si="104"/>
        <v>TLST132T4</v>
      </c>
      <c r="X1031">
        <v>8.5304000000000002</v>
      </c>
      <c r="Z1031" t="s">
        <v>1373</v>
      </c>
      <c r="AA1031" t="s">
        <v>809</v>
      </c>
      <c r="AB1031" t="s">
        <v>2853</v>
      </c>
      <c r="AD1031" t="s">
        <v>2857</v>
      </c>
      <c r="AE1031">
        <v>8.5304000000000002</v>
      </c>
      <c r="AF1031">
        <v>97184</v>
      </c>
    </row>
    <row r="1032" spans="18:32" x14ac:dyDescent="0.25">
      <c r="R1032">
        <v>97184</v>
      </c>
      <c r="S1032" t="s">
        <v>1373</v>
      </c>
      <c r="T1032" t="s">
        <v>810</v>
      </c>
      <c r="U1032" t="str">
        <f t="shared" si="103"/>
        <v>TLST132</v>
      </c>
      <c r="W1032" t="str">
        <f t="shared" si="104"/>
        <v>TLST132T5</v>
      </c>
      <c r="X1032">
        <v>24.688400000000001</v>
      </c>
      <c r="Z1032" t="s">
        <v>1373</v>
      </c>
      <c r="AA1032" t="s">
        <v>810</v>
      </c>
      <c r="AB1032" t="s">
        <v>2853</v>
      </c>
      <c r="AD1032" t="s">
        <v>2858</v>
      </c>
      <c r="AE1032">
        <v>24.688400000000001</v>
      </c>
      <c r="AF1032">
        <v>97184</v>
      </c>
    </row>
    <row r="1033" spans="18:32" x14ac:dyDescent="0.25">
      <c r="R1033">
        <v>97184</v>
      </c>
      <c r="S1033" t="s">
        <v>1373</v>
      </c>
      <c r="T1033" t="s">
        <v>812</v>
      </c>
      <c r="U1033" t="str">
        <f t="shared" si="103"/>
        <v>TLST132</v>
      </c>
      <c r="W1033" t="str">
        <f t="shared" si="104"/>
        <v>TLST132T6</v>
      </c>
      <c r="X1033">
        <v>24.683199999999999</v>
      </c>
      <c r="Z1033" t="s">
        <v>1373</v>
      </c>
      <c r="AA1033" t="s">
        <v>812</v>
      </c>
      <c r="AB1033" t="s">
        <v>2853</v>
      </c>
      <c r="AD1033" t="s">
        <v>2859</v>
      </c>
      <c r="AE1033">
        <v>24.683199999999999</v>
      </c>
      <c r="AF1033">
        <v>97184</v>
      </c>
    </row>
    <row r="1034" spans="18:32" x14ac:dyDescent="0.25">
      <c r="R1034">
        <v>97192</v>
      </c>
      <c r="S1034" t="s">
        <v>1379</v>
      </c>
      <c r="T1034" t="s">
        <v>804</v>
      </c>
      <c r="U1034" t="str">
        <f t="shared" si="103"/>
        <v>TMPI132</v>
      </c>
      <c r="W1034" t="str">
        <f t="shared" si="104"/>
        <v>TMPI132T1</v>
      </c>
      <c r="X1034">
        <v>29.0913</v>
      </c>
      <c r="Z1034" t="s">
        <v>1379</v>
      </c>
      <c r="AA1034" t="s">
        <v>804</v>
      </c>
      <c r="AB1034" t="s">
        <v>1417</v>
      </c>
      <c r="AD1034" t="s">
        <v>2860</v>
      </c>
      <c r="AE1034">
        <v>29.0913</v>
      </c>
      <c r="AF1034">
        <v>97192</v>
      </c>
    </row>
    <row r="1035" spans="18:32" x14ac:dyDescent="0.25">
      <c r="R1035">
        <v>97192</v>
      </c>
      <c r="S1035" t="s">
        <v>1379</v>
      </c>
      <c r="T1035" t="s">
        <v>807</v>
      </c>
      <c r="U1035" t="str">
        <f t="shared" si="103"/>
        <v>TMPI132</v>
      </c>
      <c r="W1035" t="str">
        <f t="shared" si="104"/>
        <v>TMPI132T2</v>
      </c>
      <c r="X1035">
        <v>27.913900000000002</v>
      </c>
      <c r="Z1035" t="s">
        <v>1379</v>
      </c>
      <c r="AA1035" t="s">
        <v>807</v>
      </c>
      <c r="AB1035" t="s">
        <v>1417</v>
      </c>
      <c r="AD1035" t="s">
        <v>2861</v>
      </c>
      <c r="AE1035">
        <v>27.913900000000002</v>
      </c>
      <c r="AF1035">
        <v>97192</v>
      </c>
    </row>
    <row r="1036" spans="18:32" x14ac:dyDescent="0.25">
      <c r="R1036">
        <v>97121</v>
      </c>
      <c r="S1036" t="s">
        <v>1384</v>
      </c>
      <c r="T1036" t="s">
        <v>804</v>
      </c>
      <c r="U1036" t="str">
        <f t="shared" si="103"/>
        <v>TPCH132</v>
      </c>
      <c r="W1036" t="str">
        <f t="shared" si="104"/>
        <v>TPCH132T1</v>
      </c>
      <c r="X1036">
        <v>11.4329</v>
      </c>
      <c r="Z1036" t="s">
        <v>1384</v>
      </c>
      <c r="AA1036" t="s">
        <v>804</v>
      </c>
      <c r="AB1036" t="s">
        <v>1579</v>
      </c>
      <c r="AD1036" t="s">
        <v>2862</v>
      </c>
      <c r="AE1036">
        <v>11.4329</v>
      </c>
      <c r="AF1036">
        <v>97121</v>
      </c>
    </row>
    <row r="1037" spans="18:32" x14ac:dyDescent="0.25">
      <c r="R1037">
        <v>97121</v>
      </c>
      <c r="S1037" t="s">
        <v>1384</v>
      </c>
      <c r="T1037" t="s">
        <v>807</v>
      </c>
      <c r="U1037" t="str">
        <f t="shared" si="103"/>
        <v>TPCH132</v>
      </c>
      <c r="W1037" t="str">
        <f t="shared" si="104"/>
        <v>TPCH132T2</v>
      </c>
      <c r="X1037">
        <v>4.8667999999999996</v>
      </c>
      <c r="Z1037" t="s">
        <v>1384</v>
      </c>
      <c r="AA1037" t="s">
        <v>807</v>
      </c>
      <c r="AB1037" t="s">
        <v>1579</v>
      </c>
      <c r="AD1037" t="s">
        <v>2863</v>
      </c>
      <c r="AE1037">
        <v>4.8667999999999996</v>
      </c>
      <c r="AF1037">
        <v>97121</v>
      </c>
    </row>
    <row r="1038" spans="18:32" x14ac:dyDescent="0.25">
      <c r="R1038">
        <v>97127</v>
      </c>
      <c r="S1038" t="s">
        <v>1389</v>
      </c>
      <c r="T1038" t="s">
        <v>804</v>
      </c>
      <c r="U1038" t="str">
        <f t="shared" si="103"/>
        <v>TPOI132</v>
      </c>
      <c r="W1038" t="str">
        <f t="shared" si="104"/>
        <v>TPOI132T1</v>
      </c>
      <c r="X1038">
        <v>11.9093</v>
      </c>
      <c r="Z1038" t="s">
        <v>1389</v>
      </c>
      <c r="AA1038" t="s">
        <v>804</v>
      </c>
      <c r="AB1038" t="s">
        <v>1577</v>
      </c>
      <c r="AD1038" t="s">
        <v>2864</v>
      </c>
      <c r="AE1038">
        <v>11.9093</v>
      </c>
      <c r="AF1038">
        <v>97127</v>
      </c>
    </row>
    <row r="1039" spans="18:32" x14ac:dyDescent="0.25">
      <c r="R1039">
        <v>97127</v>
      </c>
      <c r="S1039" t="s">
        <v>1389</v>
      </c>
      <c r="T1039" t="s">
        <v>807</v>
      </c>
      <c r="U1039" t="str">
        <f t="shared" si="103"/>
        <v>TPOI132</v>
      </c>
      <c r="W1039" t="str">
        <f t="shared" si="104"/>
        <v>TPOI132T2</v>
      </c>
      <c r="X1039">
        <v>11.916499999999999</v>
      </c>
      <c r="Z1039" t="s">
        <v>1389</v>
      </c>
      <c r="AA1039" t="s">
        <v>807</v>
      </c>
      <c r="AB1039" t="s">
        <v>1577</v>
      </c>
      <c r="AD1039" t="s">
        <v>2865</v>
      </c>
      <c r="AE1039">
        <v>11.916499999999999</v>
      </c>
      <c r="AF1039">
        <v>97127</v>
      </c>
    </row>
    <row r="1040" spans="18:32" x14ac:dyDescent="0.25">
      <c r="R1040">
        <v>97130</v>
      </c>
      <c r="S1040" t="s">
        <v>1390</v>
      </c>
      <c r="T1040" t="s">
        <v>804</v>
      </c>
      <c r="U1040" t="str">
        <f t="shared" si="103"/>
        <v>TRMN132</v>
      </c>
      <c r="W1040" t="str">
        <f t="shared" si="104"/>
        <v>TRMN132T1</v>
      </c>
      <c r="X1040">
        <v>2.4344999999999999</v>
      </c>
      <c r="Z1040" t="s">
        <v>1390</v>
      </c>
      <c r="AA1040" t="s">
        <v>804</v>
      </c>
      <c r="AB1040" t="s">
        <v>2866</v>
      </c>
      <c r="AD1040" t="s">
        <v>2867</v>
      </c>
      <c r="AE1040">
        <v>2.4344999999999999</v>
      </c>
      <c r="AF1040">
        <v>97130</v>
      </c>
    </row>
    <row r="1041" spans="18:32" x14ac:dyDescent="0.25">
      <c r="R1041">
        <v>97130</v>
      </c>
      <c r="S1041" t="s">
        <v>1390</v>
      </c>
      <c r="T1041" t="s">
        <v>807</v>
      </c>
      <c r="U1041" t="str">
        <f t="shared" si="103"/>
        <v>TRMN132</v>
      </c>
      <c r="W1041" t="str">
        <f t="shared" si="104"/>
        <v>TRMN132T2</v>
      </c>
      <c r="X1041">
        <v>2.4096000000000002</v>
      </c>
      <c r="Z1041" t="s">
        <v>1390</v>
      </c>
      <c r="AA1041" t="s">
        <v>807</v>
      </c>
      <c r="AB1041" t="s">
        <v>2866</v>
      </c>
      <c r="AD1041" t="s">
        <v>2868</v>
      </c>
      <c r="AE1041">
        <v>2.4096000000000002</v>
      </c>
      <c r="AF1041">
        <v>97130</v>
      </c>
    </row>
    <row r="1042" spans="18:32" x14ac:dyDescent="0.25">
      <c r="R1042">
        <v>97130</v>
      </c>
      <c r="S1042" t="s">
        <v>1390</v>
      </c>
      <c r="T1042" t="s">
        <v>808</v>
      </c>
      <c r="U1042" t="str">
        <f t="shared" si="103"/>
        <v>TRMN132</v>
      </c>
      <c r="W1042" t="str">
        <f t="shared" si="104"/>
        <v>TRMN132T3</v>
      </c>
      <c r="X1042">
        <v>7.3654999999999999</v>
      </c>
      <c r="Z1042" t="s">
        <v>1390</v>
      </c>
      <c r="AA1042" t="s">
        <v>808</v>
      </c>
      <c r="AB1042" t="s">
        <v>2866</v>
      </c>
      <c r="AD1042" t="s">
        <v>2869</v>
      </c>
      <c r="AE1042">
        <v>7.3654999999999999</v>
      </c>
      <c r="AF1042">
        <v>97130</v>
      </c>
    </row>
    <row r="1043" spans="18:32" x14ac:dyDescent="0.25">
      <c r="R1043">
        <v>97130</v>
      </c>
      <c r="S1043" t="s">
        <v>1390</v>
      </c>
      <c r="T1043" t="s">
        <v>809</v>
      </c>
      <c r="U1043" t="str">
        <f t="shared" si="103"/>
        <v>TRMN132</v>
      </c>
      <c r="W1043" t="str">
        <f t="shared" si="104"/>
        <v>TRMN132T4</v>
      </c>
      <c r="X1043">
        <v>6.8788</v>
      </c>
      <c r="Z1043" t="s">
        <v>1390</v>
      </c>
      <c r="AA1043" t="s">
        <v>809</v>
      </c>
      <c r="AB1043" t="s">
        <v>2866</v>
      </c>
      <c r="AD1043" t="s">
        <v>2870</v>
      </c>
      <c r="AE1043">
        <v>6.8788</v>
      </c>
      <c r="AF1043">
        <v>97130</v>
      </c>
    </row>
    <row r="1044" spans="18:32" x14ac:dyDescent="0.25">
      <c r="R1044">
        <v>97144</v>
      </c>
      <c r="S1044" t="s">
        <v>1393</v>
      </c>
      <c r="T1044" t="s">
        <v>804</v>
      </c>
      <c r="U1044" t="str">
        <f t="shared" si="103"/>
        <v>TTKJ132</v>
      </c>
      <c r="W1044" t="str">
        <f t="shared" si="104"/>
        <v>TTKJ132T1</v>
      </c>
      <c r="X1044">
        <v>0</v>
      </c>
      <c r="Z1044" t="s">
        <v>1393</v>
      </c>
      <c r="AA1044" t="s">
        <v>804</v>
      </c>
      <c r="AB1044" t="s">
        <v>2871</v>
      </c>
      <c r="AD1044" t="s">
        <v>2872</v>
      </c>
      <c r="AE1044">
        <v>0</v>
      </c>
      <c r="AF1044">
        <v>97144</v>
      </c>
    </row>
    <row r="1045" spans="18:32" x14ac:dyDescent="0.25">
      <c r="R1045">
        <v>97144</v>
      </c>
      <c r="S1045" t="s">
        <v>1393</v>
      </c>
      <c r="T1045" t="s">
        <v>807</v>
      </c>
      <c r="U1045" t="str">
        <f t="shared" si="103"/>
        <v>TTKJ132</v>
      </c>
      <c r="W1045" t="str">
        <f t="shared" si="104"/>
        <v>TTKJ132T2</v>
      </c>
      <c r="X1045">
        <v>0</v>
      </c>
      <c r="Z1045" t="s">
        <v>1393</v>
      </c>
      <c r="AA1045" t="s">
        <v>807</v>
      </c>
      <c r="AB1045" t="s">
        <v>2871</v>
      </c>
      <c r="AD1045" t="s">
        <v>2873</v>
      </c>
      <c r="AE1045">
        <v>0</v>
      </c>
      <c r="AF1045">
        <v>97144</v>
      </c>
    </row>
    <row r="1046" spans="18:32" x14ac:dyDescent="0.25">
      <c r="R1046">
        <v>97195</v>
      </c>
      <c r="S1046" t="s">
        <v>1394</v>
      </c>
      <c r="T1046" t="s">
        <v>804</v>
      </c>
      <c r="U1046" t="str">
        <f t="shared" si="103"/>
        <v>TUNI132</v>
      </c>
      <c r="W1046" t="str">
        <f t="shared" si="104"/>
        <v>TUNI132T1</v>
      </c>
      <c r="X1046">
        <v>11.582100000000001</v>
      </c>
      <c r="Z1046" t="s">
        <v>1394</v>
      </c>
      <c r="AA1046" t="s">
        <v>804</v>
      </c>
      <c r="AB1046" t="s">
        <v>2874</v>
      </c>
      <c r="AD1046" t="s">
        <v>2875</v>
      </c>
      <c r="AE1046">
        <v>11.582100000000001</v>
      </c>
      <c r="AF1046">
        <v>97195</v>
      </c>
    </row>
    <row r="1047" spans="18:32" x14ac:dyDescent="0.25">
      <c r="R1047">
        <v>97195</v>
      </c>
      <c r="S1047" t="s">
        <v>1394</v>
      </c>
      <c r="T1047" t="s">
        <v>807</v>
      </c>
      <c r="U1047" t="str">
        <f t="shared" si="103"/>
        <v>TUNI132</v>
      </c>
      <c r="W1047" t="str">
        <f t="shared" si="104"/>
        <v>TUNI132T2</v>
      </c>
      <c r="X1047">
        <v>18.030100000000001</v>
      </c>
      <c r="Z1047" t="s">
        <v>1394</v>
      </c>
      <c r="AA1047" t="s">
        <v>807</v>
      </c>
      <c r="AB1047" t="s">
        <v>2874</v>
      </c>
      <c r="AD1047" t="s">
        <v>2876</v>
      </c>
      <c r="AE1047">
        <v>18.030100000000001</v>
      </c>
      <c r="AF1047">
        <v>97195</v>
      </c>
    </row>
    <row r="1048" spans="18:32" x14ac:dyDescent="0.25">
      <c r="R1048">
        <v>97188</v>
      </c>
      <c r="S1048" t="s">
        <v>1403</v>
      </c>
      <c r="T1048" t="s">
        <v>804</v>
      </c>
      <c r="U1048" t="str">
        <f t="shared" si="103"/>
        <v>UTRM132</v>
      </c>
      <c r="W1048" t="str">
        <f t="shared" si="104"/>
        <v>UTRM132T1</v>
      </c>
      <c r="X1048">
        <v>9.2790999999999997</v>
      </c>
      <c r="Z1048" t="s">
        <v>1403</v>
      </c>
      <c r="AA1048" t="s">
        <v>804</v>
      </c>
      <c r="AB1048" t="s">
        <v>1604</v>
      </c>
      <c r="AD1048" t="s">
        <v>2877</v>
      </c>
      <c r="AE1048">
        <v>9.2790999999999997</v>
      </c>
      <c r="AF1048">
        <v>97188</v>
      </c>
    </row>
    <row r="1049" spans="18:32" x14ac:dyDescent="0.25">
      <c r="R1049">
        <v>97188</v>
      </c>
      <c r="S1049" t="s">
        <v>1403</v>
      </c>
      <c r="T1049" t="s">
        <v>807</v>
      </c>
      <c r="U1049" t="str">
        <f t="shared" si="103"/>
        <v>UTRM132</v>
      </c>
      <c r="W1049" t="str">
        <f t="shared" si="104"/>
        <v>UTRM132T2</v>
      </c>
      <c r="X1049">
        <v>9.3102</v>
      </c>
      <c r="Z1049" t="s">
        <v>1403</v>
      </c>
      <c r="AA1049" t="s">
        <v>807</v>
      </c>
      <c r="AB1049" t="s">
        <v>1604</v>
      </c>
      <c r="AD1049" t="s">
        <v>2878</v>
      </c>
      <c r="AE1049">
        <v>9.3102</v>
      </c>
      <c r="AF1049">
        <v>97188</v>
      </c>
    </row>
    <row r="1050" spans="18:32" x14ac:dyDescent="0.25">
      <c r="R1050">
        <v>97188</v>
      </c>
      <c r="S1050" t="s">
        <v>1403</v>
      </c>
      <c r="T1050" t="s">
        <v>808</v>
      </c>
      <c r="U1050" t="str">
        <f t="shared" si="103"/>
        <v>UTRM132</v>
      </c>
      <c r="W1050" t="str">
        <f t="shared" si="104"/>
        <v>UTRM132T3</v>
      </c>
      <c r="X1050">
        <v>30.555499999999999</v>
      </c>
      <c r="Z1050" t="s">
        <v>1403</v>
      </c>
      <c r="AA1050" t="s">
        <v>808</v>
      </c>
      <c r="AB1050" t="s">
        <v>1604</v>
      </c>
      <c r="AD1050" t="s">
        <v>2879</v>
      </c>
      <c r="AE1050">
        <v>30.555499999999999</v>
      </c>
      <c r="AF1050">
        <v>97188</v>
      </c>
    </row>
    <row r="1051" spans="18:32" x14ac:dyDescent="0.25">
      <c r="R1051">
        <v>97188</v>
      </c>
      <c r="S1051" t="s">
        <v>1403</v>
      </c>
      <c r="T1051" t="s">
        <v>809</v>
      </c>
      <c r="U1051" t="str">
        <f t="shared" si="103"/>
        <v>UTRM132</v>
      </c>
      <c r="W1051" t="str">
        <f t="shared" si="104"/>
        <v>UTRM132T4</v>
      </c>
      <c r="X1051">
        <v>29.683599999999998</v>
      </c>
      <c r="Z1051" t="s">
        <v>1403</v>
      </c>
      <c r="AA1051" t="s">
        <v>809</v>
      </c>
      <c r="AB1051" t="s">
        <v>1604</v>
      </c>
      <c r="AD1051" t="s">
        <v>2880</v>
      </c>
      <c r="AE1051">
        <v>29.683599999999998</v>
      </c>
      <c r="AF1051">
        <v>97188</v>
      </c>
    </row>
    <row r="1052" spans="18:32" x14ac:dyDescent="0.25">
      <c r="R1052">
        <v>97107</v>
      </c>
      <c r="S1052" t="s">
        <v>1412</v>
      </c>
      <c r="T1052" t="s">
        <v>804</v>
      </c>
      <c r="U1052" t="str">
        <f t="shared" si="103"/>
        <v>YGPG132</v>
      </c>
      <c r="W1052" t="str">
        <f t="shared" si="104"/>
        <v>YGPG132T1</v>
      </c>
      <c r="X1052">
        <v>11.4443</v>
      </c>
      <c r="Z1052" t="s">
        <v>1412</v>
      </c>
      <c r="AA1052" t="s">
        <v>804</v>
      </c>
      <c r="AB1052" t="s">
        <v>1580</v>
      </c>
      <c r="AD1052" t="s">
        <v>2881</v>
      </c>
      <c r="AE1052">
        <v>11.4443</v>
      </c>
      <c r="AF1052">
        <v>97107</v>
      </c>
    </row>
    <row r="1053" spans="18:32" x14ac:dyDescent="0.25">
      <c r="R1053">
        <v>97107</v>
      </c>
      <c r="S1053" t="s">
        <v>1412</v>
      </c>
      <c r="T1053" t="s">
        <v>807</v>
      </c>
      <c r="U1053" t="str">
        <f t="shared" si="103"/>
        <v>YGPG132</v>
      </c>
      <c r="W1053" t="str">
        <f t="shared" si="104"/>
        <v>YGPG132T2</v>
      </c>
      <c r="X1053">
        <v>9.8682999999999996</v>
      </c>
      <c r="Z1053" t="s">
        <v>1412</v>
      </c>
      <c r="AA1053" t="s">
        <v>807</v>
      </c>
      <c r="AB1053" t="s">
        <v>1580</v>
      </c>
      <c r="AD1053" t="s">
        <v>2882</v>
      </c>
      <c r="AE1053">
        <v>9.8682999999999996</v>
      </c>
      <c r="AF1053">
        <v>97107</v>
      </c>
    </row>
    <row r="1054" spans="18:32" x14ac:dyDescent="0.25">
      <c r="R1054">
        <v>97107</v>
      </c>
      <c r="S1054" t="s">
        <v>1412</v>
      </c>
      <c r="T1054" t="s">
        <v>808</v>
      </c>
      <c r="U1054" t="str">
        <f t="shared" si="103"/>
        <v>YGPG132</v>
      </c>
      <c r="W1054" t="str">
        <f t="shared" si="104"/>
        <v>YGPG132T3</v>
      </c>
      <c r="X1054">
        <v>0</v>
      </c>
      <c r="Z1054" t="s">
        <v>1412</v>
      </c>
      <c r="AA1054" t="s">
        <v>808</v>
      </c>
      <c r="AB1054" t="s">
        <v>1580</v>
      </c>
      <c r="AD1054" t="s">
        <v>2883</v>
      </c>
      <c r="AE1054">
        <v>0</v>
      </c>
      <c r="AF1054">
        <v>97107</v>
      </c>
    </row>
    <row r="1055" spans="18:32" x14ac:dyDescent="0.25">
      <c r="R1055">
        <v>97107</v>
      </c>
      <c r="S1055" t="s">
        <v>1412</v>
      </c>
      <c r="T1055" t="s">
        <v>809</v>
      </c>
      <c r="U1055" t="str">
        <f t="shared" si="103"/>
        <v>YGPG132</v>
      </c>
      <c r="W1055" t="str">
        <f t="shared" si="104"/>
        <v>YGPG132T4</v>
      </c>
      <c r="X1055">
        <v>11.073600000000001</v>
      </c>
      <c r="Z1055" t="s">
        <v>1412</v>
      </c>
      <c r="AA1055" t="s">
        <v>809</v>
      </c>
      <c r="AB1055" t="s">
        <v>1580</v>
      </c>
      <c r="AD1055" t="s">
        <v>2884</v>
      </c>
      <c r="AE1055">
        <v>11.073600000000001</v>
      </c>
      <c r="AF1055">
        <v>97107</v>
      </c>
    </row>
    <row r="1056" spans="18:32" x14ac:dyDescent="0.25">
      <c r="R1056">
        <v>74104</v>
      </c>
      <c r="S1056" t="s">
        <v>846</v>
      </c>
      <c r="T1056" t="s">
        <v>804</v>
      </c>
      <c r="U1056" t="str">
        <f t="shared" si="103"/>
        <v>ATNI132</v>
      </c>
      <c r="W1056" t="str">
        <f t="shared" si="104"/>
        <v>ATNI132T1</v>
      </c>
      <c r="X1056">
        <v>3.5973000000000002</v>
      </c>
      <c r="Z1056" t="s">
        <v>846</v>
      </c>
      <c r="AA1056" t="s">
        <v>804</v>
      </c>
      <c r="AB1056" t="s">
        <v>2885</v>
      </c>
      <c r="AD1056" t="s">
        <v>2886</v>
      </c>
      <c r="AE1056">
        <v>3.5973000000000002</v>
      </c>
      <c r="AF1056">
        <v>74104</v>
      </c>
    </row>
    <row r="1057" spans="18:32" x14ac:dyDescent="0.25">
      <c r="R1057">
        <v>74104</v>
      </c>
      <c r="S1057" t="s">
        <v>846</v>
      </c>
      <c r="T1057" t="s">
        <v>807</v>
      </c>
      <c r="U1057" t="str">
        <f t="shared" si="103"/>
        <v>ATNI132</v>
      </c>
      <c r="W1057" t="str">
        <f t="shared" si="104"/>
        <v>ATNI132T2</v>
      </c>
      <c r="X1057">
        <v>4.1006</v>
      </c>
      <c r="Z1057" t="s">
        <v>846</v>
      </c>
      <c r="AA1057" t="s">
        <v>807</v>
      </c>
      <c r="AB1057" t="s">
        <v>2885</v>
      </c>
      <c r="AD1057" t="s">
        <v>2887</v>
      </c>
      <c r="AE1057">
        <v>4.1006</v>
      </c>
      <c r="AF1057">
        <v>74104</v>
      </c>
    </row>
    <row r="1058" spans="18:32" x14ac:dyDescent="0.25">
      <c r="R1058">
        <v>74128</v>
      </c>
      <c r="S1058" t="s">
        <v>874</v>
      </c>
      <c r="T1058" t="s">
        <v>804</v>
      </c>
      <c r="U1058" t="str">
        <f t="shared" si="103"/>
        <v>BIMK132</v>
      </c>
      <c r="W1058" t="str">
        <f t="shared" si="104"/>
        <v>BIMK132T1</v>
      </c>
      <c r="X1058">
        <v>10.0526</v>
      </c>
      <c r="Z1058" t="s">
        <v>874</v>
      </c>
      <c r="AA1058" t="s">
        <v>804</v>
      </c>
      <c r="AB1058" t="s">
        <v>1456</v>
      </c>
      <c r="AD1058" t="s">
        <v>2888</v>
      </c>
      <c r="AE1058">
        <v>10.0526</v>
      </c>
      <c r="AF1058">
        <v>74128</v>
      </c>
    </row>
    <row r="1059" spans="18:32" x14ac:dyDescent="0.25">
      <c r="R1059">
        <v>74128</v>
      </c>
      <c r="S1059" t="s">
        <v>874</v>
      </c>
      <c r="T1059" t="s">
        <v>807</v>
      </c>
      <c r="U1059" t="str">
        <f t="shared" si="103"/>
        <v>BIMK132</v>
      </c>
      <c r="W1059" t="str">
        <f t="shared" si="104"/>
        <v>BIMK132T2</v>
      </c>
      <c r="X1059">
        <v>11.2828</v>
      </c>
      <c r="Z1059" t="s">
        <v>874</v>
      </c>
      <c r="AA1059" t="s">
        <v>807</v>
      </c>
      <c r="AB1059" t="s">
        <v>1456</v>
      </c>
      <c r="AD1059" t="s">
        <v>2889</v>
      </c>
      <c r="AE1059">
        <v>11.2828</v>
      </c>
      <c r="AF1059">
        <v>74128</v>
      </c>
    </row>
    <row r="1060" spans="18:32" x14ac:dyDescent="0.25">
      <c r="R1060">
        <v>74128</v>
      </c>
      <c r="S1060" t="s">
        <v>874</v>
      </c>
      <c r="T1060" t="s">
        <v>808</v>
      </c>
      <c r="U1060" t="str">
        <f t="shared" si="103"/>
        <v>BIMK132</v>
      </c>
      <c r="W1060" t="str">
        <f t="shared" si="104"/>
        <v>BIMK132T3</v>
      </c>
      <c r="X1060">
        <v>37.4146</v>
      </c>
      <c r="Z1060" t="s">
        <v>874</v>
      </c>
      <c r="AA1060" t="s">
        <v>808</v>
      </c>
      <c r="AB1060" t="s">
        <v>1456</v>
      </c>
      <c r="AD1060" t="s">
        <v>2890</v>
      </c>
      <c r="AE1060">
        <v>37.4146</v>
      </c>
      <c r="AF1060">
        <v>74128</v>
      </c>
    </row>
    <row r="1061" spans="18:32" x14ac:dyDescent="0.25">
      <c r="R1061">
        <v>74128</v>
      </c>
      <c r="S1061" t="s">
        <v>874</v>
      </c>
      <c r="T1061" t="s">
        <v>809</v>
      </c>
      <c r="U1061" t="str">
        <f t="shared" si="103"/>
        <v>BIMK132</v>
      </c>
      <c r="W1061" t="str">
        <f t="shared" si="104"/>
        <v>BIMK132T4</v>
      </c>
      <c r="X1061">
        <v>37.642400000000002</v>
      </c>
      <c r="Z1061" t="s">
        <v>874</v>
      </c>
      <c r="AA1061" t="s">
        <v>809</v>
      </c>
      <c r="AB1061" t="s">
        <v>1456</v>
      </c>
      <c r="AD1061" t="s">
        <v>2891</v>
      </c>
      <c r="AE1061">
        <v>37.642400000000002</v>
      </c>
      <c r="AF1061">
        <v>74128</v>
      </c>
    </row>
    <row r="1062" spans="18:32" x14ac:dyDescent="0.25">
      <c r="R1062">
        <v>74112</v>
      </c>
      <c r="S1062" t="s">
        <v>892</v>
      </c>
      <c r="T1062" t="s">
        <v>804</v>
      </c>
      <c r="U1062" t="str">
        <f t="shared" si="103"/>
        <v>BMSH132</v>
      </c>
      <c r="W1062" t="str">
        <f t="shared" si="104"/>
        <v>BMSH132T1</v>
      </c>
      <c r="X1062">
        <v>11.959</v>
      </c>
      <c r="Z1062" t="s">
        <v>892</v>
      </c>
      <c r="AA1062" t="s">
        <v>804</v>
      </c>
      <c r="AB1062" t="s">
        <v>2892</v>
      </c>
      <c r="AD1062" t="s">
        <v>2893</v>
      </c>
      <c r="AE1062">
        <v>11.959</v>
      </c>
      <c r="AF1062">
        <v>74112</v>
      </c>
    </row>
    <row r="1063" spans="18:32" x14ac:dyDescent="0.25">
      <c r="R1063">
        <v>74112</v>
      </c>
      <c r="S1063" t="s">
        <v>892</v>
      </c>
      <c r="T1063" t="s">
        <v>807</v>
      </c>
      <c r="U1063" t="str">
        <f t="shared" si="103"/>
        <v>BMSH132</v>
      </c>
      <c r="W1063" t="str">
        <f t="shared" si="104"/>
        <v>BMSH132T2</v>
      </c>
      <c r="X1063">
        <v>11.9041</v>
      </c>
      <c r="Z1063" t="s">
        <v>892</v>
      </c>
      <c r="AA1063" t="s">
        <v>807</v>
      </c>
      <c r="AB1063" t="s">
        <v>2892</v>
      </c>
      <c r="AD1063" t="s">
        <v>2894</v>
      </c>
      <c r="AE1063">
        <v>11.9041</v>
      </c>
      <c r="AF1063">
        <v>74112</v>
      </c>
    </row>
    <row r="1064" spans="18:32" x14ac:dyDescent="0.25">
      <c r="R1064">
        <v>74120</v>
      </c>
      <c r="S1064" t="s">
        <v>895</v>
      </c>
      <c r="T1064" t="s">
        <v>804</v>
      </c>
      <c r="U1064" t="str">
        <f t="shared" si="103"/>
        <v>BNTA132</v>
      </c>
      <c r="W1064" t="str">
        <f t="shared" si="104"/>
        <v>BNTA132T1</v>
      </c>
      <c r="X1064">
        <v>2.7812999999999999</v>
      </c>
      <c r="Z1064" t="s">
        <v>895</v>
      </c>
      <c r="AA1064" t="s">
        <v>804</v>
      </c>
      <c r="AB1064" t="s">
        <v>1488</v>
      </c>
      <c r="AD1064" t="s">
        <v>2895</v>
      </c>
      <c r="AE1064">
        <v>2.7812999999999999</v>
      </c>
      <c r="AF1064">
        <v>74120</v>
      </c>
    </row>
    <row r="1065" spans="18:32" x14ac:dyDescent="0.25">
      <c r="R1065">
        <v>74120</v>
      </c>
      <c r="S1065" t="s">
        <v>895</v>
      </c>
      <c r="T1065" t="s">
        <v>807</v>
      </c>
      <c r="U1065" t="str">
        <f t="shared" si="103"/>
        <v>BNTA132</v>
      </c>
      <c r="W1065" t="str">
        <f t="shared" si="104"/>
        <v>BNTA132T2</v>
      </c>
      <c r="X1065">
        <v>2.7896000000000001</v>
      </c>
      <c r="Z1065" t="s">
        <v>895</v>
      </c>
      <c r="AA1065" t="s">
        <v>807</v>
      </c>
      <c r="AB1065" t="s">
        <v>1488</v>
      </c>
      <c r="AD1065" t="s">
        <v>2896</v>
      </c>
      <c r="AE1065">
        <v>2.7896000000000001</v>
      </c>
      <c r="AF1065">
        <v>74120</v>
      </c>
    </row>
    <row r="1066" spans="18:32" x14ac:dyDescent="0.25">
      <c r="R1066">
        <v>74118</v>
      </c>
      <c r="S1066" t="s">
        <v>896</v>
      </c>
      <c r="T1066" t="s">
        <v>804</v>
      </c>
      <c r="U1066" t="str">
        <f t="shared" si="103"/>
        <v>BNTG132</v>
      </c>
      <c r="W1066" t="str">
        <f t="shared" si="104"/>
        <v>BNTG132T1</v>
      </c>
      <c r="X1066">
        <v>8.0809999999999995</v>
      </c>
      <c r="Z1066" t="s">
        <v>896</v>
      </c>
      <c r="AA1066" t="s">
        <v>804</v>
      </c>
      <c r="AB1066" t="s">
        <v>1457</v>
      </c>
      <c r="AD1066" t="s">
        <v>2897</v>
      </c>
      <c r="AE1066">
        <v>8.0809999999999995</v>
      </c>
      <c r="AF1066">
        <v>74118</v>
      </c>
    </row>
    <row r="1067" spans="18:32" x14ac:dyDescent="0.25">
      <c r="R1067">
        <v>74118</v>
      </c>
      <c r="S1067" t="s">
        <v>896</v>
      </c>
      <c r="T1067" t="s">
        <v>807</v>
      </c>
      <c r="U1067" t="str">
        <f t="shared" si="103"/>
        <v>BNTG132</v>
      </c>
      <c r="W1067" t="str">
        <f t="shared" si="104"/>
        <v>BNTG132T2</v>
      </c>
      <c r="X1067">
        <v>11.338699999999999</v>
      </c>
      <c r="Z1067" t="s">
        <v>896</v>
      </c>
      <c r="AA1067" t="s">
        <v>807</v>
      </c>
      <c r="AB1067" t="s">
        <v>1457</v>
      </c>
      <c r="AD1067" t="s">
        <v>2898</v>
      </c>
      <c r="AE1067">
        <v>11.338699999999999</v>
      </c>
      <c r="AF1067">
        <v>74118</v>
      </c>
    </row>
    <row r="1068" spans="18:32" x14ac:dyDescent="0.25">
      <c r="R1068">
        <v>74101</v>
      </c>
      <c r="S1068" t="s">
        <v>917</v>
      </c>
      <c r="T1068" t="s">
        <v>804</v>
      </c>
      <c r="U1068" t="str">
        <f t="shared" si="103"/>
        <v>BTRT132</v>
      </c>
      <c r="W1068" t="str">
        <f t="shared" si="104"/>
        <v>BTRT132T1</v>
      </c>
      <c r="X1068">
        <v>0.54569999999999996</v>
      </c>
      <c r="Z1068" t="s">
        <v>917</v>
      </c>
      <c r="AA1068" t="s">
        <v>804</v>
      </c>
      <c r="AB1068" t="s">
        <v>2899</v>
      </c>
      <c r="AD1068" t="s">
        <v>2900</v>
      </c>
      <c r="AE1068">
        <v>0.54569999999999996</v>
      </c>
      <c r="AF1068">
        <v>74101</v>
      </c>
    </row>
    <row r="1069" spans="18:32" x14ac:dyDescent="0.25">
      <c r="R1069">
        <v>74101</v>
      </c>
      <c r="S1069" t="s">
        <v>917</v>
      </c>
      <c r="T1069" t="s">
        <v>807</v>
      </c>
      <c r="U1069" t="str">
        <f t="shared" si="103"/>
        <v>BTRT132</v>
      </c>
      <c r="W1069" t="str">
        <f t="shared" si="104"/>
        <v>BTRT132T2</v>
      </c>
      <c r="X1069">
        <v>0.54779999999999995</v>
      </c>
      <c r="Z1069" t="s">
        <v>917</v>
      </c>
      <c r="AA1069" t="s">
        <v>807</v>
      </c>
      <c r="AB1069" t="s">
        <v>2899</v>
      </c>
      <c r="AD1069" t="s">
        <v>2901</v>
      </c>
      <c r="AE1069">
        <v>0.54779999999999995</v>
      </c>
      <c r="AF1069">
        <v>74101</v>
      </c>
    </row>
    <row r="1070" spans="18:32" x14ac:dyDescent="0.25">
      <c r="R1070">
        <v>74150</v>
      </c>
      <c r="S1070" t="s">
        <v>937</v>
      </c>
      <c r="T1070">
        <v>99</v>
      </c>
      <c r="U1070" t="str">
        <f t="shared" si="103"/>
        <v>CUFG132</v>
      </c>
      <c r="W1070" t="str">
        <f t="shared" si="104"/>
        <v>CUFG13299</v>
      </c>
      <c r="X1070">
        <v>0</v>
      </c>
      <c r="Z1070" t="s">
        <v>937</v>
      </c>
      <c r="AA1070">
        <v>99</v>
      </c>
      <c r="AB1070" t="s">
        <v>2902</v>
      </c>
      <c r="AD1070" t="s">
        <v>2903</v>
      </c>
      <c r="AE1070">
        <v>0</v>
      </c>
      <c r="AF1070">
        <v>74150</v>
      </c>
    </row>
    <row r="1071" spans="18:32" x14ac:dyDescent="0.25">
      <c r="R1071">
        <v>74137</v>
      </c>
      <c r="S1071" t="s">
        <v>966</v>
      </c>
      <c r="T1071" t="s">
        <v>804</v>
      </c>
      <c r="U1071" t="str">
        <f t="shared" si="103"/>
        <v>GBID132</v>
      </c>
      <c r="W1071" t="str">
        <f t="shared" si="104"/>
        <v>GBID132T1</v>
      </c>
      <c r="X1071">
        <v>22.395800000000001</v>
      </c>
      <c r="Z1071" t="s">
        <v>966</v>
      </c>
      <c r="AA1071" t="s">
        <v>804</v>
      </c>
      <c r="AB1071" t="s">
        <v>2904</v>
      </c>
      <c r="AD1071" t="s">
        <v>2905</v>
      </c>
      <c r="AE1071">
        <v>22.395800000000001</v>
      </c>
      <c r="AF1071">
        <v>74137</v>
      </c>
    </row>
    <row r="1072" spans="18:32" x14ac:dyDescent="0.25">
      <c r="R1072">
        <v>74137</v>
      </c>
      <c r="S1072" t="s">
        <v>966</v>
      </c>
      <c r="T1072" t="s">
        <v>807</v>
      </c>
      <c r="U1072" t="str">
        <f t="shared" si="103"/>
        <v>GBID132</v>
      </c>
      <c r="W1072" t="str">
        <f t="shared" si="104"/>
        <v>GBID132T2</v>
      </c>
      <c r="X1072">
        <v>0</v>
      </c>
      <c r="Z1072" t="s">
        <v>966</v>
      </c>
      <c r="AA1072" t="s">
        <v>807</v>
      </c>
      <c r="AB1072" t="s">
        <v>2904</v>
      </c>
      <c r="AD1072" t="s">
        <v>2906</v>
      </c>
      <c r="AE1072">
        <v>0</v>
      </c>
      <c r="AF1072">
        <v>74137</v>
      </c>
    </row>
    <row r="1073" spans="18:32" x14ac:dyDescent="0.25">
      <c r="R1073">
        <v>74138</v>
      </c>
      <c r="S1073" t="s">
        <v>967</v>
      </c>
      <c r="T1073" t="s">
        <v>804</v>
      </c>
      <c r="U1073" t="str">
        <f t="shared" si="103"/>
        <v>GBNG132</v>
      </c>
      <c r="W1073" t="str">
        <f t="shared" si="104"/>
        <v>GBNG132T1</v>
      </c>
      <c r="X1073">
        <v>2.7917000000000001</v>
      </c>
      <c r="Z1073" t="s">
        <v>967</v>
      </c>
      <c r="AA1073" t="s">
        <v>804</v>
      </c>
      <c r="AB1073" t="s">
        <v>2907</v>
      </c>
      <c r="AD1073" t="s">
        <v>2908</v>
      </c>
      <c r="AE1073">
        <v>2.7917000000000001</v>
      </c>
      <c r="AF1073">
        <v>74138</v>
      </c>
    </row>
    <row r="1074" spans="18:32" x14ac:dyDescent="0.25">
      <c r="R1074">
        <v>74138</v>
      </c>
      <c r="S1074" t="s">
        <v>967</v>
      </c>
      <c r="T1074" t="s">
        <v>807</v>
      </c>
      <c r="U1074" t="str">
        <f t="shared" si="103"/>
        <v>GBNG132</v>
      </c>
      <c r="W1074" t="str">
        <f t="shared" si="104"/>
        <v>GBNG132T2</v>
      </c>
      <c r="X1074">
        <v>7.7516999999999996</v>
      </c>
      <c r="Z1074" t="s">
        <v>967</v>
      </c>
      <c r="AA1074" t="s">
        <v>807</v>
      </c>
      <c r="AB1074" t="s">
        <v>2907</v>
      </c>
      <c r="AD1074" t="s">
        <v>2909</v>
      </c>
      <c r="AE1074">
        <v>7.7516999999999996</v>
      </c>
      <c r="AF1074">
        <v>74138</v>
      </c>
    </row>
    <row r="1075" spans="18:32" x14ac:dyDescent="0.25">
      <c r="R1075">
        <v>74138</v>
      </c>
      <c r="S1075" t="s">
        <v>967</v>
      </c>
      <c r="T1075" t="s">
        <v>808</v>
      </c>
      <c r="U1075" t="str">
        <f t="shared" si="103"/>
        <v>GBNG132</v>
      </c>
      <c r="W1075" t="str">
        <f t="shared" si="104"/>
        <v>GBNG132T3</v>
      </c>
      <c r="X1075">
        <v>12.6144</v>
      </c>
      <c r="Z1075" t="s">
        <v>967</v>
      </c>
      <c r="AA1075" t="s">
        <v>808</v>
      </c>
      <c r="AB1075" t="s">
        <v>2907</v>
      </c>
      <c r="AD1075" t="s">
        <v>2910</v>
      </c>
      <c r="AE1075">
        <v>12.6144</v>
      </c>
      <c r="AF1075">
        <v>74138</v>
      </c>
    </row>
    <row r="1076" spans="18:32" x14ac:dyDescent="0.25">
      <c r="R1076">
        <v>74138</v>
      </c>
      <c r="S1076" t="s">
        <v>967</v>
      </c>
      <c r="T1076" t="s">
        <v>809</v>
      </c>
      <c r="U1076" t="str">
        <f t="shared" si="103"/>
        <v>GBNG132</v>
      </c>
      <c r="W1076" t="str">
        <f t="shared" si="104"/>
        <v>GBNG132T4</v>
      </c>
      <c r="X1076">
        <v>12.416700000000001</v>
      </c>
      <c r="Z1076" t="s">
        <v>967</v>
      </c>
      <c r="AA1076" t="s">
        <v>809</v>
      </c>
      <c r="AB1076" t="s">
        <v>2907</v>
      </c>
      <c r="AD1076" t="s">
        <v>2911</v>
      </c>
      <c r="AE1076">
        <v>12.416700000000001</v>
      </c>
      <c r="AF1076">
        <v>74138</v>
      </c>
    </row>
    <row r="1077" spans="18:32" x14ac:dyDescent="0.25">
      <c r="R1077">
        <v>74125</v>
      </c>
      <c r="S1077" t="s">
        <v>983</v>
      </c>
      <c r="T1077" t="s">
        <v>804</v>
      </c>
      <c r="U1077" t="str">
        <f t="shared" si="103"/>
        <v>GTNG132</v>
      </c>
      <c r="W1077" t="str">
        <f t="shared" si="104"/>
        <v>GTNG132T1</v>
      </c>
      <c r="X1077">
        <v>1.0024</v>
      </c>
      <c r="Z1077" t="s">
        <v>983</v>
      </c>
      <c r="AA1077" t="s">
        <v>804</v>
      </c>
      <c r="AB1077" t="s">
        <v>2912</v>
      </c>
      <c r="AD1077" t="s">
        <v>2913</v>
      </c>
      <c r="AE1077">
        <v>1.0024</v>
      </c>
      <c r="AF1077">
        <v>74125</v>
      </c>
    </row>
    <row r="1078" spans="18:32" x14ac:dyDescent="0.25">
      <c r="R1078">
        <v>74125</v>
      </c>
      <c r="S1078" t="s">
        <v>983</v>
      </c>
      <c r="T1078" t="s">
        <v>807</v>
      </c>
      <c r="U1078" t="str">
        <f t="shared" si="103"/>
        <v>GTNG132</v>
      </c>
      <c r="W1078" t="str">
        <f t="shared" si="104"/>
        <v>GTNG132T2</v>
      </c>
      <c r="X1078">
        <v>5.9551999999999996</v>
      </c>
      <c r="Z1078" t="s">
        <v>983</v>
      </c>
      <c r="AA1078" t="s">
        <v>807</v>
      </c>
      <c r="AB1078" t="s">
        <v>2912</v>
      </c>
      <c r="AD1078" t="s">
        <v>2914</v>
      </c>
      <c r="AE1078">
        <v>5.9551999999999996</v>
      </c>
      <c r="AF1078">
        <v>74125</v>
      </c>
    </row>
    <row r="1079" spans="18:32" x14ac:dyDescent="0.25">
      <c r="R1079">
        <v>74135</v>
      </c>
      <c r="S1079" t="s">
        <v>1009</v>
      </c>
      <c r="T1079" t="s">
        <v>804</v>
      </c>
      <c r="U1079" t="str">
        <f t="shared" si="103"/>
        <v>JBRS132</v>
      </c>
      <c r="W1079" t="str">
        <f t="shared" si="104"/>
        <v>JBRS132T1</v>
      </c>
      <c r="X1079">
        <v>9.0151000000000003</v>
      </c>
      <c r="Z1079" t="s">
        <v>1009</v>
      </c>
      <c r="AA1079" t="s">
        <v>804</v>
      </c>
      <c r="AB1079" t="s">
        <v>2915</v>
      </c>
      <c r="AD1079" t="s">
        <v>2916</v>
      </c>
      <c r="AE1079">
        <v>9.0151000000000003</v>
      </c>
      <c r="AF1079">
        <v>74135</v>
      </c>
    </row>
    <row r="1080" spans="18:32" x14ac:dyDescent="0.25">
      <c r="R1080">
        <v>74135</v>
      </c>
      <c r="S1080" t="s">
        <v>1009</v>
      </c>
      <c r="T1080" t="s">
        <v>807</v>
      </c>
      <c r="U1080" t="str">
        <f t="shared" si="103"/>
        <v>JBRS132</v>
      </c>
      <c r="W1080" t="str">
        <f t="shared" si="104"/>
        <v>JBRS132T2</v>
      </c>
      <c r="X1080">
        <v>7.8034999999999997</v>
      </c>
      <c r="Z1080" t="s">
        <v>1009</v>
      </c>
      <c r="AA1080" t="s">
        <v>807</v>
      </c>
      <c r="AB1080" t="s">
        <v>2915</v>
      </c>
      <c r="AD1080" t="s">
        <v>2917</v>
      </c>
      <c r="AE1080">
        <v>7.8034999999999997</v>
      </c>
      <c r="AF1080">
        <v>74135</v>
      </c>
    </row>
    <row r="1081" spans="18:32" x14ac:dyDescent="0.25">
      <c r="R1081">
        <v>74135</v>
      </c>
      <c r="S1081" t="s">
        <v>1009</v>
      </c>
      <c r="T1081" t="s">
        <v>808</v>
      </c>
      <c r="U1081" t="str">
        <f t="shared" si="103"/>
        <v>JBRS132</v>
      </c>
      <c r="W1081" t="str">
        <f t="shared" si="104"/>
        <v>JBRS132T3</v>
      </c>
      <c r="X1081">
        <v>4.1958000000000002</v>
      </c>
      <c r="Z1081" t="s">
        <v>1009</v>
      </c>
      <c r="AA1081" t="s">
        <v>808</v>
      </c>
      <c r="AB1081" t="s">
        <v>2915</v>
      </c>
      <c r="AD1081" t="s">
        <v>2918</v>
      </c>
      <c r="AE1081">
        <v>4.1958000000000002</v>
      </c>
      <c r="AF1081">
        <v>74135</v>
      </c>
    </row>
    <row r="1082" spans="18:32" x14ac:dyDescent="0.25">
      <c r="R1082">
        <v>74135</v>
      </c>
      <c r="S1082" t="s">
        <v>1009</v>
      </c>
      <c r="T1082" t="s">
        <v>809</v>
      </c>
      <c r="U1082" t="str">
        <f t="shared" si="103"/>
        <v>JBRS132</v>
      </c>
      <c r="W1082" t="str">
        <f t="shared" si="104"/>
        <v>JBRS132T4</v>
      </c>
      <c r="X1082">
        <v>4.1772</v>
      </c>
      <c r="Z1082" t="s">
        <v>1009</v>
      </c>
      <c r="AA1082" t="s">
        <v>809</v>
      </c>
      <c r="AB1082" t="s">
        <v>2915</v>
      </c>
      <c r="AD1082" t="s">
        <v>2919</v>
      </c>
      <c r="AE1082">
        <v>4.1772</v>
      </c>
      <c r="AF1082">
        <v>74135</v>
      </c>
    </row>
    <row r="1083" spans="18:32" x14ac:dyDescent="0.25">
      <c r="R1083">
        <v>74123</v>
      </c>
      <c r="S1083" t="s">
        <v>1017</v>
      </c>
      <c r="T1083" t="s">
        <v>804</v>
      </c>
      <c r="U1083" t="str">
        <f t="shared" si="103"/>
        <v>JNKA132</v>
      </c>
      <c r="W1083" t="str">
        <f t="shared" si="104"/>
        <v>JNKA132T1</v>
      </c>
      <c r="X1083">
        <v>12.594799999999999</v>
      </c>
      <c r="Z1083" t="s">
        <v>1017</v>
      </c>
      <c r="AA1083" t="s">
        <v>804</v>
      </c>
      <c r="AB1083" t="s">
        <v>1490</v>
      </c>
      <c r="AD1083" t="s">
        <v>2920</v>
      </c>
      <c r="AE1083">
        <v>12.594799999999999</v>
      </c>
      <c r="AF1083">
        <v>74123</v>
      </c>
    </row>
    <row r="1084" spans="18:32" x14ac:dyDescent="0.25">
      <c r="R1084">
        <v>74123</v>
      </c>
      <c r="S1084" t="s">
        <v>1017</v>
      </c>
      <c r="T1084" t="s">
        <v>807</v>
      </c>
      <c r="U1084" t="str">
        <f t="shared" si="103"/>
        <v>JNKA132</v>
      </c>
      <c r="W1084" t="str">
        <f t="shared" si="104"/>
        <v>JNKA132T2</v>
      </c>
      <c r="X1084">
        <v>12.6745</v>
      </c>
      <c r="Z1084" t="s">
        <v>1017</v>
      </c>
      <c r="AA1084" t="s">
        <v>807</v>
      </c>
      <c r="AB1084" t="s">
        <v>1490</v>
      </c>
      <c r="AD1084" t="s">
        <v>2921</v>
      </c>
      <c r="AE1084">
        <v>12.6745</v>
      </c>
      <c r="AF1084">
        <v>74123</v>
      </c>
    </row>
    <row r="1085" spans="18:32" x14ac:dyDescent="0.25">
      <c r="R1085">
        <v>74123</v>
      </c>
      <c r="S1085" t="s">
        <v>1017</v>
      </c>
      <c r="T1085" t="s">
        <v>848</v>
      </c>
      <c r="U1085" t="str">
        <f t="shared" si="103"/>
        <v>JNKA132</v>
      </c>
      <c r="W1085" t="str">
        <f t="shared" si="104"/>
        <v>JNKA132T7</v>
      </c>
      <c r="X1085">
        <v>5.5419999999999998</v>
      </c>
      <c r="Z1085" t="s">
        <v>1017</v>
      </c>
      <c r="AA1085" t="s">
        <v>848</v>
      </c>
      <c r="AB1085" t="s">
        <v>1490</v>
      </c>
      <c r="AD1085" t="s">
        <v>2922</v>
      </c>
      <c r="AE1085">
        <v>5.5419999999999998</v>
      </c>
      <c r="AF1085">
        <v>74123</v>
      </c>
    </row>
    <row r="1086" spans="18:32" x14ac:dyDescent="0.25">
      <c r="R1086">
        <v>74122</v>
      </c>
      <c r="S1086" t="s">
        <v>1021</v>
      </c>
      <c r="T1086" t="s">
        <v>804</v>
      </c>
      <c r="U1086" t="str">
        <f t="shared" si="103"/>
        <v>JTUT132</v>
      </c>
      <c r="W1086" t="str">
        <f t="shared" si="104"/>
        <v>JTUT132T1</v>
      </c>
      <c r="X1086">
        <v>19.1629</v>
      </c>
      <c r="Z1086" t="s">
        <v>1021</v>
      </c>
      <c r="AA1086" t="s">
        <v>804</v>
      </c>
      <c r="AB1086" t="s">
        <v>1491</v>
      </c>
      <c r="AD1086" t="s">
        <v>2923</v>
      </c>
      <c r="AE1086">
        <v>19.1629</v>
      </c>
      <c r="AF1086">
        <v>74122</v>
      </c>
    </row>
    <row r="1087" spans="18:32" x14ac:dyDescent="0.25">
      <c r="R1087">
        <v>74122</v>
      </c>
      <c r="S1087" t="s">
        <v>1021</v>
      </c>
      <c r="T1087" t="s">
        <v>807</v>
      </c>
      <c r="U1087" t="str">
        <f t="shared" si="103"/>
        <v>JTUT132</v>
      </c>
      <c r="W1087" t="str">
        <f t="shared" si="104"/>
        <v>JTUT132T2</v>
      </c>
      <c r="X1087">
        <v>18.992100000000001</v>
      </c>
      <c r="Z1087" t="s">
        <v>1021</v>
      </c>
      <c r="AA1087" t="s">
        <v>807</v>
      </c>
      <c r="AB1087" t="s">
        <v>1491</v>
      </c>
      <c r="AD1087" t="s">
        <v>2924</v>
      </c>
      <c r="AE1087">
        <v>18.992100000000001</v>
      </c>
      <c r="AF1087">
        <v>74122</v>
      </c>
    </row>
    <row r="1088" spans="18:32" x14ac:dyDescent="0.25">
      <c r="R1088">
        <v>74110</v>
      </c>
      <c r="S1088" t="s">
        <v>1022</v>
      </c>
      <c r="T1088" t="s">
        <v>804</v>
      </c>
      <c r="U1088" t="str">
        <f t="shared" si="103"/>
        <v>KAWA132</v>
      </c>
      <c r="W1088" t="str">
        <f t="shared" si="104"/>
        <v>KAWA132T1</v>
      </c>
      <c r="X1088">
        <v>9.2914999999999992</v>
      </c>
      <c r="Z1088" t="s">
        <v>1022</v>
      </c>
      <c r="AA1088" t="s">
        <v>804</v>
      </c>
      <c r="AB1088" t="s">
        <v>2925</v>
      </c>
      <c r="AD1088" t="s">
        <v>2926</v>
      </c>
      <c r="AE1088">
        <v>9.2914999999999992</v>
      </c>
      <c r="AF1088">
        <v>74110</v>
      </c>
    </row>
    <row r="1089" spans="18:32" x14ac:dyDescent="0.25">
      <c r="R1089">
        <v>74110</v>
      </c>
      <c r="S1089" t="s">
        <v>1022</v>
      </c>
      <c r="T1089" t="s">
        <v>807</v>
      </c>
      <c r="U1089" t="str">
        <f t="shared" si="103"/>
        <v>KAWA132</v>
      </c>
      <c r="W1089" t="str">
        <f t="shared" si="104"/>
        <v>KAWA132T2</v>
      </c>
      <c r="X1089">
        <v>9.2025000000000006</v>
      </c>
      <c r="Z1089" t="s">
        <v>1022</v>
      </c>
      <c r="AA1089" t="s">
        <v>807</v>
      </c>
      <c r="AB1089" t="s">
        <v>2925</v>
      </c>
      <c r="AD1089" t="s">
        <v>2927</v>
      </c>
      <c r="AE1089">
        <v>9.2025000000000006</v>
      </c>
      <c r="AF1089">
        <v>74110</v>
      </c>
    </row>
    <row r="1090" spans="18:32" x14ac:dyDescent="0.25">
      <c r="R1090">
        <v>74121</v>
      </c>
      <c r="S1090" t="s">
        <v>1066</v>
      </c>
      <c r="T1090" t="s">
        <v>804</v>
      </c>
      <c r="U1090" t="str">
        <f t="shared" si="103"/>
        <v>KLIP132</v>
      </c>
      <c r="W1090" t="str">
        <f t="shared" si="104"/>
        <v>KLIP132T1</v>
      </c>
      <c r="X1090">
        <v>11.407</v>
      </c>
      <c r="Z1090" t="s">
        <v>1066</v>
      </c>
      <c r="AA1090" t="s">
        <v>804</v>
      </c>
      <c r="AB1090" t="s">
        <v>1489</v>
      </c>
      <c r="AD1090" t="s">
        <v>2928</v>
      </c>
      <c r="AE1090">
        <v>11.407</v>
      </c>
      <c r="AF1090">
        <v>74121</v>
      </c>
    </row>
    <row r="1091" spans="18:32" x14ac:dyDescent="0.25">
      <c r="R1091">
        <v>74121</v>
      </c>
      <c r="S1091" t="s">
        <v>1066</v>
      </c>
      <c r="T1091" t="s">
        <v>807</v>
      </c>
      <c r="U1091" t="str">
        <f t="shared" si="103"/>
        <v>KLIP132</v>
      </c>
      <c r="W1091" t="str">
        <f t="shared" si="104"/>
        <v>KLIP132T2</v>
      </c>
      <c r="X1091">
        <v>5.9976000000000003</v>
      </c>
      <c r="Z1091" t="s">
        <v>1066</v>
      </c>
      <c r="AA1091" t="s">
        <v>807</v>
      </c>
      <c r="AB1091" t="s">
        <v>1489</v>
      </c>
      <c r="AD1091" t="s">
        <v>2929</v>
      </c>
      <c r="AE1091">
        <v>5.9976000000000003</v>
      </c>
      <c r="AF1091">
        <v>74121</v>
      </c>
    </row>
    <row r="1092" spans="18:32" x14ac:dyDescent="0.25">
      <c r="R1092">
        <v>74121</v>
      </c>
      <c r="S1092" t="s">
        <v>1066</v>
      </c>
      <c r="T1092" t="s">
        <v>808</v>
      </c>
      <c r="U1092" t="str">
        <f t="shared" ref="U1092:U1155" si="105">LEFT(S1092,7)</f>
        <v>KLIP132</v>
      </c>
      <c r="W1092" t="str">
        <f t="shared" ref="W1092:W1155" si="106">U1092&amp;T1092</f>
        <v>KLIP132T3</v>
      </c>
      <c r="X1092">
        <v>12.9841</v>
      </c>
      <c r="Z1092" t="s">
        <v>1066</v>
      </c>
      <c r="AA1092" t="s">
        <v>808</v>
      </c>
      <c r="AB1092" t="s">
        <v>1489</v>
      </c>
      <c r="AD1092" t="s">
        <v>2930</v>
      </c>
      <c r="AE1092">
        <v>12.9841</v>
      </c>
      <c r="AF1092">
        <v>74121</v>
      </c>
    </row>
    <row r="1093" spans="18:32" x14ac:dyDescent="0.25">
      <c r="R1093">
        <v>74121</v>
      </c>
      <c r="S1093" t="s">
        <v>1066</v>
      </c>
      <c r="T1093" t="s">
        <v>809</v>
      </c>
      <c r="U1093" t="str">
        <f t="shared" si="105"/>
        <v>KLIP132</v>
      </c>
      <c r="W1093" t="str">
        <f t="shared" si="106"/>
        <v>KLIP132T4</v>
      </c>
      <c r="X1093">
        <v>12.479799999999999</v>
      </c>
      <c r="Z1093" t="s">
        <v>1066</v>
      </c>
      <c r="AA1093" t="s">
        <v>809</v>
      </c>
      <c r="AB1093" t="s">
        <v>1489</v>
      </c>
      <c r="AD1093" t="s">
        <v>2931</v>
      </c>
      <c r="AE1093">
        <v>12.479799999999999</v>
      </c>
      <c r="AF1093">
        <v>74121</v>
      </c>
    </row>
    <row r="1094" spans="18:32" x14ac:dyDescent="0.25">
      <c r="R1094">
        <v>74116</v>
      </c>
      <c r="S1094" t="s">
        <v>1081</v>
      </c>
      <c r="T1094" t="s">
        <v>804</v>
      </c>
      <c r="U1094" t="str">
        <f t="shared" si="105"/>
        <v>KRAK132</v>
      </c>
      <c r="W1094" t="str">
        <f t="shared" si="106"/>
        <v>KRAK132T1</v>
      </c>
      <c r="X1094">
        <v>2.0089000000000001</v>
      </c>
      <c r="Z1094" t="s">
        <v>1081</v>
      </c>
      <c r="AA1094" t="s">
        <v>804</v>
      </c>
      <c r="AB1094" t="s">
        <v>2932</v>
      </c>
      <c r="AD1094" t="s">
        <v>2933</v>
      </c>
      <c r="AE1094">
        <v>2.0089000000000001</v>
      </c>
      <c r="AF1094">
        <v>74116</v>
      </c>
    </row>
    <row r="1095" spans="18:32" x14ac:dyDescent="0.25">
      <c r="R1095">
        <v>74116</v>
      </c>
      <c r="S1095" t="s">
        <v>1081</v>
      </c>
      <c r="T1095" t="s">
        <v>807</v>
      </c>
      <c r="U1095" t="str">
        <f t="shared" si="105"/>
        <v>KRAK132</v>
      </c>
      <c r="W1095" t="str">
        <f t="shared" si="106"/>
        <v>KRAK132T2</v>
      </c>
      <c r="X1095">
        <v>1.6993</v>
      </c>
      <c r="Z1095" t="s">
        <v>1081</v>
      </c>
      <c r="AA1095" t="s">
        <v>807</v>
      </c>
      <c r="AB1095" t="s">
        <v>2932</v>
      </c>
      <c r="AD1095" t="s">
        <v>2934</v>
      </c>
      <c r="AE1095">
        <v>1.6993</v>
      </c>
      <c r="AF1095">
        <v>74116</v>
      </c>
    </row>
    <row r="1096" spans="18:32" x14ac:dyDescent="0.25">
      <c r="R1096">
        <v>74116</v>
      </c>
      <c r="S1096" t="s">
        <v>1081</v>
      </c>
      <c r="T1096" t="s">
        <v>808</v>
      </c>
      <c r="U1096" t="str">
        <f t="shared" si="105"/>
        <v>KRAK132</v>
      </c>
      <c r="W1096" t="str">
        <f t="shared" si="106"/>
        <v>KRAK132T3</v>
      </c>
      <c r="X1096">
        <v>3.0061</v>
      </c>
      <c r="Z1096" t="s">
        <v>1081</v>
      </c>
      <c r="AA1096" t="s">
        <v>808</v>
      </c>
      <c r="AB1096" t="s">
        <v>2932</v>
      </c>
      <c r="AD1096" t="s">
        <v>2935</v>
      </c>
      <c r="AE1096">
        <v>3.0061</v>
      </c>
      <c r="AF1096">
        <v>74116</v>
      </c>
    </row>
    <row r="1097" spans="18:32" x14ac:dyDescent="0.25">
      <c r="R1097">
        <v>74116</v>
      </c>
      <c r="S1097" t="s">
        <v>1081</v>
      </c>
      <c r="T1097" t="s">
        <v>809</v>
      </c>
      <c r="U1097" t="str">
        <f t="shared" si="105"/>
        <v>KRAK132</v>
      </c>
      <c r="W1097" t="str">
        <f t="shared" si="106"/>
        <v>KRAK132T4</v>
      </c>
      <c r="X1097">
        <v>2.9977999999999998</v>
      </c>
      <c r="Z1097" t="s">
        <v>1081</v>
      </c>
      <c r="AA1097" t="s">
        <v>809</v>
      </c>
      <c r="AB1097" t="s">
        <v>2932</v>
      </c>
      <c r="AD1097" t="s">
        <v>2936</v>
      </c>
      <c r="AE1097">
        <v>2.9977999999999998</v>
      </c>
      <c r="AF1097">
        <v>74116</v>
      </c>
    </row>
    <row r="1098" spans="18:32" x14ac:dyDescent="0.25">
      <c r="R1098">
        <v>74145</v>
      </c>
      <c r="S1098" t="s">
        <v>1086</v>
      </c>
      <c r="T1098" t="s">
        <v>804</v>
      </c>
      <c r="U1098" t="str">
        <f t="shared" si="105"/>
        <v>KRYG132</v>
      </c>
      <c r="W1098" t="str">
        <f t="shared" si="106"/>
        <v>KRYG132T1</v>
      </c>
      <c r="X1098">
        <v>31.6769</v>
      </c>
      <c r="Z1098" t="s">
        <v>1086</v>
      </c>
      <c r="AA1098" t="s">
        <v>804</v>
      </c>
      <c r="AB1098" t="s">
        <v>1441</v>
      </c>
      <c r="AD1098" t="s">
        <v>2937</v>
      </c>
      <c r="AE1098">
        <v>31.6769</v>
      </c>
      <c r="AF1098">
        <v>74145</v>
      </c>
    </row>
    <row r="1099" spans="18:32" x14ac:dyDescent="0.25">
      <c r="R1099">
        <v>74145</v>
      </c>
      <c r="S1099" t="s">
        <v>1086</v>
      </c>
      <c r="T1099" t="s">
        <v>807</v>
      </c>
      <c r="U1099" t="str">
        <f t="shared" si="105"/>
        <v>KRYG132</v>
      </c>
      <c r="W1099" t="str">
        <f t="shared" si="106"/>
        <v>KRYG132T2</v>
      </c>
      <c r="X1099">
        <v>0</v>
      </c>
      <c r="Z1099" t="s">
        <v>1086</v>
      </c>
      <c r="AA1099" t="s">
        <v>807</v>
      </c>
      <c r="AB1099" t="s">
        <v>1441</v>
      </c>
      <c r="AD1099" t="s">
        <v>2938</v>
      </c>
      <c r="AE1099">
        <v>0</v>
      </c>
      <c r="AF1099">
        <v>74145</v>
      </c>
    </row>
    <row r="1100" spans="18:32" x14ac:dyDescent="0.25">
      <c r="R1100">
        <v>74108</v>
      </c>
      <c r="S1100" t="s">
        <v>1101</v>
      </c>
      <c r="T1100" t="s">
        <v>804</v>
      </c>
      <c r="U1100" t="str">
        <f t="shared" si="105"/>
        <v>KTAN132</v>
      </c>
      <c r="W1100" t="str">
        <f t="shared" si="106"/>
        <v>KTAN132T1</v>
      </c>
      <c r="X1100">
        <v>15.1411</v>
      </c>
      <c r="Z1100" t="s">
        <v>1101</v>
      </c>
      <c r="AA1100" t="s">
        <v>804</v>
      </c>
      <c r="AB1100" t="s">
        <v>2939</v>
      </c>
      <c r="AD1100" t="s">
        <v>2940</v>
      </c>
      <c r="AE1100">
        <v>15.1411</v>
      </c>
      <c r="AF1100">
        <v>74108</v>
      </c>
    </row>
    <row r="1101" spans="18:32" x14ac:dyDescent="0.25">
      <c r="R1101">
        <v>74108</v>
      </c>
      <c r="S1101" t="s">
        <v>1101</v>
      </c>
      <c r="T1101" t="s">
        <v>807</v>
      </c>
      <c r="U1101" t="str">
        <f t="shared" si="105"/>
        <v>KTAN132</v>
      </c>
      <c r="W1101" t="str">
        <f t="shared" si="106"/>
        <v>KTAN132T2</v>
      </c>
      <c r="X1101">
        <v>15.760300000000001</v>
      </c>
      <c r="Z1101" t="s">
        <v>1101</v>
      </c>
      <c r="AA1101" t="s">
        <v>807</v>
      </c>
      <c r="AB1101" t="s">
        <v>2939</v>
      </c>
      <c r="AD1101" t="s">
        <v>2941</v>
      </c>
      <c r="AE1101">
        <v>15.760300000000001</v>
      </c>
      <c r="AF1101">
        <v>74108</v>
      </c>
    </row>
    <row r="1102" spans="18:32" x14ac:dyDescent="0.25">
      <c r="R1102">
        <v>74108</v>
      </c>
      <c r="S1102" t="s">
        <v>1101</v>
      </c>
      <c r="T1102" t="s">
        <v>808</v>
      </c>
      <c r="U1102" t="str">
        <f t="shared" si="105"/>
        <v>KTAN132</v>
      </c>
      <c r="W1102" t="str">
        <f t="shared" si="106"/>
        <v>KTAN132T3</v>
      </c>
      <c r="X1102">
        <v>14.8553</v>
      </c>
      <c r="Z1102" t="s">
        <v>1101</v>
      </c>
      <c r="AA1102" t="s">
        <v>808</v>
      </c>
      <c r="AB1102" t="s">
        <v>2939</v>
      </c>
      <c r="AD1102" t="s">
        <v>2942</v>
      </c>
      <c r="AE1102">
        <v>14.8553</v>
      </c>
      <c r="AF1102">
        <v>74108</v>
      </c>
    </row>
    <row r="1103" spans="18:32" x14ac:dyDescent="0.25">
      <c r="R1103">
        <v>74108</v>
      </c>
      <c r="S1103" t="s">
        <v>1101</v>
      </c>
      <c r="T1103" t="s">
        <v>809</v>
      </c>
      <c r="U1103" t="str">
        <f t="shared" si="105"/>
        <v>KTAN132</v>
      </c>
      <c r="W1103" t="str">
        <f t="shared" si="106"/>
        <v>KTAN132T4</v>
      </c>
      <c r="X1103">
        <v>26.034500000000001</v>
      </c>
      <c r="Z1103" t="s">
        <v>1101</v>
      </c>
      <c r="AA1103" t="s">
        <v>809</v>
      </c>
      <c r="AB1103" t="s">
        <v>2939</v>
      </c>
      <c r="AD1103" t="s">
        <v>2943</v>
      </c>
      <c r="AE1103">
        <v>26.034500000000001</v>
      </c>
      <c r="AF1103">
        <v>74108</v>
      </c>
    </row>
    <row r="1104" spans="18:32" x14ac:dyDescent="0.25">
      <c r="R1104">
        <v>74108</v>
      </c>
      <c r="S1104" t="s">
        <v>1101</v>
      </c>
      <c r="T1104" t="s">
        <v>810</v>
      </c>
      <c r="U1104" t="str">
        <f t="shared" si="105"/>
        <v>KTAN132</v>
      </c>
      <c r="W1104" t="str">
        <f t="shared" si="106"/>
        <v>KTAN132T5</v>
      </c>
      <c r="X1104">
        <v>26.134899999999998</v>
      </c>
      <c r="Z1104" t="s">
        <v>1101</v>
      </c>
      <c r="AA1104" t="s">
        <v>810</v>
      </c>
      <c r="AB1104" t="s">
        <v>2939</v>
      </c>
      <c r="AD1104" t="s">
        <v>2944</v>
      </c>
      <c r="AE1104">
        <v>26.134899999999998</v>
      </c>
      <c r="AF1104">
        <v>74108</v>
      </c>
    </row>
    <row r="1105" spans="18:32" x14ac:dyDescent="0.25">
      <c r="R1105">
        <v>74141</v>
      </c>
      <c r="S1105" t="s">
        <v>1103</v>
      </c>
      <c r="T1105" t="s">
        <v>804</v>
      </c>
      <c r="U1105" t="str">
        <f t="shared" si="105"/>
        <v>KTCL132</v>
      </c>
      <c r="W1105" t="str">
        <f t="shared" si="106"/>
        <v>KTCL132T1</v>
      </c>
      <c r="X1105">
        <v>8.4993999999999996</v>
      </c>
      <c r="Z1105" t="s">
        <v>1103</v>
      </c>
      <c r="AA1105" t="s">
        <v>804</v>
      </c>
      <c r="AB1105" t="s">
        <v>2945</v>
      </c>
      <c r="AD1105" t="s">
        <v>2946</v>
      </c>
      <c r="AE1105">
        <v>8.4993999999999996</v>
      </c>
      <c r="AF1105">
        <v>74141</v>
      </c>
    </row>
    <row r="1106" spans="18:32" x14ac:dyDescent="0.25">
      <c r="R1106">
        <v>74141</v>
      </c>
      <c r="S1106" t="s">
        <v>1103</v>
      </c>
      <c r="T1106" t="s">
        <v>807</v>
      </c>
      <c r="U1106" t="str">
        <f t="shared" si="105"/>
        <v>KTCL132</v>
      </c>
      <c r="W1106" t="str">
        <f t="shared" si="106"/>
        <v>KTCL132T2</v>
      </c>
      <c r="X1106">
        <v>8.2197999999999993</v>
      </c>
      <c r="Z1106" t="s">
        <v>1103</v>
      </c>
      <c r="AA1106" t="s">
        <v>807</v>
      </c>
      <c r="AB1106" t="s">
        <v>2945</v>
      </c>
      <c r="AD1106" t="s">
        <v>2947</v>
      </c>
      <c r="AE1106">
        <v>8.2197999999999993</v>
      </c>
      <c r="AF1106">
        <v>74141</v>
      </c>
    </row>
    <row r="1107" spans="18:32" x14ac:dyDescent="0.25">
      <c r="R1107">
        <v>74132</v>
      </c>
      <c r="S1107" t="s">
        <v>1111</v>
      </c>
      <c r="T1107" t="s">
        <v>804</v>
      </c>
      <c r="U1107" t="str">
        <f t="shared" si="105"/>
        <v>KTRI132</v>
      </c>
      <c r="W1107" t="str">
        <f t="shared" si="106"/>
        <v>KTRI132T1</v>
      </c>
      <c r="X1107">
        <v>0</v>
      </c>
      <c r="Z1107" t="s">
        <v>1111</v>
      </c>
      <c r="AA1107" t="s">
        <v>804</v>
      </c>
      <c r="AB1107" t="s">
        <v>2948</v>
      </c>
      <c r="AD1107" t="s">
        <v>2949</v>
      </c>
      <c r="AE1107">
        <v>0</v>
      </c>
      <c r="AF1107">
        <v>74132</v>
      </c>
    </row>
    <row r="1108" spans="18:32" x14ac:dyDescent="0.25">
      <c r="R1108">
        <v>74143</v>
      </c>
      <c r="S1108" t="s">
        <v>1138</v>
      </c>
      <c r="T1108" t="s">
        <v>804</v>
      </c>
      <c r="U1108" t="str">
        <f t="shared" si="105"/>
        <v>MECC132</v>
      </c>
      <c r="W1108" t="str">
        <f t="shared" si="106"/>
        <v>MECC132T1</v>
      </c>
      <c r="X1108">
        <v>6.8643000000000001</v>
      </c>
      <c r="Z1108" t="s">
        <v>1138</v>
      </c>
      <c r="AA1108" t="s">
        <v>804</v>
      </c>
      <c r="AB1108" t="s">
        <v>2950</v>
      </c>
      <c r="AD1108" t="s">
        <v>2951</v>
      </c>
      <c r="AE1108">
        <v>6.8643000000000001</v>
      </c>
      <c r="AF1108">
        <v>74143</v>
      </c>
    </row>
    <row r="1109" spans="18:32" x14ac:dyDescent="0.25">
      <c r="R1109">
        <v>74143</v>
      </c>
      <c r="S1109" t="s">
        <v>1138</v>
      </c>
      <c r="T1109" t="s">
        <v>807</v>
      </c>
      <c r="U1109" t="str">
        <f t="shared" si="105"/>
        <v>MECC132</v>
      </c>
      <c r="W1109" t="str">
        <f t="shared" si="106"/>
        <v>MECC132T2</v>
      </c>
      <c r="X1109">
        <v>6.9253999999999998</v>
      </c>
      <c r="Z1109" t="s">
        <v>1138</v>
      </c>
      <c r="AA1109" t="s">
        <v>807</v>
      </c>
      <c r="AB1109" t="s">
        <v>2950</v>
      </c>
      <c r="AD1109" t="s">
        <v>2952</v>
      </c>
      <c r="AE1109">
        <v>6.9253999999999998</v>
      </c>
      <c r="AF1109">
        <v>74143</v>
      </c>
    </row>
    <row r="1110" spans="18:32" x14ac:dyDescent="0.25">
      <c r="R1110">
        <v>74143</v>
      </c>
      <c r="S1110" t="s">
        <v>1138</v>
      </c>
      <c r="T1110" t="s">
        <v>808</v>
      </c>
      <c r="U1110" t="str">
        <f t="shared" si="105"/>
        <v>MECC132</v>
      </c>
      <c r="W1110" t="str">
        <f t="shared" si="106"/>
        <v>MECC132T3</v>
      </c>
      <c r="X1110">
        <v>0.94330000000000003</v>
      </c>
      <c r="Z1110" t="s">
        <v>1138</v>
      </c>
      <c r="AA1110" t="s">
        <v>808</v>
      </c>
      <c r="AB1110" t="s">
        <v>2950</v>
      </c>
      <c r="AD1110" t="s">
        <v>2953</v>
      </c>
      <c r="AE1110">
        <v>0.94330000000000003</v>
      </c>
      <c r="AF1110">
        <v>74143</v>
      </c>
    </row>
    <row r="1111" spans="18:32" x14ac:dyDescent="0.25">
      <c r="R1111">
        <v>74143</v>
      </c>
      <c r="S1111" t="s">
        <v>1138</v>
      </c>
      <c r="T1111" t="s">
        <v>809</v>
      </c>
      <c r="U1111" t="str">
        <f t="shared" si="105"/>
        <v>MECC132</v>
      </c>
      <c r="W1111" t="str">
        <f t="shared" si="106"/>
        <v>MECC132T4</v>
      </c>
      <c r="X1111">
        <v>0.92159999999999997</v>
      </c>
      <c r="Z1111" t="s">
        <v>1138</v>
      </c>
      <c r="AA1111" t="s">
        <v>809</v>
      </c>
      <c r="AB1111" t="s">
        <v>2950</v>
      </c>
      <c r="AD1111" t="s">
        <v>2954</v>
      </c>
      <c r="AE1111">
        <v>0.92159999999999997</v>
      </c>
      <c r="AF1111">
        <v>74143</v>
      </c>
    </row>
    <row r="1112" spans="18:32" x14ac:dyDescent="0.25">
      <c r="R1112">
        <v>74129</v>
      </c>
      <c r="S1112" t="s">
        <v>1157</v>
      </c>
      <c r="T1112" t="s">
        <v>804</v>
      </c>
      <c r="U1112" t="str">
        <f t="shared" si="105"/>
        <v>MRAN132</v>
      </c>
      <c r="W1112" t="str">
        <f t="shared" si="106"/>
        <v>MRAN132T1</v>
      </c>
      <c r="X1112">
        <v>4.4930000000000003</v>
      </c>
      <c r="Z1112" t="s">
        <v>1157</v>
      </c>
      <c r="AA1112" t="s">
        <v>804</v>
      </c>
      <c r="AB1112" t="s">
        <v>2955</v>
      </c>
      <c r="AD1112" t="s">
        <v>2956</v>
      </c>
      <c r="AE1112">
        <v>4.4930000000000003</v>
      </c>
      <c r="AF1112">
        <v>74129</v>
      </c>
    </row>
    <row r="1113" spans="18:32" x14ac:dyDescent="0.25">
      <c r="R1113">
        <v>74129</v>
      </c>
      <c r="S1113" t="s">
        <v>1157</v>
      </c>
      <c r="T1113" t="s">
        <v>807</v>
      </c>
      <c r="U1113" t="str">
        <f t="shared" si="105"/>
        <v>MRAN132</v>
      </c>
      <c r="W1113" t="str">
        <f t="shared" si="106"/>
        <v>MRAN132T2</v>
      </c>
      <c r="X1113">
        <v>4.5530999999999997</v>
      </c>
      <c r="Z1113" t="s">
        <v>1157</v>
      </c>
      <c r="AA1113" t="s">
        <v>807</v>
      </c>
      <c r="AB1113" t="s">
        <v>2955</v>
      </c>
      <c r="AD1113" t="s">
        <v>2957</v>
      </c>
      <c r="AE1113">
        <v>4.5530999999999997</v>
      </c>
      <c r="AF1113">
        <v>74129</v>
      </c>
    </row>
    <row r="1114" spans="18:32" x14ac:dyDescent="0.25">
      <c r="R1114">
        <v>74117</v>
      </c>
      <c r="S1114" t="s">
        <v>1163</v>
      </c>
      <c r="T1114" t="s">
        <v>804</v>
      </c>
      <c r="U1114" t="str">
        <f t="shared" si="105"/>
        <v>MTKB132</v>
      </c>
      <c r="W1114" t="str">
        <f t="shared" si="106"/>
        <v>MTKB132T1</v>
      </c>
      <c r="X1114">
        <v>0</v>
      </c>
      <c r="Z1114" t="s">
        <v>1163</v>
      </c>
      <c r="AA1114" t="s">
        <v>804</v>
      </c>
      <c r="AB1114" t="s">
        <v>1525</v>
      </c>
      <c r="AD1114" t="s">
        <v>2958</v>
      </c>
      <c r="AE1114">
        <v>0</v>
      </c>
      <c r="AF1114">
        <v>74117</v>
      </c>
    </row>
    <row r="1115" spans="18:32" x14ac:dyDescent="0.25">
      <c r="R1115">
        <v>74117</v>
      </c>
      <c r="S1115" t="s">
        <v>1163</v>
      </c>
      <c r="T1115" t="s">
        <v>807</v>
      </c>
      <c r="U1115" t="str">
        <f t="shared" si="105"/>
        <v>MTKB132</v>
      </c>
      <c r="W1115" t="str">
        <f t="shared" si="106"/>
        <v>MTKB132T2</v>
      </c>
      <c r="X1115">
        <v>22.577999999999999</v>
      </c>
      <c r="Z1115" t="s">
        <v>1163</v>
      </c>
      <c r="AA1115" t="s">
        <v>807</v>
      </c>
      <c r="AB1115" t="s">
        <v>1525</v>
      </c>
      <c r="AD1115" t="s">
        <v>2959</v>
      </c>
      <c r="AE1115">
        <v>22.577999999999999</v>
      </c>
      <c r="AF1115">
        <v>74117</v>
      </c>
    </row>
    <row r="1116" spans="18:32" x14ac:dyDescent="0.25">
      <c r="R1116">
        <v>74109</v>
      </c>
      <c r="S1116" t="s">
        <v>1217</v>
      </c>
      <c r="T1116" t="s">
        <v>804</v>
      </c>
      <c r="U1116" t="str">
        <f t="shared" si="105"/>
        <v>PKAN132</v>
      </c>
      <c r="W1116" t="str">
        <f t="shared" si="106"/>
        <v>PKAN132T1</v>
      </c>
      <c r="X1116">
        <v>4.6741999999999999</v>
      </c>
      <c r="Z1116" t="s">
        <v>1217</v>
      </c>
      <c r="AA1116" t="s">
        <v>804</v>
      </c>
      <c r="AB1116" t="s">
        <v>2960</v>
      </c>
      <c r="AD1116" t="s">
        <v>2961</v>
      </c>
      <c r="AE1116">
        <v>4.6741999999999999</v>
      </c>
      <c r="AF1116">
        <v>74109</v>
      </c>
    </row>
    <row r="1117" spans="18:32" x14ac:dyDescent="0.25">
      <c r="R1117">
        <v>74109</v>
      </c>
      <c r="S1117" t="s">
        <v>1217</v>
      </c>
      <c r="T1117" t="s">
        <v>807</v>
      </c>
      <c r="U1117" t="str">
        <f t="shared" si="105"/>
        <v>PKAN132</v>
      </c>
      <c r="W1117" t="str">
        <f t="shared" si="106"/>
        <v>PKAN132T2</v>
      </c>
      <c r="X1117">
        <v>4.6814999999999998</v>
      </c>
      <c r="Z1117" t="s">
        <v>1217</v>
      </c>
      <c r="AA1117" t="s">
        <v>807</v>
      </c>
      <c r="AB1117" t="s">
        <v>2960</v>
      </c>
      <c r="AD1117" t="s">
        <v>2962</v>
      </c>
      <c r="AE1117">
        <v>4.6814999999999998</v>
      </c>
      <c r="AF1117">
        <v>74109</v>
      </c>
    </row>
    <row r="1118" spans="18:32" x14ac:dyDescent="0.25">
      <c r="R1118">
        <v>74109</v>
      </c>
      <c r="S1118" t="s">
        <v>1217</v>
      </c>
      <c r="T1118" t="s">
        <v>808</v>
      </c>
      <c r="U1118" t="str">
        <f t="shared" si="105"/>
        <v>PKAN132</v>
      </c>
      <c r="W1118" t="str">
        <f t="shared" si="106"/>
        <v>PKAN132T3</v>
      </c>
      <c r="X1118">
        <v>6.3994</v>
      </c>
      <c r="Z1118" t="s">
        <v>1217</v>
      </c>
      <c r="AA1118" t="s">
        <v>808</v>
      </c>
      <c r="AB1118" t="s">
        <v>2960</v>
      </c>
      <c r="AD1118" t="s">
        <v>2963</v>
      </c>
      <c r="AE1118">
        <v>6.3994</v>
      </c>
      <c r="AF1118">
        <v>74109</v>
      </c>
    </row>
    <row r="1119" spans="18:32" x14ac:dyDescent="0.25">
      <c r="R1119">
        <v>74115</v>
      </c>
      <c r="S1119" t="s">
        <v>1223</v>
      </c>
      <c r="T1119" t="s">
        <v>804</v>
      </c>
      <c r="U1119" t="str">
        <f t="shared" si="105"/>
        <v>PKNI132</v>
      </c>
      <c r="W1119" t="str">
        <f t="shared" si="106"/>
        <v>PKNI132T1</v>
      </c>
      <c r="X1119">
        <v>6.2824</v>
      </c>
      <c r="Z1119" t="s">
        <v>1223</v>
      </c>
      <c r="AA1119" t="s">
        <v>804</v>
      </c>
      <c r="AB1119" t="s">
        <v>1419</v>
      </c>
      <c r="AD1119" t="s">
        <v>2964</v>
      </c>
      <c r="AE1119">
        <v>6.2824</v>
      </c>
      <c r="AF1119">
        <v>74115</v>
      </c>
    </row>
    <row r="1120" spans="18:32" x14ac:dyDescent="0.25">
      <c r="R1120">
        <v>74115</v>
      </c>
      <c r="S1120" t="s">
        <v>1223</v>
      </c>
      <c r="T1120" t="s">
        <v>807</v>
      </c>
      <c r="U1120" t="str">
        <f t="shared" si="105"/>
        <v>PKNI132</v>
      </c>
      <c r="W1120" t="str">
        <f t="shared" si="106"/>
        <v>PKNI132T2</v>
      </c>
      <c r="X1120">
        <v>6.3124000000000002</v>
      </c>
      <c r="Z1120" t="s">
        <v>1223</v>
      </c>
      <c r="AA1120" t="s">
        <v>807</v>
      </c>
      <c r="AB1120" t="s">
        <v>1419</v>
      </c>
      <c r="AD1120" t="s">
        <v>2965</v>
      </c>
      <c r="AE1120">
        <v>6.3124000000000002</v>
      </c>
      <c r="AF1120">
        <v>74115</v>
      </c>
    </row>
    <row r="1121" spans="18:32" x14ac:dyDescent="0.25">
      <c r="R1121">
        <v>174920</v>
      </c>
      <c r="S1121" t="s">
        <v>1232</v>
      </c>
      <c r="T1121" t="s">
        <v>804</v>
      </c>
      <c r="U1121" t="str">
        <f t="shared" si="105"/>
        <v>PNLS132</v>
      </c>
      <c r="W1121" t="str">
        <f t="shared" si="106"/>
        <v>PNLS132T1</v>
      </c>
      <c r="X1121">
        <v>0</v>
      </c>
      <c r="Z1121" t="s">
        <v>1232</v>
      </c>
      <c r="AA1121" t="s">
        <v>804</v>
      </c>
      <c r="AB1121" t="s">
        <v>2966</v>
      </c>
      <c r="AD1121" t="s">
        <v>2967</v>
      </c>
      <c r="AE1121">
        <v>0</v>
      </c>
      <c r="AF1121">
        <v>174920</v>
      </c>
    </row>
    <row r="1122" spans="18:32" x14ac:dyDescent="0.25">
      <c r="R1122">
        <v>74151</v>
      </c>
      <c r="S1122" t="s">
        <v>1257</v>
      </c>
      <c r="T1122" t="s">
        <v>804</v>
      </c>
      <c r="U1122" t="str">
        <f t="shared" si="105"/>
        <v>RBDR132</v>
      </c>
      <c r="W1122" t="str">
        <f t="shared" si="106"/>
        <v>RBDR132T1</v>
      </c>
      <c r="X1122">
        <v>11.7011</v>
      </c>
      <c r="Z1122" t="s">
        <v>1257</v>
      </c>
      <c r="AA1122" t="s">
        <v>804</v>
      </c>
      <c r="AB1122" t="s">
        <v>1492</v>
      </c>
      <c r="AD1122" t="s">
        <v>2968</v>
      </c>
      <c r="AE1122">
        <v>11.7011</v>
      </c>
      <c r="AF1122">
        <v>74151</v>
      </c>
    </row>
    <row r="1123" spans="18:32" x14ac:dyDescent="0.25">
      <c r="R1123">
        <v>74151</v>
      </c>
      <c r="S1123" t="s">
        <v>1257</v>
      </c>
      <c r="T1123" t="s">
        <v>807</v>
      </c>
      <c r="U1123" t="str">
        <f t="shared" si="105"/>
        <v>RBDR132</v>
      </c>
      <c r="W1123" t="str">
        <f t="shared" si="106"/>
        <v>RBDR132T2</v>
      </c>
      <c r="X1123">
        <v>11.033200000000001</v>
      </c>
      <c r="Z1123" t="s">
        <v>1257</v>
      </c>
      <c r="AA1123" t="s">
        <v>807</v>
      </c>
      <c r="AB1123" t="s">
        <v>1492</v>
      </c>
      <c r="AD1123" t="s">
        <v>2969</v>
      </c>
      <c r="AE1123">
        <v>11.033200000000001</v>
      </c>
      <c r="AF1123">
        <v>74151</v>
      </c>
    </row>
    <row r="1124" spans="18:32" x14ac:dyDescent="0.25">
      <c r="R1124">
        <v>74151</v>
      </c>
      <c r="S1124" t="s">
        <v>1257</v>
      </c>
      <c r="T1124" t="s">
        <v>808</v>
      </c>
      <c r="U1124" t="str">
        <f t="shared" si="105"/>
        <v>RBDR132</v>
      </c>
      <c r="W1124" t="str">
        <f t="shared" si="106"/>
        <v>RBDR132T3</v>
      </c>
      <c r="X1124">
        <v>0</v>
      </c>
      <c r="Z1124" t="s">
        <v>1257</v>
      </c>
      <c r="AA1124" t="s">
        <v>808</v>
      </c>
      <c r="AB1124" t="s">
        <v>1492</v>
      </c>
      <c r="AD1124" t="s">
        <v>2970</v>
      </c>
      <c r="AE1124">
        <v>0</v>
      </c>
      <c r="AF1124">
        <v>74151</v>
      </c>
    </row>
    <row r="1125" spans="18:32" x14ac:dyDescent="0.25">
      <c r="R1125">
        <v>74151</v>
      </c>
      <c r="S1125" t="s">
        <v>1257</v>
      </c>
      <c r="T1125" t="s">
        <v>809</v>
      </c>
      <c r="U1125" t="str">
        <f t="shared" si="105"/>
        <v>RBDR132</v>
      </c>
      <c r="W1125" t="str">
        <f t="shared" si="106"/>
        <v>RBDR132T4</v>
      </c>
      <c r="X1125">
        <v>0</v>
      </c>
      <c r="Z1125" t="s">
        <v>1257</v>
      </c>
      <c r="AA1125" t="s">
        <v>809</v>
      </c>
      <c r="AB1125" t="s">
        <v>1492</v>
      </c>
      <c r="AD1125" t="s">
        <v>2971</v>
      </c>
      <c r="AE1125">
        <v>0</v>
      </c>
      <c r="AF1125">
        <v>74151</v>
      </c>
    </row>
    <row r="1126" spans="18:32" x14ac:dyDescent="0.25">
      <c r="R1126">
        <v>74107</v>
      </c>
      <c r="S1126" t="s">
        <v>1304</v>
      </c>
      <c r="T1126" t="s">
        <v>804</v>
      </c>
      <c r="U1126" t="str">
        <f t="shared" si="105"/>
        <v>SMBU132</v>
      </c>
      <c r="W1126" t="str">
        <f t="shared" si="106"/>
        <v>SMBU132T1</v>
      </c>
      <c r="X1126">
        <v>10.6066</v>
      </c>
      <c r="Z1126" t="s">
        <v>1304</v>
      </c>
      <c r="AA1126" t="s">
        <v>804</v>
      </c>
      <c r="AB1126" t="s">
        <v>2972</v>
      </c>
      <c r="AD1126" t="s">
        <v>2973</v>
      </c>
      <c r="AE1126">
        <v>10.6066</v>
      </c>
      <c r="AF1126">
        <v>74107</v>
      </c>
    </row>
    <row r="1127" spans="18:32" x14ac:dyDescent="0.25">
      <c r="R1127">
        <v>74107</v>
      </c>
      <c r="S1127" t="s">
        <v>1304</v>
      </c>
      <c r="T1127" t="s">
        <v>807</v>
      </c>
      <c r="U1127" t="str">
        <f t="shared" si="105"/>
        <v>SMBU132</v>
      </c>
      <c r="W1127" t="str">
        <f t="shared" si="106"/>
        <v>SMBU132T2</v>
      </c>
      <c r="X1127">
        <v>6.0824999999999996</v>
      </c>
      <c r="Z1127" t="s">
        <v>1304</v>
      </c>
      <c r="AA1127" t="s">
        <v>807</v>
      </c>
      <c r="AB1127" t="s">
        <v>2972</v>
      </c>
      <c r="AD1127" t="s">
        <v>2974</v>
      </c>
      <c r="AE1127">
        <v>6.0824999999999996</v>
      </c>
      <c r="AF1127">
        <v>74107</v>
      </c>
    </row>
    <row r="1128" spans="18:32" x14ac:dyDescent="0.25">
      <c r="R1128">
        <v>74127</v>
      </c>
      <c r="S1128" t="s">
        <v>1311</v>
      </c>
      <c r="T1128" t="s">
        <v>804</v>
      </c>
      <c r="U1128" t="str">
        <f t="shared" si="105"/>
        <v>SONG132</v>
      </c>
      <c r="W1128" t="str">
        <f t="shared" si="106"/>
        <v>SONG132T1</v>
      </c>
      <c r="X1128">
        <v>14.467000000000001</v>
      </c>
      <c r="Z1128" t="s">
        <v>1311</v>
      </c>
      <c r="AA1128" t="s">
        <v>804</v>
      </c>
      <c r="AB1128" t="s">
        <v>1524</v>
      </c>
      <c r="AD1128" t="s">
        <v>2975</v>
      </c>
      <c r="AE1128">
        <v>14.467000000000001</v>
      </c>
      <c r="AF1128">
        <v>74127</v>
      </c>
    </row>
    <row r="1129" spans="18:32" x14ac:dyDescent="0.25">
      <c r="R1129">
        <v>74127</v>
      </c>
      <c r="S1129" t="s">
        <v>1311</v>
      </c>
      <c r="T1129" t="s">
        <v>807</v>
      </c>
      <c r="U1129" t="str">
        <f t="shared" si="105"/>
        <v>SONG132</v>
      </c>
      <c r="W1129" t="str">
        <f t="shared" si="106"/>
        <v>SONG132T2</v>
      </c>
      <c r="X1129">
        <v>7.6120000000000001</v>
      </c>
      <c r="Z1129" t="s">
        <v>1311</v>
      </c>
      <c r="AA1129" t="s">
        <v>807</v>
      </c>
      <c r="AB1129" t="s">
        <v>1524</v>
      </c>
      <c r="AD1129" t="s">
        <v>2976</v>
      </c>
      <c r="AE1129">
        <v>7.6120000000000001</v>
      </c>
      <c r="AF1129">
        <v>74127</v>
      </c>
    </row>
    <row r="1130" spans="18:32" x14ac:dyDescent="0.25">
      <c r="R1130">
        <v>74157</v>
      </c>
      <c r="S1130" t="s">
        <v>1343</v>
      </c>
      <c r="T1130" t="s">
        <v>848</v>
      </c>
      <c r="U1130" t="str">
        <f t="shared" si="105"/>
        <v>TAGP132</v>
      </c>
      <c r="W1130" t="str">
        <f t="shared" si="106"/>
        <v>TAGP132T7</v>
      </c>
      <c r="X1130">
        <v>3.5787</v>
      </c>
      <c r="Z1130" t="s">
        <v>1343</v>
      </c>
      <c r="AA1130" t="s">
        <v>848</v>
      </c>
      <c r="AB1130" t="s">
        <v>2977</v>
      </c>
      <c r="AD1130" t="s">
        <v>2978</v>
      </c>
      <c r="AE1130">
        <v>3.5787</v>
      </c>
      <c r="AF1130">
        <v>74157</v>
      </c>
    </row>
    <row r="1131" spans="18:32" x14ac:dyDescent="0.25">
      <c r="R1131">
        <v>74106</v>
      </c>
      <c r="S1131" t="s">
        <v>1352</v>
      </c>
      <c r="T1131" t="s">
        <v>804</v>
      </c>
      <c r="U1131" t="str">
        <f t="shared" si="105"/>
        <v>TGLN132</v>
      </c>
      <c r="W1131" t="str">
        <f t="shared" si="106"/>
        <v>TGLN132T1</v>
      </c>
      <c r="X1131">
        <v>5.9561999999999999</v>
      </c>
      <c r="Z1131" t="s">
        <v>1352</v>
      </c>
      <c r="AA1131" t="s">
        <v>804</v>
      </c>
      <c r="AB1131" t="s">
        <v>1475</v>
      </c>
      <c r="AD1131" t="s">
        <v>2979</v>
      </c>
      <c r="AE1131">
        <v>5.9561999999999999</v>
      </c>
      <c r="AF1131">
        <v>74106</v>
      </c>
    </row>
    <row r="1132" spans="18:32" x14ac:dyDescent="0.25">
      <c r="R1132">
        <v>74106</v>
      </c>
      <c r="S1132" t="s">
        <v>1352</v>
      </c>
      <c r="T1132" t="s">
        <v>807</v>
      </c>
      <c r="U1132" t="str">
        <f t="shared" si="105"/>
        <v>TGLN132</v>
      </c>
      <c r="W1132" t="str">
        <f t="shared" si="106"/>
        <v>TGLN132T2</v>
      </c>
      <c r="X1132">
        <v>5.2148000000000003</v>
      </c>
      <c r="Z1132" t="s">
        <v>1352</v>
      </c>
      <c r="AA1132" t="s">
        <v>807</v>
      </c>
      <c r="AB1132" t="s">
        <v>1475</v>
      </c>
      <c r="AD1132" t="s">
        <v>2980</v>
      </c>
      <c r="AE1132">
        <v>5.2148000000000003</v>
      </c>
      <c r="AF1132">
        <v>74106</v>
      </c>
    </row>
    <row r="1133" spans="18:32" x14ac:dyDescent="0.25">
      <c r="R1133">
        <v>74106</v>
      </c>
      <c r="S1133" t="s">
        <v>1352</v>
      </c>
      <c r="T1133" t="s">
        <v>808</v>
      </c>
      <c r="U1133" t="str">
        <f t="shared" si="105"/>
        <v>TGLN132</v>
      </c>
      <c r="W1133" t="str">
        <f t="shared" si="106"/>
        <v>TGLN132T3</v>
      </c>
      <c r="X1133">
        <v>11.264200000000001</v>
      </c>
      <c r="Z1133" t="s">
        <v>1352</v>
      </c>
      <c r="AA1133" t="s">
        <v>808</v>
      </c>
      <c r="AB1133" t="s">
        <v>1475</v>
      </c>
      <c r="AD1133" t="s">
        <v>2981</v>
      </c>
      <c r="AE1133">
        <v>11.264200000000001</v>
      </c>
      <c r="AF1133">
        <v>74106</v>
      </c>
    </row>
    <row r="1134" spans="18:32" x14ac:dyDescent="0.25">
      <c r="R1134">
        <v>74133</v>
      </c>
      <c r="S1134" t="s">
        <v>1354</v>
      </c>
      <c r="T1134" t="s">
        <v>804</v>
      </c>
      <c r="U1134" t="str">
        <f t="shared" si="105"/>
        <v>TGMK132</v>
      </c>
      <c r="W1134" t="str">
        <f t="shared" si="106"/>
        <v>TGMK132T1</v>
      </c>
      <c r="X1134">
        <v>13.7514</v>
      </c>
      <c r="Z1134" t="s">
        <v>1354</v>
      </c>
      <c r="AA1134" t="s">
        <v>804</v>
      </c>
      <c r="AB1134" t="s">
        <v>1610</v>
      </c>
      <c r="AD1134" t="s">
        <v>2982</v>
      </c>
      <c r="AE1134">
        <v>13.7514</v>
      </c>
      <c r="AF1134">
        <v>74133</v>
      </c>
    </row>
    <row r="1135" spans="18:32" x14ac:dyDescent="0.25">
      <c r="R1135">
        <v>74133</v>
      </c>
      <c r="S1135" t="s">
        <v>1354</v>
      </c>
      <c r="T1135" t="s">
        <v>807</v>
      </c>
      <c r="U1135" t="str">
        <f t="shared" si="105"/>
        <v>TGMK132</v>
      </c>
      <c r="W1135" t="str">
        <f t="shared" si="106"/>
        <v>TGMK132T2</v>
      </c>
      <c r="X1135">
        <v>13.741099999999999</v>
      </c>
      <c r="Z1135" t="s">
        <v>1354</v>
      </c>
      <c r="AA1135" t="s">
        <v>807</v>
      </c>
      <c r="AB1135" t="s">
        <v>1610</v>
      </c>
      <c r="AD1135" t="s">
        <v>2983</v>
      </c>
      <c r="AE1135">
        <v>13.741099999999999</v>
      </c>
      <c r="AF1135">
        <v>74133</v>
      </c>
    </row>
    <row r="1136" spans="18:32" x14ac:dyDescent="0.25">
      <c r="R1136">
        <v>74111</v>
      </c>
      <c r="S1136" t="s">
        <v>1360</v>
      </c>
      <c r="T1136" t="s">
        <v>804</v>
      </c>
      <c r="U1136" t="str">
        <f t="shared" si="105"/>
        <v>TJBU132</v>
      </c>
      <c r="W1136" t="str">
        <f t="shared" si="106"/>
        <v>TJBU132T1</v>
      </c>
      <c r="X1136">
        <v>2.1818</v>
      </c>
      <c r="Z1136" t="s">
        <v>1360</v>
      </c>
      <c r="AA1136" t="s">
        <v>804</v>
      </c>
      <c r="AB1136" t="s">
        <v>2984</v>
      </c>
      <c r="AD1136" t="s">
        <v>2985</v>
      </c>
      <c r="AE1136">
        <v>2.1818</v>
      </c>
      <c r="AF1136">
        <v>74111</v>
      </c>
    </row>
    <row r="1137" spans="18:32" x14ac:dyDescent="0.25">
      <c r="R1137">
        <v>74111</v>
      </c>
      <c r="S1137" t="s">
        <v>1360</v>
      </c>
      <c r="T1137" t="s">
        <v>807</v>
      </c>
      <c r="U1137" t="str">
        <f t="shared" si="105"/>
        <v>TJBU132</v>
      </c>
      <c r="W1137" t="str">
        <f t="shared" si="106"/>
        <v>TJBU132T2</v>
      </c>
      <c r="X1137">
        <v>2.2210999999999999</v>
      </c>
      <c r="Z1137" t="s">
        <v>1360</v>
      </c>
      <c r="AA1137" t="s">
        <v>807</v>
      </c>
      <c r="AB1137" t="s">
        <v>2984</v>
      </c>
      <c r="AD1137" t="s">
        <v>2986</v>
      </c>
      <c r="AE1137">
        <v>2.2210999999999999</v>
      </c>
      <c r="AF1137">
        <v>74111</v>
      </c>
    </row>
    <row r="1138" spans="18:32" x14ac:dyDescent="0.25">
      <c r="R1138">
        <v>74144</v>
      </c>
      <c r="S1138" t="s">
        <v>1377</v>
      </c>
      <c r="T1138" t="s">
        <v>804</v>
      </c>
      <c r="U1138" t="str">
        <f t="shared" si="105"/>
        <v>TMID132</v>
      </c>
      <c r="W1138" t="str">
        <f t="shared" si="106"/>
        <v>TMID132T1</v>
      </c>
      <c r="X1138">
        <v>9.0398999999999994</v>
      </c>
      <c r="Z1138" t="s">
        <v>1377</v>
      </c>
      <c r="AA1138" t="s">
        <v>804</v>
      </c>
      <c r="AB1138" t="s">
        <v>1526</v>
      </c>
      <c r="AD1138" t="s">
        <v>2987</v>
      </c>
      <c r="AE1138">
        <v>9.0398999999999994</v>
      </c>
      <c r="AF1138">
        <v>74144</v>
      </c>
    </row>
    <row r="1139" spans="18:32" x14ac:dyDescent="0.25">
      <c r="R1139">
        <v>74144</v>
      </c>
      <c r="S1139" t="s">
        <v>1377</v>
      </c>
      <c r="T1139" t="s">
        <v>807</v>
      </c>
      <c r="U1139" t="str">
        <f t="shared" si="105"/>
        <v>TMID132</v>
      </c>
      <c r="W1139" t="str">
        <f t="shared" si="106"/>
        <v>TMID132T2</v>
      </c>
      <c r="X1139">
        <v>9.1155000000000008</v>
      </c>
      <c r="Z1139" t="s">
        <v>1377</v>
      </c>
      <c r="AA1139" t="s">
        <v>807</v>
      </c>
      <c r="AB1139" t="s">
        <v>1526</v>
      </c>
      <c r="AD1139" t="s">
        <v>2988</v>
      </c>
      <c r="AE1139">
        <v>9.1155000000000008</v>
      </c>
      <c r="AF1139">
        <v>74144</v>
      </c>
    </row>
    <row r="1140" spans="18:32" x14ac:dyDescent="0.25">
      <c r="R1140">
        <v>74144</v>
      </c>
      <c r="S1140" t="s">
        <v>1377</v>
      </c>
      <c r="T1140" t="s">
        <v>808</v>
      </c>
      <c r="U1140" t="str">
        <f t="shared" si="105"/>
        <v>TMID132</v>
      </c>
      <c r="W1140" t="str">
        <f t="shared" si="106"/>
        <v>TMID132T3</v>
      </c>
      <c r="X1140">
        <v>0</v>
      </c>
      <c r="Z1140" t="s">
        <v>1377</v>
      </c>
      <c r="AA1140" t="s">
        <v>808</v>
      </c>
      <c r="AB1140" t="s">
        <v>1526</v>
      </c>
      <c r="AD1140" t="s">
        <v>2989</v>
      </c>
      <c r="AE1140">
        <v>0</v>
      </c>
      <c r="AF1140">
        <v>74144</v>
      </c>
    </row>
    <row r="1141" spans="18:32" x14ac:dyDescent="0.25">
      <c r="R1141">
        <v>74144</v>
      </c>
      <c r="S1141" t="s">
        <v>1377</v>
      </c>
      <c r="T1141" t="s">
        <v>809</v>
      </c>
      <c r="U1141" t="str">
        <f t="shared" si="105"/>
        <v>TMID132</v>
      </c>
      <c r="W1141" t="str">
        <f t="shared" si="106"/>
        <v>TMID132T4</v>
      </c>
      <c r="X1141">
        <v>0</v>
      </c>
      <c r="Z1141" t="s">
        <v>1377</v>
      </c>
      <c r="AA1141" t="s">
        <v>809</v>
      </c>
      <c r="AB1141" t="s">
        <v>1526</v>
      </c>
      <c r="AD1141" t="s">
        <v>2990</v>
      </c>
      <c r="AE1141">
        <v>0</v>
      </c>
      <c r="AF1141">
        <v>74144</v>
      </c>
    </row>
    <row r="1142" spans="18:32" x14ac:dyDescent="0.25">
      <c r="R1142">
        <v>74156</v>
      </c>
      <c r="S1142" t="s">
        <v>1396</v>
      </c>
      <c r="T1142" t="s">
        <v>804</v>
      </c>
      <c r="U1142" t="str">
        <f t="shared" si="105"/>
        <v>UIAM132</v>
      </c>
      <c r="W1142" t="str">
        <f t="shared" si="106"/>
        <v>UIAM132T1</v>
      </c>
      <c r="X1142">
        <v>8.1959999999999997</v>
      </c>
      <c r="Z1142" t="s">
        <v>1396</v>
      </c>
      <c r="AA1142" t="s">
        <v>804</v>
      </c>
      <c r="AB1142" t="s">
        <v>2991</v>
      </c>
      <c r="AD1142" t="s">
        <v>2992</v>
      </c>
      <c r="AE1142">
        <v>8.1959999999999997</v>
      </c>
      <c r="AF1142">
        <v>74156</v>
      </c>
    </row>
    <row r="1143" spans="18:32" x14ac:dyDescent="0.25">
      <c r="R1143">
        <v>74156</v>
      </c>
      <c r="S1143" t="s">
        <v>1396</v>
      </c>
      <c r="T1143" t="s">
        <v>807</v>
      </c>
      <c r="U1143" t="str">
        <f t="shared" si="105"/>
        <v>UIAM132</v>
      </c>
      <c r="W1143" t="str">
        <f t="shared" si="106"/>
        <v>UIAM132T2</v>
      </c>
      <c r="X1143">
        <v>8.1969999999999992</v>
      </c>
      <c r="Z1143" t="s">
        <v>1396</v>
      </c>
      <c r="AA1143" t="s">
        <v>807</v>
      </c>
      <c r="AB1143" t="s">
        <v>2991</v>
      </c>
      <c r="AD1143" t="s">
        <v>2993</v>
      </c>
      <c r="AE1143">
        <v>8.1969999999999992</v>
      </c>
      <c r="AF1143">
        <v>74156</v>
      </c>
    </row>
    <row r="1144" spans="18:32" x14ac:dyDescent="0.25">
      <c r="R1144">
        <v>75138</v>
      </c>
      <c r="S1144" t="s">
        <v>902</v>
      </c>
      <c r="T1144" t="s">
        <v>804</v>
      </c>
      <c r="U1144" t="str">
        <f t="shared" si="105"/>
        <v>BRKT132</v>
      </c>
      <c r="W1144" t="str">
        <f t="shared" si="106"/>
        <v>BRKT132T1</v>
      </c>
      <c r="X1144">
        <v>9.1206999999999994</v>
      </c>
      <c r="Z1144" t="s">
        <v>902</v>
      </c>
      <c r="AA1144" t="s">
        <v>804</v>
      </c>
      <c r="AB1144" t="s">
        <v>1566</v>
      </c>
      <c r="AD1144" t="s">
        <v>2994</v>
      </c>
      <c r="AE1144">
        <v>9.1206999999999994</v>
      </c>
      <c r="AF1144">
        <v>75138</v>
      </c>
    </row>
    <row r="1145" spans="18:32" x14ac:dyDescent="0.25">
      <c r="R1145">
        <v>75138</v>
      </c>
      <c r="S1145" t="s">
        <v>902</v>
      </c>
      <c r="T1145" t="s">
        <v>807</v>
      </c>
      <c r="U1145" t="str">
        <f t="shared" si="105"/>
        <v>BRKT132</v>
      </c>
      <c r="W1145" t="str">
        <f t="shared" si="106"/>
        <v>BRKT132T2</v>
      </c>
      <c r="X1145">
        <v>9.0182000000000002</v>
      </c>
      <c r="Z1145" t="s">
        <v>902</v>
      </c>
      <c r="AA1145" t="s">
        <v>807</v>
      </c>
      <c r="AB1145" t="s">
        <v>1566</v>
      </c>
      <c r="AD1145" t="s">
        <v>2995</v>
      </c>
      <c r="AE1145">
        <v>9.0182000000000002</v>
      </c>
      <c r="AF1145">
        <v>75138</v>
      </c>
    </row>
    <row r="1146" spans="18:32" x14ac:dyDescent="0.25">
      <c r="R1146">
        <v>75138</v>
      </c>
      <c r="S1146" t="s">
        <v>902</v>
      </c>
      <c r="T1146" t="s">
        <v>808</v>
      </c>
      <c r="U1146" t="str">
        <f t="shared" si="105"/>
        <v>BRKT132</v>
      </c>
      <c r="W1146" t="str">
        <f t="shared" si="106"/>
        <v>BRKT132T3</v>
      </c>
      <c r="X1146">
        <v>14.7041</v>
      </c>
      <c r="Z1146" t="s">
        <v>902</v>
      </c>
      <c r="AA1146" t="s">
        <v>808</v>
      </c>
      <c r="AB1146" t="s">
        <v>1566</v>
      </c>
      <c r="AD1146" t="s">
        <v>2996</v>
      </c>
      <c r="AE1146">
        <v>14.7041</v>
      </c>
      <c r="AF1146">
        <v>75138</v>
      </c>
    </row>
    <row r="1147" spans="18:32" x14ac:dyDescent="0.25">
      <c r="R1147">
        <v>75109</v>
      </c>
      <c r="S1147" t="s">
        <v>929</v>
      </c>
      <c r="T1147" t="s">
        <v>804</v>
      </c>
      <c r="U1147" t="str">
        <f t="shared" si="105"/>
        <v>CHRG132</v>
      </c>
      <c r="W1147" t="str">
        <f t="shared" si="106"/>
        <v>CHRG132T1</v>
      </c>
      <c r="X1147">
        <v>17.8064</v>
      </c>
      <c r="Z1147" t="s">
        <v>929</v>
      </c>
      <c r="AA1147" t="s">
        <v>804</v>
      </c>
      <c r="AB1147" t="s">
        <v>1540</v>
      </c>
      <c r="AD1147" t="s">
        <v>2997</v>
      </c>
      <c r="AE1147">
        <v>17.8064</v>
      </c>
      <c r="AF1147">
        <v>75109</v>
      </c>
    </row>
    <row r="1148" spans="18:32" x14ac:dyDescent="0.25">
      <c r="R1148">
        <v>75109</v>
      </c>
      <c r="S1148" t="s">
        <v>929</v>
      </c>
      <c r="T1148" t="s">
        <v>807</v>
      </c>
      <c r="U1148" t="str">
        <f t="shared" si="105"/>
        <v>CHRG132</v>
      </c>
      <c r="W1148" t="str">
        <f t="shared" si="106"/>
        <v>CHRG132T2</v>
      </c>
      <c r="X1148">
        <v>14.3209</v>
      </c>
      <c r="Z1148" t="s">
        <v>929</v>
      </c>
      <c r="AA1148" t="s">
        <v>807</v>
      </c>
      <c r="AB1148" t="s">
        <v>1540</v>
      </c>
      <c r="AD1148" t="s">
        <v>2998</v>
      </c>
      <c r="AE1148">
        <v>14.3209</v>
      </c>
      <c r="AF1148">
        <v>75109</v>
      </c>
    </row>
    <row r="1149" spans="18:32" x14ac:dyDescent="0.25">
      <c r="R1149">
        <v>75109</v>
      </c>
      <c r="S1149" t="s">
        <v>929</v>
      </c>
      <c r="T1149" t="s">
        <v>808</v>
      </c>
      <c r="U1149" t="str">
        <f t="shared" si="105"/>
        <v>CHRG132</v>
      </c>
      <c r="W1149" t="str">
        <f t="shared" si="106"/>
        <v>CHRG132T3</v>
      </c>
      <c r="X1149">
        <v>25.6648</v>
      </c>
      <c r="Z1149" t="s">
        <v>929</v>
      </c>
      <c r="AA1149" t="s">
        <v>808</v>
      </c>
      <c r="AB1149" t="s">
        <v>1540</v>
      </c>
      <c r="AD1149" t="s">
        <v>2999</v>
      </c>
      <c r="AE1149">
        <v>25.6648</v>
      </c>
      <c r="AF1149">
        <v>75109</v>
      </c>
    </row>
    <row r="1150" spans="18:32" x14ac:dyDescent="0.25">
      <c r="R1150">
        <v>75109</v>
      </c>
      <c r="S1150" t="s">
        <v>929</v>
      </c>
      <c r="T1150" t="s">
        <v>809</v>
      </c>
      <c r="U1150" t="str">
        <f t="shared" si="105"/>
        <v>CHRG132</v>
      </c>
      <c r="W1150" t="str">
        <f t="shared" si="106"/>
        <v>CHRG132T4</v>
      </c>
      <c r="X1150">
        <v>26.242599999999999</v>
      </c>
      <c r="Z1150" t="s">
        <v>929</v>
      </c>
      <c r="AA1150" t="s">
        <v>809</v>
      </c>
      <c r="AB1150" t="s">
        <v>1540</v>
      </c>
      <c r="AD1150" t="s">
        <v>3000</v>
      </c>
      <c r="AE1150">
        <v>26.242599999999999</v>
      </c>
      <c r="AF1150">
        <v>75109</v>
      </c>
    </row>
    <row r="1151" spans="18:32" x14ac:dyDescent="0.25">
      <c r="R1151">
        <v>75144</v>
      </c>
      <c r="S1151" t="s">
        <v>933</v>
      </c>
      <c r="T1151" t="s">
        <v>804</v>
      </c>
      <c r="U1151" t="str">
        <f t="shared" si="105"/>
        <v>CKAI132</v>
      </c>
      <c r="W1151" t="str">
        <f t="shared" si="106"/>
        <v>CKAI132T1</v>
      </c>
      <c r="X1151">
        <v>12.7325</v>
      </c>
      <c r="Z1151" t="s">
        <v>933</v>
      </c>
      <c r="AA1151" t="s">
        <v>804</v>
      </c>
      <c r="AB1151" t="s">
        <v>1544</v>
      </c>
      <c r="AD1151" t="s">
        <v>3001</v>
      </c>
      <c r="AE1151">
        <v>12.7325</v>
      </c>
      <c r="AF1151">
        <v>75144</v>
      </c>
    </row>
    <row r="1152" spans="18:32" x14ac:dyDescent="0.25">
      <c r="R1152">
        <v>75144</v>
      </c>
      <c r="S1152" t="s">
        <v>933</v>
      </c>
      <c r="T1152" t="s">
        <v>807</v>
      </c>
      <c r="U1152" t="str">
        <f t="shared" si="105"/>
        <v>CKAI132</v>
      </c>
      <c r="W1152" t="str">
        <f t="shared" si="106"/>
        <v>CKAI132T2</v>
      </c>
      <c r="X1152">
        <v>12.759399999999999</v>
      </c>
      <c r="Z1152" t="s">
        <v>933</v>
      </c>
      <c r="AA1152" t="s">
        <v>807</v>
      </c>
      <c r="AB1152" t="s">
        <v>1544</v>
      </c>
      <c r="AD1152" t="s">
        <v>3002</v>
      </c>
      <c r="AE1152">
        <v>12.759399999999999</v>
      </c>
      <c r="AF1152">
        <v>75144</v>
      </c>
    </row>
    <row r="1153" spans="18:32" x14ac:dyDescent="0.25">
      <c r="R1153">
        <v>75150</v>
      </c>
      <c r="S1153" t="s">
        <v>938</v>
      </c>
      <c r="T1153">
        <v>99</v>
      </c>
      <c r="U1153" t="str">
        <f t="shared" si="105"/>
        <v>CUFK132</v>
      </c>
      <c r="W1153" t="str">
        <f t="shared" si="106"/>
        <v>CUFK13299</v>
      </c>
      <c r="X1153">
        <v>0</v>
      </c>
      <c r="Z1153" t="s">
        <v>938</v>
      </c>
      <c r="AA1153">
        <v>99</v>
      </c>
      <c r="AB1153" t="s">
        <v>3003</v>
      </c>
      <c r="AD1153" t="s">
        <v>3004</v>
      </c>
      <c r="AE1153">
        <v>0</v>
      </c>
      <c r="AF1153">
        <v>75150</v>
      </c>
    </row>
    <row r="1154" spans="18:32" x14ac:dyDescent="0.25">
      <c r="R1154">
        <v>75118</v>
      </c>
      <c r="S1154" t="s">
        <v>942</v>
      </c>
      <c r="T1154" t="s">
        <v>804</v>
      </c>
      <c r="U1154" t="str">
        <f t="shared" si="105"/>
        <v>DGID132</v>
      </c>
      <c r="W1154" t="str">
        <f t="shared" si="106"/>
        <v>DGID132T1</v>
      </c>
      <c r="X1154">
        <v>0</v>
      </c>
      <c r="Z1154" t="s">
        <v>942</v>
      </c>
      <c r="AA1154" t="s">
        <v>804</v>
      </c>
      <c r="AB1154" t="s">
        <v>1543</v>
      </c>
      <c r="AD1154" t="s">
        <v>3005</v>
      </c>
      <c r="AE1154">
        <v>0</v>
      </c>
      <c r="AF1154">
        <v>75118</v>
      </c>
    </row>
    <row r="1155" spans="18:32" x14ac:dyDescent="0.25">
      <c r="R1155">
        <v>75118</v>
      </c>
      <c r="S1155" t="s">
        <v>942</v>
      </c>
      <c r="T1155" t="s">
        <v>807</v>
      </c>
      <c r="U1155" t="str">
        <f t="shared" si="105"/>
        <v>DGID132</v>
      </c>
      <c r="W1155" t="str">
        <f t="shared" si="106"/>
        <v>DGID132T2</v>
      </c>
      <c r="X1155">
        <v>25.8719</v>
      </c>
      <c r="Z1155" t="s">
        <v>942</v>
      </c>
      <c r="AA1155" t="s">
        <v>807</v>
      </c>
      <c r="AB1155" t="s">
        <v>1543</v>
      </c>
      <c r="AD1155" t="s">
        <v>3006</v>
      </c>
      <c r="AE1155">
        <v>25.8719</v>
      </c>
      <c r="AF1155">
        <v>75118</v>
      </c>
    </row>
    <row r="1156" spans="18:32" x14ac:dyDescent="0.25">
      <c r="R1156">
        <v>75103</v>
      </c>
      <c r="S1156" t="s">
        <v>943</v>
      </c>
      <c r="T1156" t="s">
        <v>804</v>
      </c>
      <c r="U1156" t="str">
        <f t="shared" ref="U1156:U1219" si="107">LEFT(S1156,7)</f>
        <v>DGUN132</v>
      </c>
      <c r="W1156" t="str">
        <f t="shared" ref="W1156:W1219" si="108">U1156&amp;T1156</f>
        <v>DGUN132T1</v>
      </c>
      <c r="X1156">
        <v>5.2179000000000002</v>
      </c>
      <c r="Z1156" t="s">
        <v>943</v>
      </c>
      <c r="AA1156" t="s">
        <v>804</v>
      </c>
      <c r="AB1156" t="s">
        <v>1539</v>
      </c>
      <c r="AD1156" t="s">
        <v>3007</v>
      </c>
      <c r="AE1156">
        <v>5.2179000000000002</v>
      </c>
      <c r="AF1156">
        <v>75103</v>
      </c>
    </row>
    <row r="1157" spans="18:32" x14ac:dyDescent="0.25">
      <c r="R1157">
        <v>75103</v>
      </c>
      <c r="S1157" t="s">
        <v>943</v>
      </c>
      <c r="T1157" t="s">
        <v>807</v>
      </c>
      <c r="U1157" t="str">
        <f t="shared" si="107"/>
        <v>DGUN132</v>
      </c>
      <c r="W1157" t="str">
        <f t="shared" si="108"/>
        <v>DGUN132T2</v>
      </c>
      <c r="X1157">
        <v>5.1722999999999999</v>
      </c>
      <c r="Z1157" t="s">
        <v>943</v>
      </c>
      <c r="AA1157" t="s">
        <v>807</v>
      </c>
      <c r="AB1157" t="s">
        <v>1539</v>
      </c>
      <c r="AD1157" t="s">
        <v>3008</v>
      </c>
      <c r="AE1157">
        <v>5.1722999999999999</v>
      </c>
      <c r="AF1157">
        <v>75103</v>
      </c>
    </row>
    <row r="1158" spans="18:32" x14ac:dyDescent="0.25">
      <c r="R1158">
        <v>75116</v>
      </c>
      <c r="S1158" t="s">
        <v>965</v>
      </c>
      <c r="T1158" t="s">
        <v>804</v>
      </c>
      <c r="U1158" t="str">
        <f t="shared" si="107"/>
        <v>GBDK132</v>
      </c>
      <c r="W1158" t="str">
        <f t="shared" si="108"/>
        <v>GBDK132T1</v>
      </c>
      <c r="X1158">
        <v>10.6625</v>
      </c>
      <c r="Z1158" t="s">
        <v>965</v>
      </c>
      <c r="AA1158" t="s">
        <v>804</v>
      </c>
      <c r="AB1158" t="s">
        <v>1563</v>
      </c>
      <c r="AD1158" t="s">
        <v>3009</v>
      </c>
      <c r="AE1158">
        <v>10.6625</v>
      </c>
      <c r="AF1158">
        <v>75116</v>
      </c>
    </row>
    <row r="1159" spans="18:32" x14ac:dyDescent="0.25">
      <c r="R1159">
        <v>75116</v>
      </c>
      <c r="S1159" t="s">
        <v>965</v>
      </c>
      <c r="T1159" t="s">
        <v>807</v>
      </c>
      <c r="U1159" t="str">
        <f t="shared" si="107"/>
        <v>GBDK132</v>
      </c>
      <c r="W1159" t="str">
        <f t="shared" si="108"/>
        <v>GBDK132T2</v>
      </c>
      <c r="X1159">
        <v>10.683199999999999</v>
      </c>
      <c r="Z1159" t="s">
        <v>965</v>
      </c>
      <c r="AA1159" t="s">
        <v>807</v>
      </c>
      <c r="AB1159" t="s">
        <v>1563</v>
      </c>
      <c r="AD1159" t="s">
        <v>3010</v>
      </c>
      <c r="AE1159">
        <v>10.683199999999999</v>
      </c>
      <c r="AF1159">
        <v>75116</v>
      </c>
    </row>
    <row r="1160" spans="18:32" x14ac:dyDescent="0.25">
      <c r="R1160">
        <v>75116</v>
      </c>
      <c r="S1160" t="s">
        <v>965</v>
      </c>
      <c r="T1160" t="s">
        <v>808</v>
      </c>
      <c r="U1160" t="str">
        <f t="shared" si="107"/>
        <v>GBDK132</v>
      </c>
      <c r="W1160" t="str">
        <f t="shared" si="108"/>
        <v>GBDK132T3</v>
      </c>
      <c r="X1160">
        <v>19.3752</v>
      </c>
      <c r="Z1160" t="s">
        <v>965</v>
      </c>
      <c r="AA1160" t="s">
        <v>808</v>
      </c>
      <c r="AB1160" t="s">
        <v>1563</v>
      </c>
      <c r="AD1160" t="s">
        <v>3011</v>
      </c>
      <c r="AE1160">
        <v>19.3752</v>
      </c>
      <c r="AF1160">
        <v>75116</v>
      </c>
    </row>
    <row r="1161" spans="18:32" x14ac:dyDescent="0.25">
      <c r="R1161">
        <v>75116</v>
      </c>
      <c r="S1161" t="s">
        <v>965</v>
      </c>
      <c r="T1161" t="s">
        <v>809</v>
      </c>
      <c r="U1161" t="str">
        <f t="shared" si="107"/>
        <v>GBDK132</v>
      </c>
      <c r="W1161" t="str">
        <f t="shared" si="108"/>
        <v>GBDK132T4</v>
      </c>
      <c r="X1161">
        <v>19.429099999999998</v>
      </c>
      <c r="Z1161" t="s">
        <v>965</v>
      </c>
      <c r="AA1161" t="s">
        <v>809</v>
      </c>
      <c r="AB1161" t="s">
        <v>1563</v>
      </c>
      <c r="AD1161" t="s">
        <v>3012</v>
      </c>
      <c r="AE1161">
        <v>19.429099999999998</v>
      </c>
      <c r="AF1161">
        <v>75116</v>
      </c>
    </row>
    <row r="1162" spans="18:32" x14ac:dyDescent="0.25">
      <c r="R1162">
        <v>75299</v>
      </c>
      <c r="S1162" t="s">
        <v>994</v>
      </c>
      <c r="T1162" t="s">
        <v>804</v>
      </c>
      <c r="U1162" t="str">
        <f t="shared" si="107"/>
        <v>HTRG275</v>
      </c>
      <c r="W1162" t="str">
        <f t="shared" si="108"/>
        <v>HTRG275T1</v>
      </c>
      <c r="X1162">
        <v>0</v>
      </c>
      <c r="Z1162" t="s">
        <v>994</v>
      </c>
      <c r="AA1162" t="s">
        <v>804</v>
      </c>
      <c r="AB1162" t="s">
        <v>3013</v>
      </c>
      <c r="AD1162" t="s">
        <v>3014</v>
      </c>
      <c r="AE1162">
        <v>0</v>
      </c>
      <c r="AF1162">
        <v>75299</v>
      </c>
    </row>
    <row r="1163" spans="18:32" x14ac:dyDescent="0.25">
      <c r="R1163">
        <v>75299</v>
      </c>
      <c r="S1163" t="s">
        <v>994</v>
      </c>
      <c r="T1163" t="s">
        <v>807</v>
      </c>
      <c r="U1163" t="str">
        <f t="shared" si="107"/>
        <v>HTRG275</v>
      </c>
      <c r="W1163" t="str">
        <f t="shared" si="108"/>
        <v>HTRG275T2</v>
      </c>
      <c r="X1163">
        <v>0</v>
      </c>
      <c r="Z1163" t="s">
        <v>994</v>
      </c>
      <c r="AA1163" t="s">
        <v>807</v>
      </c>
      <c r="AB1163" t="s">
        <v>3013</v>
      </c>
      <c r="AD1163" t="s">
        <v>3015</v>
      </c>
      <c r="AE1163">
        <v>0</v>
      </c>
      <c r="AF1163">
        <v>75299</v>
      </c>
    </row>
    <row r="1164" spans="18:32" x14ac:dyDescent="0.25">
      <c r="R1164">
        <v>75926</v>
      </c>
      <c r="S1164" t="s">
        <v>995</v>
      </c>
      <c r="T1164" t="s">
        <v>869</v>
      </c>
      <c r="U1164" t="str">
        <f t="shared" si="107"/>
        <v>HTRG_U3</v>
      </c>
      <c r="W1164" t="str">
        <f t="shared" si="108"/>
        <v>HTRG_U3X1</v>
      </c>
      <c r="X1164">
        <v>0</v>
      </c>
      <c r="Z1164" t="s">
        <v>995</v>
      </c>
      <c r="AA1164" t="s">
        <v>869</v>
      </c>
      <c r="AB1164" t="s">
        <v>3016</v>
      </c>
      <c r="AD1164" t="s">
        <v>3017</v>
      </c>
      <c r="AE1164">
        <v>0</v>
      </c>
      <c r="AF1164">
        <v>75926</v>
      </c>
    </row>
    <row r="1165" spans="18:32" x14ac:dyDescent="0.25">
      <c r="R1165">
        <v>75927</v>
      </c>
      <c r="S1165" t="s">
        <v>996</v>
      </c>
      <c r="T1165" t="s">
        <v>869</v>
      </c>
      <c r="U1165" t="str">
        <f t="shared" si="107"/>
        <v>HTRG_U4</v>
      </c>
      <c r="W1165" t="str">
        <f t="shared" si="108"/>
        <v>HTRG_U4X1</v>
      </c>
      <c r="X1165">
        <v>0</v>
      </c>
      <c r="Z1165" t="s">
        <v>996</v>
      </c>
      <c r="AA1165" t="s">
        <v>869</v>
      </c>
      <c r="AB1165" t="s">
        <v>3018</v>
      </c>
      <c r="AD1165" t="s">
        <v>3019</v>
      </c>
      <c r="AE1165">
        <v>0</v>
      </c>
      <c r="AF1165">
        <v>75927</v>
      </c>
    </row>
    <row r="1166" spans="18:32" x14ac:dyDescent="0.25">
      <c r="R1166">
        <v>75140</v>
      </c>
      <c r="S1166" t="s">
        <v>1026</v>
      </c>
      <c r="T1166" t="s">
        <v>804</v>
      </c>
      <c r="U1166" t="str">
        <f t="shared" si="107"/>
        <v>KBRG132</v>
      </c>
      <c r="W1166" t="str">
        <f t="shared" si="108"/>
        <v>KBRG132T1</v>
      </c>
      <c r="X1166">
        <v>10.886200000000001</v>
      </c>
      <c r="Z1166" t="s">
        <v>1026</v>
      </c>
      <c r="AA1166" t="s">
        <v>804</v>
      </c>
      <c r="AB1166" t="s">
        <v>1564</v>
      </c>
      <c r="AD1166" t="s">
        <v>3020</v>
      </c>
      <c r="AE1166">
        <v>10.886200000000001</v>
      </c>
      <c r="AF1166">
        <v>75140</v>
      </c>
    </row>
    <row r="1167" spans="18:32" x14ac:dyDescent="0.25">
      <c r="R1167">
        <v>75140</v>
      </c>
      <c r="S1167" t="s">
        <v>1026</v>
      </c>
      <c r="T1167" t="s">
        <v>807</v>
      </c>
      <c r="U1167" t="str">
        <f t="shared" si="107"/>
        <v>KBRG132</v>
      </c>
      <c r="W1167" t="str">
        <f t="shared" si="108"/>
        <v>KBRG132T2</v>
      </c>
      <c r="X1167">
        <v>10.486499999999999</v>
      </c>
      <c r="Z1167" t="s">
        <v>1026</v>
      </c>
      <c r="AA1167" t="s">
        <v>807</v>
      </c>
      <c r="AB1167" t="s">
        <v>1564</v>
      </c>
      <c r="AD1167" t="s">
        <v>3021</v>
      </c>
      <c r="AE1167">
        <v>10.486499999999999</v>
      </c>
      <c r="AF1167">
        <v>75140</v>
      </c>
    </row>
    <row r="1168" spans="18:32" x14ac:dyDescent="0.25">
      <c r="R1168">
        <v>75140</v>
      </c>
      <c r="S1168" t="s">
        <v>1026</v>
      </c>
      <c r="T1168" t="s">
        <v>808</v>
      </c>
      <c r="U1168" t="str">
        <f t="shared" si="107"/>
        <v>KBRG132</v>
      </c>
      <c r="W1168" t="str">
        <f t="shared" si="108"/>
        <v>KBRG132T3</v>
      </c>
      <c r="X1168">
        <v>5.0563000000000002</v>
      </c>
      <c r="Z1168" t="s">
        <v>1026</v>
      </c>
      <c r="AA1168" t="s">
        <v>808</v>
      </c>
      <c r="AB1168" t="s">
        <v>1564</v>
      </c>
      <c r="AD1168" t="s">
        <v>3022</v>
      </c>
      <c r="AE1168">
        <v>5.0563000000000002</v>
      </c>
      <c r="AF1168">
        <v>75140</v>
      </c>
    </row>
    <row r="1169" spans="18:32" x14ac:dyDescent="0.25">
      <c r="R1169">
        <v>75140</v>
      </c>
      <c r="S1169" t="s">
        <v>1026</v>
      </c>
      <c r="T1169" t="s">
        <v>809</v>
      </c>
      <c r="U1169" t="str">
        <f t="shared" si="107"/>
        <v>KBRG132</v>
      </c>
      <c r="W1169" t="str">
        <f t="shared" si="108"/>
        <v>KBRG132T4</v>
      </c>
      <c r="X1169">
        <v>5.133</v>
      </c>
      <c r="Z1169" t="s">
        <v>1026</v>
      </c>
      <c r="AA1169" t="s">
        <v>809</v>
      </c>
      <c r="AB1169" t="s">
        <v>1564</v>
      </c>
      <c r="AD1169" t="s">
        <v>3023</v>
      </c>
      <c r="AE1169">
        <v>5.133</v>
      </c>
      <c r="AF1169">
        <v>75140</v>
      </c>
    </row>
    <row r="1170" spans="18:32" x14ac:dyDescent="0.25">
      <c r="R1170">
        <v>75105</v>
      </c>
      <c r="S1170" t="s">
        <v>1072</v>
      </c>
      <c r="T1170" t="s">
        <v>804</v>
      </c>
      <c r="U1170" t="str">
        <f t="shared" si="107"/>
        <v>KMAN132</v>
      </c>
      <c r="W1170" t="str">
        <f t="shared" si="108"/>
        <v>KMAN132T1</v>
      </c>
      <c r="X1170">
        <v>9.6560000000000006</v>
      </c>
      <c r="Z1170" t="s">
        <v>1072</v>
      </c>
      <c r="AA1170" t="s">
        <v>804</v>
      </c>
      <c r="AB1170" t="s">
        <v>3024</v>
      </c>
      <c r="AD1170" t="s">
        <v>3025</v>
      </c>
      <c r="AE1170">
        <v>9.6560000000000006</v>
      </c>
      <c r="AF1170">
        <v>75105</v>
      </c>
    </row>
    <row r="1171" spans="18:32" x14ac:dyDescent="0.25">
      <c r="R1171">
        <v>75105</v>
      </c>
      <c r="S1171" t="s">
        <v>1072</v>
      </c>
      <c r="T1171" t="s">
        <v>807</v>
      </c>
      <c r="U1171" t="str">
        <f t="shared" si="107"/>
        <v>KMAN132</v>
      </c>
      <c r="W1171" t="str">
        <f t="shared" si="108"/>
        <v>KMAN132T2</v>
      </c>
      <c r="X1171">
        <v>9.6850000000000005</v>
      </c>
      <c r="Z1171" t="s">
        <v>1072</v>
      </c>
      <c r="AA1171" t="s">
        <v>807</v>
      </c>
      <c r="AB1171" t="s">
        <v>3024</v>
      </c>
      <c r="AD1171" t="s">
        <v>3026</v>
      </c>
      <c r="AE1171">
        <v>9.6850000000000005</v>
      </c>
      <c r="AF1171">
        <v>75105</v>
      </c>
    </row>
    <row r="1172" spans="18:32" x14ac:dyDescent="0.25">
      <c r="R1172">
        <v>75105</v>
      </c>
      <c r="S1172" t="s">
        <v>1072</v>
      </c>
      <c r="T1172" t="s">
        <v>808</v>
      </c>
      <c r="U1172" t="str">
        <f t="shared" si="107"/>
        <v>KMAN132</v>
      </c>
      <c r="W1172" t="str">
        <f t="shared" si="108"/>
        <v>KMAN132T3</v>
      </c>
      <c r="X1172">
        <v>2.8580000000000001</v>
      </c>
      <c r="Z1172" t="s">
        <v>1072</v>
      </c>
      <c r="AA1172" t="s">
        <v>808</v>
      </c>
      <c r="AB1172" t="s">
        <v>3024</v>
      </c>
      <c r="AD1172" t="s">
        <v>3027</v>
      </c>
      <c r="AE1172">
        <v>2.8580000000000001</v>
      </c>
      <c r="AF1172">
        <v>75105</v>
      </c>
    </row>
    <row r="1173" spans="18:32" x14ac:dyDescent="0.25">
      <c r="R1173">
        <v>75105</v>
      </c>
      <c r="S1173" t="s">
        <v>1072</v>
      </c>
      <c r="T1173" t="s">
        <v>809</v>
      </c>
      <c r="U1173" t="str">
        <f t="shared" si="107"/>
        <v>KMAN132</v>
      </c>
      <c r="W1173" t="str">
        <f t="shared" si="108"/>
        <v>KMAN132T4</v>
      </c>
      <c r="X1173">
        <v>2.8776999999999999</v>
      </c>
      <c r="Z1173" t="s">
        <v>1072</v>
      </c>
      <c r="AA1173" t="s">
        <v>809</v>
      </c>
      <c r="AB1173" t="s">
        <v>3024</v>
      </c>
      <c r="AD1173" t="s">
        <v>3028</v>
      </c>
      <c r="AE1173">
        <v>2.8776999999999999</v>
      </c>
      <c r="AF1173">
        <v>75105</v>
      </c>
    </row>
    <row r="1174" spans="18:32" x14ac:dyDescent="0.25">
      <c r="R1174">
        <v>75102</v>
      </c>
      <c r="S1174" t="s">
        <v>1076</v>
      </c>
      <c r="T1174" t="s">
        <v>804</v>
      </c>
      <c r="U1174" t="str">
        <f t="shared" si="107"/>
        <v>KNYR132</v>
      </c>
      <c r="W1174" t="str">
        <f t="shared" si="108"/>
        <v>KNYR132T1</v>
      </c>
      <c r="X1174">
        <v>0</v>
      </c>
      <c r="Z1174" t="s">
        <v>1076</v>
      </c>
      <c r="AA1174" t="s">
        <v>804</v>
      </c>
      <c r="AB1174" t="s">
        <v>3029</v>
      </c>
      <c r="AD1174" t="s">
        <v>3030</v>
      </c>
      <c r="AE1174">
        <v>0</v>
      </c>
      <c r="AF1174">
        <v>75102</v>
      </c>
    </row>
    <row r="1175" spans="18:32" x14ac:dyDescent="0.25">
      <c r="R1175">
        <v>75102</v>
      </c>
      <c r="S1175" t="s">
        <v>1076</v>
      </c>
      <c r="T1175" t="s">
        <v>807</v>
      </c>
      <c r="U1175" t="str">
        <f t="shared" si="107"/>
        <v>KNYR132</v>
      </c>
      <c r="W1175" t="str">
        <f t="shared" si="108"/>
        <v>KNYR132T2</v>
      </c>
      <c r="X1175">
        <v>0</v>
      </c>
      <c r="Z1175" t="s">
        <v>1076</v>
      </c>
      <c r="AA1175" t="s">
        <v>807</v>
      </c>
      <c r="AB1175" t="s">
        <v>3029</v>
      </c>
      <c r="AD1175" t="s">
        <v>3031</v>
      </c>
      <c r="AE1175">
        <v>0</v>
      </c>
      <c r="AF1175">
        <v>75102</v>
      </c>
    </row>
    <row r="1176" spans="18:32" x14ac:dyDescent="0.25">
      <c r="R1176">
        <v>75115</v>
      </c>
      <c r="S1176" t="s">
        <v>1107</v>
      </c>
      <c r="T1176" t="s">
        <v>804</v>
      </c>
      <c r="U1176" t="str">
        <f t="shared" si="107"/>
        <v>KTGU132</v>
      </c>
      <c r="W1176" t="str">
        <f t="shared" si="108"/>
        <v>KTGU132T1</v>
      </c>
      <c r="X1176">
        <v>13.361000000000001</v>
      </c>
      <c r="Z1176" t="s">
        <v>1107</v>
      </c>
      <c r="AA1176" t="s">
        <v>804</v>
      </c>
      <c r="AB1176" t="s">
        <v>1565</v>
      </c>
      <c r="AD1176" t="s">
        <v>3032</v>
      </c>
      <c r="AE1176">
        <v>13.361000000000001</v>
      </c>
      <c r="AF1176">
        <v>75115</v>
      </c>
    </row>
    <row r="1177" spans="18:32" x14ac:dyDescent="0.25">
      <c r="R1177">
        <v>75115</v>
      </c>
      <c r="S1177" t="s">
        <v>1107</v>
      </c>
      <c r="T1177" t="s">
        <v>807</v>
      </c>
      <c r="U1177" t="str">
        <f t="shared" si="107"/>
        <v>KTGU132</v>
      </c>
      <c r="W1177" t="str">
        <f t="shared" si="108"/>
        <v>KTGU132T2</v>
      </c>
      <c r="X1177">
        <v>11.4909</v>
      </c>
      <c r="Z1177" t="s">
        <v>1107</v>
      </c>
      <c r="AA1177" t="s">
        <v>807</v>
      </c>
      <c r="AB1177" t="s">
        <v>1565</v>
      </c>
      <c r="AD1177" t="s">
        <v>3033</v>
      </c>
      <c r="AE1177">
        <v>11.4909</v>
      </c>
      <c r="AF1177">
        <v>75115</v>
      </c>
    </row>
    <row r="1178" spans="18:32" x14ac:dyDescent="0.25">
      <c r="R1178">
        <v>75115</v>
      </c>
      <c r="S1178" t="s">
        <v>1107</v>
      </c>
      <c r="T1178" t="s">
        <v>808</v>
      </c>
      <c r="U1178" t="str">
        <f t="shared" si="107"/>
        <v>KTGU132</v>
      </c>
      <c r="W1178" t="str">
        <f t="shared" si="108"/>
        <v>KTGU132T3</v>
      </c>
      <c r="X1178">
        <v>11.521000000000001</v>
      </c>
      <c r="Z1178" t="s">
        <v>1107</v>
      </c>
      <c r="AA1178" t="s">
        <v>808</v>
      </c>
      <c r="AB1178" t="s">
        <v>1565</v>
      </c>
      <c r="AD1178" t="s">
        <v>3034</v>
      </c>
      <c r="AE1178">
        <v>11.521000000000001</v>
      </c>
      <c r="AF1178">
        <v>75115</v>
      </c>
    </row>
    <row r="1179" spans="18:32" x14ac:dyDescent="0.25">
      <c r="R1179">
        <v>75115</v>
      </c>
      <c r="S1179" t="s">
        <v>1107</v>
      </c>
      <c r="T1179" t="s">
        <v>809</v>
      </c>
      <c r="U1179" t="str">
        <f t="shared" si="107"/>
        <v>KTGU132</v>
      </c>
      <c r="W1179" t="str">
        <f t="shared" si="108"/>
        <v>KTGU132T4</v>
      </c>
      <c r="X1179">
        <v>11.5365</v>
      </c>
      <c r="Z1179" t="s">
        <v>1107</v>
      </c>
      <c r="AA1179" t="s">
        <v>809</v>
      </c>
      <c r="AB1179" t="s">
        <v>1565</v>
      </c>
      <c r="AD1179" t="s">
        <v>3035</v>
      </c>
      <c r="AE1179">
        <v>11.5365</v>
      </c>
      <c r="AF1179">
        <v>75115</v>
      </c>
    </row>
    <row r="1180" spans="18:32" x14ac:dyDescent="0.25">
      <c r="R1180">
        <v>75124</v>
      </c>
      <c r="S1180" t="s">
        <v>1108</v>
      </c>
      <c r="T1180" t="s">
        <v>804</v>
      </c>
      <c r="U1180" t="str">
        <f t="shared" si="107"/>
        <v>KTIH132</v>
      </c>
      <c r="W1180" t="str">
        <f t="shared" si="108"/>
        <v>KTIH132T1</v>
      </c>
      <c r="X1180">
        <v>5.9676</v>
      </c>
      <c r="Z1180" t="s">
        <v>1108</v>
      </c>
      <c r="AA1180" t="s">
        <v>804</v>
      </c>
      <c r="AB1180" t="s">
        <v>3036</v>
      </c>
      <c r="AD1180" t="s">
        <v>3037</v>
      </c>
      <c r="AE1180">
        <v>5.9676</v>
      </c>
      <c r="AF1180">
        <v>75124</v>
      </c>
    </row>
    <row r="1181" spans="18:32" x14ac:dyDescent="0.25">
      <c r="R1181">
        <v>75124</v>
      </c>
      <c r="S1181" t="s">
        <v>1108</v>
      </c>
      <c r="T1181" t="s">
        <v>807</v>
      </c>
      <c r="U1181" t="str">
        <f t="shared" si="107"/>
        <v>KTIH132</v>
      </c>
      <c r="W1181" t="str">
        <f t="shared" si="108"/>
        <v>KTIH132T2</v>
      </c>
      <c r="X1181">
        <v>5.9614000000000003</v>
      </c>
      <c r="Z1181" t="s">
        <v>1108</v>
      </c>
      <c r="AA1181" t="s">
        <v>807</v>
      </c>
      <c r="AB1181" t="s">
        <v>3036</v>
      </c>
      <c r="AD1181" t="s">
        <v>3038</v>
      </c>
      <c r="AE1181">
        <v>5.9614000000000003</v>
      </c>
      <c r="AF1181">
        <v>75124</v>
      </c>
    </row>
    <row r="1182" spans="18:32" x14ac:dyDescent="0.25">
      <c r="R1182">
        <v>74261</v>
      </c>
      <c r="S1182" t="s">
        <v>1132</v>
      </c>
      <c r="T1182" t="s">
        <v>804</v>
      </c>
      <c r="U1182" t="str">
        <f t="shared" si="107"/>
        <v>MCKP275</v>
      </c>
      <c r="W1182" t="str">
        <f t="shared" si="108"/>
        <v>MCKP275T1</v>
      </c>
      <c r="X1182">
        <v>0.50090000000000001</v>
      </c>
      <c r="Z1182" t="s">
        <v>1132</v>
      </c>
      <c r="AA1182" t="s">
        <v>804</v>
      </c>
      <c r="AB1182" t="s">
        <v>3039</v>
      </c>
      <c r="AD1182" t="s">
        <v>3040</v>
      </c>
      <c r="AE1182">
        <v>0.50090000000000001</v>
      </c>
      <c r="AF1182">
        <v>74261</v>
      </c>
    </row>
    <row r="1183" spans="18:32" x14ac:dyDescent="0.25">
      <c r="R1183">
        <v>74261</v>
      </c>
      <c r="S1183" t="s">
        <v>1132</v>
      </c>
      <c r="T1183" t="s">
        <v>807</v>
      </c>
      <c r="U1183" t="str">
        <f t="shared" si="107"/>
        <v>MCKP275</v>
      </c>
      <c r="W1183" t="str">
        <f t="shared" si="108"/>
        <v>MCKP275T2</v>
      </c>
      <c r="X1183">
        <v>0.50090000000000001</v>
      </c>
      <c r="Z1183" t="s">
        <v>1132</v>
      </c>
      <c r="AA1183" t="s">
        <v>807</v>
      </c>
      <c r="AB1183" t="s">
        <v>3039</v>
      </c>
      <c r="AD1183" t="s">
        <v>3041</v>
      </c>
      <c r="AE1183">
        <v>0.50090000000000001</v>
      </c>
      <c r="AF1183">
        <v>74261</v>
      </c>
    </row>
    <row r="1184" spans="18:32" x14ac:dyDescent="0.25">
      <c r="R1184">
        <v>75910</v>
      </c>
      <c r="S1184" t="s">
        <v>1133</v>
      </c>
      <c r="T1184" t="s">
        <v>869</v>
      </c>
      <c r="U1184" t="str">
        <f t="shared" si="107"/>
        <v>MCLS_LS</v>
      </c>
      <c r="W1184" t="str">
        <f t="shared" si="108"/>
        <v>MCLS_LSX1</v>
      </c>
      <c r="X1184">
        <v>0</v>
      </c>
      <c r="Z1184" t="s">
        <v>1133</v>
      </c>
      <c r="AA1184" t="s">
        <v>869</v>
      </c>
      <c r="AB1184" t="s">
        <v>3042</v>
      </c>
      <c r="AD1184" t="s">
        <v>3043</v>
      </c>
      <c r="AE1184">
        <v>0</v>
      </c>
      <c r="AF1184">
        <v>75910</v>
      </c>
    </row>
    <row r="1185" spans="18:32" x14ac:dyDescent="0.25">
      <c r="R1185">
        <v>75104</v>
      </c>
      <c r="S1185" t="s">
        <v>1185</v>
      </c>
      <c r="T1185" t="s">
        <v>1186</v>
      </c>
      <c r="U1185" t="str">
        <f t="shared" si="107"/>
        <v>PAKA132</v>
      </c>
      <c r="W1185" t="str">
        <f t="shared" si="108"/>
        <v>PAKA132NA</v>
      </c>
      <c r="X1185">
        <v>0</v>
      </c>
      <c r="Z1185" t="s">
        <v>1185</v>
      </c>
      <c r="AA1185" t="s">
        <v>1186</v>
      </c>
      <c r="AB1185" t="s">
        <v>3044</v>
      </c>
      <c r="AD1185" t="s">
        <v>3045</v>
      </c>
      <c r="AE1185">
        <v>0</v>
      </c>
      <c r="AF1185">
        <v>75104</v>
      </c>
    </row>
    <row r="1186" spans="18:32" x14ac:dyDescent="0.25">
      <c r="R1186">
        <v>75104</v>
      </c>
      <c r="S1186" t="s">
        <v>1185</v>
      </c>
      <c r="T1186" t="s">
        <v>1187</v>
      </c>
      <c r="U1186" t="str">
        <f t="shared" si="107"/>
        <v>PAKA132</v>
      </c>
      <c r="W1186" t="str">
        <f t="shared" si="108"/>
        <v>PAKA132NB</v>
      </c>
      <c r="X1186">
        <v>0</v>
      </c>
      <c r="Z1186" t="s">
        <v>1185</v>
      </c>
      <c r="AA1186" t="s">
        <v>1187</v>
      </c>
      <c r="AB1186" t="s">
        <v>3044</v>
      </c>
      <c r="AD1186" t="s">
        <v>3046</v>
      </c>
      <c r="AE1186">
        <v>0</v>
      </c>
      <c r="AF1186">
        <v>75104</v>
      </c>
    </row>
    <row r="1187" spans="18:32" x14ac:dyDescent="0.25">
      <c r="R1187">
        <v>75104</v>
      </c>
      <c r="S1187" t="s">
        <v>1185</v>
      </c>
      <c r="T1187" t="s">
        <v>804</v>
      </c>
      <c r="U1187" t="str">
        <f t="shared" si="107"/>
        <v>PAKA132</v>
      </c>
      <c r="W1187" t="str">
        <f t="shared" si="108"/>
        <v>PAKA132T1</v>
      </c>
      <c r="X1187">
        <v>6.6199000000000003</v>
      </c>
      <c r="Z1187" t="s">
        <v>1185</v>
      </c>
      <c r="AA1187" t="s">
        <v>804</v>
      </c>
      <c r="AB1187" t="s">
        <v>3044</v>
      </c>
      <c r="AD1187" t="s">
        <v>3047</v>
      </c>
      <c r="AE1187">
        <v>6.6199000000000003</v>
      </c>
      <c r="AF1187">
        <v>75104</v>
      </c>
    </row>
    <row r="1188" spans="18:32" x14ac:dyDescent="0.25">
      <c r="R1188">
        <v>75104</v>
      </c>
      <c r="S1188" t="s">
        <v>1185</v>
      </c>
      <c r="T1188" t="s">
        <v>807</v>
      </c>
      <c r="U1188" t="str">
        <f t="shared" si="107"/>
        <v>PAKA132</v>
      </c>
      <c r="W1188" t="str">
        <f t="shared" si="108"/>
        <v>PAKA132T2</v>
      </c>
      <c r="X1188">
        <v>6.5991999999999997</v>
      </c>
      <c r="Z1188" t="s">
        <v>1185</v>
      </c>
      <c r="AA1188" t="s">
        <v>807</v>
      </c>
      <c r="AB1188" t="s">
        <v>3044</v>
      </c>
      <c r="AD1188" t="s">
        <v>3048</v>
      </c>
      <c r="AE1188">
        <v>6.5991999999999997</v>
      </c>
      <c r="AF1188">
        <v>75104</v>
      </c>
    </row>
    <row r="1189" spans="18:32" x14ac:dyDescent="0.25">
      <c r="R1189">
        <v>75104</v>
      </c>
      <c r="S1189" t="s">
        <v>1185</v>
      </c>
      <c r="T1189" t="s">
        <v>810</v>
      </c>
      <c r="U1189" t="str">
        <f t="shared" si="107"/>
        <v>PAKA132</v>
      </c>
      <c r="W1189" t="str">
        <f t="shared" si="108"/>
        <v>PAKA132T5</v>
      </c>
      <c r="X1189">
        <v>2.4407000000000001</v>
      </c>
      <c r="Z1189" t="s">
        <v>1185</v>
      </c>
      <c r="AA1189" t="s">
        <v>810</v>
      </c>
      <c r="AB1189" t="s">
        <v>3044</v>
      </c>
      <c r="AD1189" t="s">
        <v>3049</v>
      </c>
      <c r="AE1189">
        <v>2.4407000000000001</v>
      </c>
      <c r="AF1189">
        <v>75104</v>
      </c>
    </row>
    <row r="1190" spans="18:32" x14ac:dyDescent="0.25">
      <c r="R1190">
        <v>75104</v>
      </c>
      <c r="S1190" t="s">
        <v>1185</v>
      </c>
      <c r="T1190" t="s">
        <v>812</v>
      </c>
      <c r="U1190" t="str">
        <f t="shared" si="107"/>
        <v>PAKA132</v>
      </c>
      <c r="W1190" t="str">
        <f t="shared" si="108"/>
        <v>PAKA132T6</v>
      </c>
      <c r="X1190">
        <v>2.4064999999999999</v>
      </c>
      <c r="Z1190" t="s">
        <v>1185</v>
      </c>
      <c r="AA1190" t="s">
        <v>812</v>
      </c>
      <c r="AB1190" t="s">
        <v>3044</v>
      </c>
      <c r="AD1190" t="s">
        <v>3050</v>
      </c>
      <c r="AE1190">
        <v>2.4064999999999999</v>
      </c>
      <c r="AF1190">
        <v>75104</v>
      </c>
    </row>
    <row r="1191" spans="18:32" x14ac:dyDescent="0.25">
      <c r="R1191">
        <v>75111</v>
      </c>
      <c r="S1191" t="s">
        <v>1261</v>
      </c>
      <c r="T1191" t="s">
        <v>804</v>
      </c>
      <c r="U1191" t="str">
        <f t="shared" si="107"/>
        <v>RPTS132</v>
      </c>
      <c r="W1191" t="str">
        <f t="shared" si="108"/>
        <v>RPTS132T1</v>
      </c>
      <c r="X1191">
        <v>6.4108000000000001</v>
      </c>
      <c r="Z1191" t="s">
        <v>1261</v>
      </c>
      <c r="AA1191" t="s">
        <v>804</v>
      </c>
      <c r="AB1191" t="s">
        <v>3051</v>
      </c>
      <c r="AD1191" t="s">
        <v>3052</v>
      </c>
      <c r="AE1191">
        <v>6.4108000000000001</v>
      </c>
      <c r="AF1191">
        <v>75111</v>
      </c>
    </row>
    <row r="1192" spans="18:32" x14ac:dyDescent="0.25">
      <c r="R1192">
        <v>75111</v>
      </c>
      <c r="S1192" t="s">
        <v>1261</v>
      </c>
      <c r="T1192" t="s">
        <v>807</v>
      </c>
      <c r="U1192" t="str">
        <f t="shared" si="107"/>
        <v>RPTS132</v>
      </c>
      <c r="W1192" t="str">
        <f t="shared" si="108"/>
        <v>RPTS132T2</v>
      </c>
      <c r="X1192">
        <v>6.4046000000000003</v>
      </c>
      <c r="Z1192" t="s">
        <v>1261</v>
      </c>
      <c r="AA1192" t="s">
        <v>807</v>
      </c>
      <c r="AB1192" t="s">
        <v>3051</v>
      </c>
      <c r="AD1192" t="s">
        <v>3053</v>
      </c>
      <c r="AE1192">
        <v>6.4046000000000003</v>
      </c>
      <c r="AF1192">
        <v>75111</v>
      </c>
    </row>
    <row r="1193" spans="18:32" x14ac:dyDescent="0.25">
      <c r="R1193">
        <v>75120</v>
      </c>
      <c r="S1193" t="s">
        <v>1339</v>
      </c>
      <c r="T1193" t="s">
        <v>804</v>
      </c>
      <c r="U1193" t="str">
        <f t="shared" si="107"/>
        <v>STNG132</v>
      </c>
      <c r="W1193" t="str">
        <f t="shared" si="108"/>
        <v>STNG132T1</v>
      </c>
      <c r="X1193">
        <v>6.4593999999999996</v>
      </c>
      <c r="Z1193" t="s">
        <v>1339</v>
      </c>
      <c r="AA1193" t="s">
        <v>804</v>
      </c>
      <c r="AB1193" t="s">
        <v>3054</v>
      </c>
      <c r="AD1193" t="s">
        <v>3055</v>
      </c>
      <c r="AE1193">
        <v>6.4593999999999996</v>
      </c>
      <c r="AF1193">
        <v>75120</v>
      </c>
    </row>
    <row r="1194" spans="18:32" x14ac:dyDescent="0.25">
      <c r="R1194">
        <v>75120</v>
      </c>
      <c r="S1194" t="s">
        <v>1339</v>
      </c>
      <c r="T1194" t="s">
        <v>807</v>
      </c>
      <c r="U1194" t="str">
        <f t="shared" si="107"/>
        <v>STNG132</v>
      </c>
      <c r="W1194" t="str">
        <f t="shared" si="108"/>
        <v>STNG132T2</v>
      </c>
      <c r="X1194">
        <v>6.5205000000000002</v>
      </c>
      <c r="Z1194" t="s">
        <v>1339</v>
      </c>
      <c r="AA1194" t="s">
        <v>807</v>
      </c>
      <c r="AB1194" t="s">
        <v>3054</v>
      </c>
      <c r="AD1194" t="s">
        <v>3056</v>
      </c>
      <c r="AE1194">
        <v>6.5205000000000002</v>
      </c>
      <c r="AF1194">
        <v>75120</v>
      </c>
    </row>
    <row r="1195" spans="18:32" x14ac:dyDescent="0.25">
      <c r="R1195">
        <v>75126</v>
      </c>
      <c r="S1195" t="s">
        <v>1369</v>
      </c>
      <c r="T1195" t="s">
        <v>804</v>
      </c>
      <c r="U1195" t="str">
        <f t="shared" si="107"/>
        <v>TKLG132</v>
      </c>
      <c r="W1195" t="str">
        <f t="shared" si="108"/>
        <v>TKLG132T1</v>
      </c>
      <c r="X1195">
        <v>3.6097000000000001</v>
      </c>
      <c r="Z1195" t="s">
        <v>1369</v>
      </c>
      <c r="AA1195" t="s">
        <v>804</v>
      </c>
      <c r="AB1195" t="s">
        <v>3057</v>
      </c>
      <c r="AD1195" t="s">
        <v>3058</v>
      </c>
      <c r="AE1195">
        <v>3.6097000000000001</v>
      </c>
      <c r="AF1195">
        <v>75126</v>
      </c>
    </row>
    <row r="1196" spans="18:32" x14ac:dyDescent="0.25">
      <c r="R1196">
        <v>75126</v>
      </c>
      <c r="S1196" t="s">
        <v>1369</v>
      </c>
      <c r="T1196" t="s">
        <v>807</v>
      </c>
      <c r="U1196" t="str">
        <f t="shared" si="107"/>
        <v>TKLG132</v>
      </c>
      <c r="W1196" t="str">
        <f t="shared" si="108"/>
        <v>TKLG132T2</v>
      </c>
      <c r="X1196">
        <v>3.6086999999999998</v>
      </c>
      <c r="Z1196" t="s">
        <v>1369</v>
      </c>
      <c r="AA1196" t="s">
        <v>807</v>
      </c>
      <c r="AB1196" t="s">
        <v>3057</v>
      </c>
      <c r="AD1196" t="s">
        <v>3059</v>
      </c>
      <c r="AE1196">
        <v>3.6086999999999998</v>
      </c>
      <c r="AF1196">
        <v>75126</v>
      </c>
    </row>
    <row r="1197" spans="18:32" x14ac:dyDescent="0.25">
      <c r="R1197">
        <v>75126</v>
      </c>
      <c r="S1197" t="s">
        <v>1369</v>
      </c>
      <c r="T1197" t="s">
        <v>808</v>
      </c>
      <c r="U1197" t="str">
        <f t="shared" si="107"/>
        <v>TKLG132</v>
      </c>
      <c r="W1197" t="str">
        <f t="shared" si="108"/>
        <v>TKLG132T3</v>
      </c>
      <c r="X1197">
        <v>18.737300000000001</v>
      </c>
      <c r="Z1197" t="s">
        <v>1369</v>
      </c>
      <c r="AA1197" t="s">
        <v>808</v>
      </c>
      <c r="AB1197" t="s">
        <v>3057</v>
      </c>
      <c r="AD1197" t="s">
        <v>3060</v>
      </c>
      <c r="AE1197">
        <v>18.737300000000001</v>
      </c>
      <c r="AF1197">
        <v>75126</v>
      </c>
    </row>
    <row r="1198" spans="18:32" x14ac:dyDescent="0.25">
      <c r="R1198">
        <v>75126</v>
      </c>
      <c r="S1198" t="s">
        <v>1369</v>
      </c>
      <c r="T1198" t="s">
        <v>809</v>
      </c>
      <c r="U1198" t="str">
        <f t="shared" si="107"/>
        <v>TKLG132</v>
      </c>
      <c r="W1198" t="str">
        <f t="shared" si="108"/>
        <v>TKLG132T4</v>
      </c>
      <c r="X1198">
        <v>18.7881</v>
      </c>
      <c r="Z1198" t="s">
        <v>1369</v>
      </c>
      <c r="AA1198" t="s">
        <v>809</v>
      </c>
      <c r="AB1198" t="s">
        <v>3057</v>
      </c>
      <c r="AD1198" t="s">
        <v>3061</v>
      </c>
      <c r="AE1198">
        <v>18.7881</v>
      </c>
      <c r="AF1198">
        <v>75126</v>
      </c>
    </row>
    <row r="1199" spans="18:32" x14ac:dyDescent="0.25">
      <c r="R1199">
        <v>75133</v>
      </c>
      <c r="S1199" t="s">
        <v>974</v>
      </c>
      <c r="T1199" t="s">
        <v>804</v>
      </c>
      <c r="U1199" t="str">
        <f t="shared" si="107"/>
        <v>GMSG132</v>
      </c>
      <c r="W1199" t="str">
        <f t="shared" si="108"/>
        <v>GMSG132T1</v>
      </c>
      <c r="X1199">
        <v>5.9768999999999997</v>
      </c>
      <c r="Z1199" t="s">
        <v>974</v>
      </c>
      <c r="AA1199" t="s">
        <v>804</v>
      </c>
      <c r="AB1199" t="s">
        <v>3062</v>
      </c>
      <c r="AD1199" t="s">
        <v>3063</v>
      </c>
      <c r="AE1199">
        <v>5.9768999999999997</v>
      </c>
      <c r="AF1199">
        <v>75133</v>
      </c>
    </row>
    <row r="1200" spans="18:32" x14ac:dyDescent="0.25">
      <c r="R1200">
        <v>75133</v>
      </c>
      <c r="S1200" t="s">
        <v>974</v>
      </c>
      <c r="T1200" t="s">
        <v>807</v>
      </c>
      <c r="U1200" t="str">
        <f t="shared" si="107"/>
        <v>GMSG132</v>
      </c>
      <c r="W1200" t="str">
        <f t="shared" si="108"/>
        <v>GMSG132T2</v>
      </c>
      <c r="X1200">
        <v>5.9489000000000001</v>
      </c>
      <c r="Z1200" t="s">
        <v>974</v>
      </c>
      <c r="AA1200" t="s">
        <v>807</v>
      </c>
      <c r="AB1200" t="s">
        <v>3062</v>
      </c>
      <c r="AD1200" t="s">
        <v>3064</v>
      </c>
      <c r="AE1200">
        <v>5.9489000000000001</v>
      </c>
      <c r="AF1200">
        <v>75133</v>
      </c>
    </row>
    <row r="1201" spans="18:32" x14ac:dyDescent="0.25">
      <c r="R1201">
        <v>75133</v>
      </c>
      <c r="S1201" t="s">
        <v>974</v>
      </c>
      <c r="T1201" t="s">
        <v>808</v>
      </c>
      <c r="U1201" t="str">
        <f t="shared" si="107"/>
        <v>GMSG132</v>
      </c>
      <c r="W1201" t="str">
        <f t="shared" si="108"/>
        <v>GMSG132T3</v>
      </c>
      <c r="X1201">
        <v>6.2378</v>
      </c>
      <c r="Z1201" t="s">
        <v>974</v>
      </c>
      <c r="AA1201" t="s">
        <v>808</v>
      </c>
      <c r="AB1201" t="s">
        <v>3062</v>
      </c>
      <c r="AD1201" t="s">
        <v>3065</v>
      </c>
      <c r="AE1201">
        <v>6.2378</v>
      </c>
      <c r="AF1201">
        <v>75133</v>
      </c>
    </row>
    <row r="1202" spans="18:32" x14ac:dyDescent="0.25">
      <c r="R1202">
        <v>75133</v>
      </c>
      <c r="S1202" t="s">
        <v>974</v>
      </c>
      <c r="T1202" t="s">
        <v>809</v>
      </c>
      <c r="U1202" t="str">
        <f t="shared" si="107"/>
        <v>GMSG132</v>
      </c>
      <c r="W1202" t="str">
        <f t="shared" si="108"/>
        <v>GMSG132T4</v>
      </c>
      <c r="X1202">
        <v>6.2450999999999999</v>
      </c>
      <c r="Z1202" t="s">
        <v>974</v>
      </c>
      <c r="AA1202" t="s">
        <v>809</v>
      </c>
      <c r="AB1202" t="s">
        <v>3062</v>
      </c>
      <c r="AD1202" t="s">
        <v>3066</v>
      </c>
      <c r="AE1202">
        <v>6.2450999999999999</v>
      </c>
      <c r="AF1202">
        <v>75133</v>
      </c>
    </row>
    <row r="1203" spans="18:32" x14ac:dyDescent="0.25">
      <c r="R1203">
        <v>75206</v>
      </c>
      <c r="S1203" t="s">
        <v>1013</v>
      </c>
      <c r="T1203" t="s">
        <v>804</v>
      </c>
      <c r="U1203" t="str">
        <f t="shared" si="107"/>
        <v>JELI275</v>
      </c>
      <c r="W1203" t="str">
        <f t="shared" si="108"/>
        <v>JELI275T1</v>
      </c>
      <c r="X1203">
        <v>6.3818000000000001</v>
      </c>
      <c r="Z1203" t="s">
        <v>1013</v>
      </c>
      <c r="AA1203" t="s">
        <v>804</v>
      </c>
      <c r="AB1203" t="s">
        <v>3067</v>
      </c>
      <c r="AD1203" t="s">
        <v>3068</v>
      </c>
      <c r="AE1203">
        <v>6.3818000000000001</v>
      </c>
      <c r="AF1203">
        <v>75206</v>
      </c>
    </row>
    <row r="1204" spans="18:32" x14ac:dyDescent="0.25">
      <c r="R1204">
        <v>75206</v>
      </c>
      <c r="S1204" t="s">
        <v>1013</v>
      </c>
      <c r="T1204" t="s">
        <v>807</v>
      </c>
      <c r="U1204" t="str">
        <f t="shared" si="107"/>
        <v>JELI275</v>
      </c>
      <c r="W1204" t="str">
        <f t="shared" si="108"/>
        <v>JELI275T2</v>
      </c>
      <c r="X1204">
        <v>6.1704999999999997</v>
      </c>
      <c r="Z1204" t="s">
        <v>1013</v>
      </c>
      <c r="AA1204" t="s">
        <v>807</v>
      </c>
      <c r="AB1204" t="s">
        <v>3067</v>
      </c>
      <c r="AD1204" t="s">
        <v>3069</v>
      </c>
      <c r="AE1204">
        <v>6.1704999999999997</v>
      </c>
      <c r="AF1204">
        <v>75206</v>
      </c>
    </row>
    <row r="1205" spans="18:32" x14ac:dyDescent="0.25">
      <c r="R1205">
        <v>75112</v>
      </c>
      <c r="S1205" t="s">
        <v>1028</v>
      </c>
      <c r="T1205" t="s">
        <v>804</v>
      </c>
      <c r="U1205" t="str">
        <f t="shared" si="107"/>
        <v>KBRU132</v>
      </c>
      <c r="W1205" t="str">
        <f t="shared" si="108"/>
        <v>KBRU132T1</v>
      </c>
      <c r="X1205">
        <v>25.575800000000001</v>
      </c>
      <c r="Z1205" t="s">
        <v>1028</v>
      </c>
      <c r="AA1205" t="s">
        <v>804</v>
      </c>
      <c r="AB1205" t="s">
        <v>1465</v>
      </c>
      <c r="AD1205" t="s">
        <v>3070</v>
      </c>
      <c r="AE1205">
        <v>25.575800000000001</v>
      </c>
      <c r="AF1205">
        <v>75112</v>
      </c>
    </row>
    <row r="1206" spans="18:32" x14ac:dyDescent="0.25">
      <c r="R1206">
        <v>75112</v>
      </c>
      <c r="S1206" t="s">
        <v>1028</v>
      </c>
      <c r="T1206" t="s">
        <v>807</v>
      </c>
      <c r="U1206" t="str">
        <f t="shared" si="107"/>
        <v>KBRU132</v>
      </c>
      <c r="W1206" t="str">
        <f t="shared" si="108"/>
        <v>KBRU132T2</v>
      </c>
      <c r="X1206">
        <v>15.169</v>
      </c>
      <c r="Z1206" t="s">
        <v>1028</v>
      </c>
      <c r="AA1206" t="s">
        <v>807</v>
      </c>
      <c r="AB1206" t="s">
        <v>1465</v>
      </c>
      <c r="AD1206" t="s">
        <v>3071</v>
      </c>
      <c r="AE1206">
        <v>15.169</v>
      </c>
      <c r="AF1206">
        <v>75112</v>
      </c>
    </row>
    <row r="1207" spans="18:32" x14ac:dyDescent="0.25">
      <c r="R1207">
        <v>75112</v>
      </c>
      <c r="S1207" t="s">
        <v>1028</v>
      </c>
      <c r="T1207" t="s">
        <v>808</v>
      </c>
      <c r="U1207" t="str">
        <f t="shared" si="107"/>
        <v>KBRU132</v>
      </c>
      <c r="W1207" t="str">
        <f t="shared" si="108"/>
        <v>KBRU132T3</v>
      </c>
      <c r="X1207">
        <v>24.926500000000001</v>
      </c>
      <c r="Z1207" t="s">
        <v>1028</v>
      </c>
      <c r="AA1207" t="s">
        <v>808</v>
      </c>
      <c r="AB1207" t="s">
        <v>1465</v>
      </c>
      <c r="AD1207" t="s">
        <v>3072</v>
      </c>
      <c r="AE1207">
        <v>24.926500000000001</v>
      </c>
      <c r="AF1207">
        <v>75112</v>
      </c>
    </row>
    <row r="1208" spans="18:32" x14ac:dyDescent="0.25">
      <c r="R1208">
        <v>75112</v>
      </c>
      <c r="S1208" t="s">
        <v>1028</v>
      </c>
      <c r="T1208" t="s">
        <v>809</v>
      </c>
      <c r="U1208" t="str">
        <f t="shared" si="107"/>
        <v>KBRU132</v>
      </c>
      <c r="W1208" t="str">
        <f t="shared" si="108"/>
        <v>KBRU132T4</v>
      </c>
      <c r="X1208">
        <v>8.5345999999999993</v>
      </c>
      <c r="Z1208" t="s">
        <v>1028</v>
      </c>
      <c r="AA1208" t="s">
        <v>809</v>
      </c>
      <c r="AB1208" t="s">
        <v>1465</v>
      </c>
      <c r="AD1208" t="s">
        <v>3073</v>
      </c>
      <c r="AE1208">
        <v>8.5345999999999993</v>
      </c>
      <c r="AF1208">
        <v>75112</v>
      </c>
    </row>
    <row r="1209" spans="18:32" x14ac:dyDescent="0.25">
      <c r="R1209">
        <v>75112</v>
      </c>
      <c r="S1209" t="s">
        <v>1028</v>
      </c>
      <c r="T1209" t="s">
        <v>810</v>
      </c>
      <c r="U1209" t="str">
        <f t="shared" si="107"/>
        <v>KBRU132</v>
      </c>
      <c r="W1209" t="str">
        <f t="shared" si="108"/>
        <v>KBRU132T5</v>
      </c>
      <c r="X1209">
        <v>24.981400000000001</v>
      </c>
      <c r="Z1209" t="s">
        <v>1028</v>
      </c>
      <c r="AA1209" t="s">
        <v>810</v>
      </c>
      <c r="AB1209" t="s">
        <v>1465</v>
      </c>
      <c r="AD1209" t="s">
        <v>3074</v>
      </c>
      <c r="AE1209">
        <v>24.981400000000001</v>
      </c>
      <c r="AF1209">
        <v>75112</v>
      </c>
    </row>
    <row r="1210" spans="18:32" x14ac:dyDescent="0.25">
      <c r="R1210">
        <v>75131</v>
      </c>
      <c r="S1210" t="s">
        <v>1033</v>
      </c>
      <c r="T1210" t="s">
        <v>804</v>
      </c>
      <c r="U1210" t="str">
        <f t="shared" si="107"/>
        <v>KDIS132</v>
      </c>
      <c r="W1210" t="str">
        <f t="shared" si="108"/>
        <v>KDIS132T1</v>
      </c>
      <c r="X1210">
        <v>17.123000000000001</v>
      </c>
      <c r="Z1210" t="s">
        <v>1033</v>
      </c>
      <c r="AA1210" t="s">
        <v>804</v>
      </c>
      <c r="AB1210" t="s">
        <v>3075</v>
      </c>
      <c r="AD1210" t="s">
        <v>3076</v>
      </c>
      <c r="AE1210">
        <v>17.123000000000001</v>
      </c>
      <c r="AF1210">
        <v>75131</v>
      </c>
    </row>
    <row r="1211" spans="18:32" x14ac:dyDescent="0.25">
      <c r="R1211">
        <v>75131</v>
      </c>
      <c r="S1211" t="s">
        <v>1033</v>
      </c>
      <c r="T1211" t="s">
        <v>807</v>
      </c>
      <c r="U1211" t="str">
        <f t="shared" si="107"/>
        <v>KDIS132</v>
      </c>
      <c r="W1211" t="str">
        <f t="shared" si="108"/>
        <v>KDIS132T2</v>
      </c>
      <c r="X1211">
        <v>17.0764</v>
      </c>
      <c r="Z1211" t="s">
        <v>1033</v>
      </c>
      <c r="AA1211" t="s">
        <v>807</v>
      </c>
      <c r="AB1211" t="s">
        <v>3075</v>
      </c>
      <c r="AD1211" t="s">
        <v>3077</v>
      </c>
      <c r="AE1211">
        <v>17.0764</v>
      </c>
      <c r="AF1211">
        <v>75131</v>
      </c>
    </row>
    <row r="1212" spans="18:32" x14ac:dyDescent="0.25">
      <c r="R1212">
        <v>75113</v>
      </c>
      <c r="S1212" t="s">
        <v>1050</v>
      </c>
      <c r="T1212" t="s">
        <v>804</v>
      </c>
      <c r="U1212" t="str">
        <f t="shared" si="107"/>
        <v>KKRI132</v>
      </c>
      <c r="W1212" t="str">
        <f t="shared" si="108"/>
        <v>KKRI132T1</v>
      </c>
      <c r="X1212">
        <v>8.8556000000000008</v>
      </c>
      <c r="Z1212" t="s">
        <v>1050</v>
      </c>
      <c r="AA1212" t="s">
        <v>804</v>
      </c>
      <c r="AB1212" t="s">
        <v>3078</v>
      </c>
      <c r="AD1212" t="s">
        <v>3079</v>
      </c>
      <c r="AE1212">
        <v>8.8556000000000008</v>
      </c>
      <c r="AF1212">
        <v>75113</v>
      </c>
    </row>
    <row r="1213" spans="18:32" x14ac:dyDescent="0.25">
      <c r="R1213">
        <v>75113</v>
      </c>
      <c r="S1213" t="s">
        <v>1050</v>
      </c>
      <c r="T1213" t="s">
        <v>807</v>
      </c>
      <c r="U1213" t="str">
        <f t="shared" si="107"/>
        <v>KKRI132</v>
      </c>
      <c r="W1213" t="str">
        <f t="shared" si="108"/>
        <v>KKRI132T2</v>
      </c>
      <c r="X1213">
        <v>8.7934999999999999</v>
      </c>
      <c r="Z1213" t="s">
        <v>1050</v>
      </c>
      <c r="AA1213" t="s">
        <v>807</v>
      </c>
      <c r="AB1213" t="s">
        <v>3078</v>
      </c>
      <c r="AD1213" t="s">
        <v>3080</v>
      </c>
      <c r="AE1213">
        <v>8.7934999999999999</v>
      </c>
      <c r="AF1213">
        <v>75113</v>
      </c>
    </row>
    <row r="1214" spans="18:32" x14ac:dyDescent="0.25">
      <c r="R1214">
        <v>75132</v>
      </c>
      <c r="S1214" t="s">
        <v>1125</v>
      </c>
      <c r="T1214" t="s">
        <v>804</v>
      </c>
      <c r="U1214" t="str">
        <f t="shared" si="107"/>
        <v>LMAL132</v>
      </c>
      <c r="W1214" t="str">
        <f t="shared" si="108"/>
        <v>LMAL132T1</v>
      </c>
      <c r="X1214">
        <v>38.821899999999999</v>
      </c>
      <c r="Z1214" t="s">
        <v>1125</v>
      </c>
      <c r="AA1214" t="s">
        <v>804</v>
      </c>
      <c r="AB1214" t="s">
        <v>3081</v>
      </c>
      <c r="AD1214" t="s">
        <v>3082</v>
      </c>
      <c r="AE1214">
        <v>38.821899999999999</v>
      </c>
      <c r="AF1214">
        <v>75132</v>
      </c>
    </row>
    <row r="1215" spans="18:32" x14ac:dyDescent="0.25">
      <c r="R1215">
        <v>75132</v>
      </c>
      <c r="S1215" t="s">
        <v>1125</v>
      </c>
      <c r="T1215" t="s">
        <v>807</v>
      </c>
      <c r="U1215" t="str">
        <f t="shared" si="107"/>
        <v>LMAL132</v>
      </c>
      <c r="W1215" t="str">
        <f t="shared" si="108"/>
        <v>LMAL132T2</v>
      </c>
      <c r="X1215">
        <v>38.488500000000002</v>
      </c>
      <c r="Z1215" t="s">
        <v>1125</v>
      </c>
      <c r="AA1215" t="s">
        <v>807</v>
      </c>
      <c r="AB1215" t="s">
        <v>3081</v>
      </c>
      <c r="AD1215" t="s">
        <v>3083</v>
      </c>
      <c r="AE1215">
        <v>38.488500000000002</v>
      </c>
      <c r="AF1215">
        <v>75132</v>
      </c>
    </row>
    <row r="1216" spans="18:32" x14ac:dyDescent="0.25">
      <c r="R1216">
        <v>75947</v>
      </c>
      <c r="S1216" t="s">
        <v>1130</v>
      </c>
      <c r="T1216" t="s">
        <v>869</v>
      </c>
      <c r="U1216" t="str">
        <f t="shared" si="107"/>
        <v>MALS_LS</v>
      </c>
      <c r="W1216" t="str">
        <f t="shared" si="108"/>
        <v>MALS_LSX1</v>
      </c>
      <c r="X1216">
        <v>0</v>
      </c>
      <c r="Z1216" t="s">
        <v>1130</v>
      </c>
      <c r="AA1216" t="s">
        <v>869</v>
      </c>
      <c r="AB1216" t="s">
        <v>3084</v>
      </c>
      <c r="AD1216" t="s">
        <v>3085</v>
      </c>
      <c r="AE1216">
        <v>0</v>
      </c>
      <c r="AF1216">
        <v>75947</v>
      </c>
    </row>
    <row r="1217" spans="18:32" x14ac:dyDescent="0.25">
      <c r="R1217">
        <v>75129</v>
      </c>
      <c r="S1217" t="s">
        <v>1197</v>
      </c>
      <c r="T1217" t="s">
        <v>807</v>
      </c>
      <c r="U1217" t="str">
        <f t="shared" si="107"/>
        <v>PCOR132</v>
      </c>
      <c r="W1217" t="str">
        <f t="shared" si="108"/>
        <v>PCOR132T2</v>
      </c>
      <c r="X1217">
        <v>38.965800000000002</v>
      </c>
      <c r="Z1217" t="s">
        <v>1197</v>
      </c>
      <c r="AA1217" t="s">
        <v>807</v>
      </c>
      <c r="AB1217" t="s">
        <v>1446</v>
      </c>
      <c r="AD1217" t="s">
        <v>3086</v>
      </c>
      <c r="AE1217">
        <v>38.965800000000002</v>
      </c>
      <c r="AF1217">
        <v>75129</v>
      </c>
    </row>
    <row r="1218" spans="18:32" x14ac:dyDescent="0.25">
      <c r="R1218">
        <v>75129</v>
      </c>
      <c r="S1218" t="s">
        <v>1197</v>
      </c>
      <c r="T1218" t="s">
        <v>808</v>
      </c>
      <c r="U1218" t="str">
        <f t="shared" si="107"/>
        <v>PCOR132</v>
      </c>
      <c r="W1218" t="str">
        <f t="shared" si="108"/>
        <v>PCOR132T3</v>
      </c>
      <c r="X1218">
        <v>32.940199999999997</v>
      </c>
      <c r="Z1218" t="s">
        <v>1197</v>
      </c>
      <c r="AA1218" t="s">
        <v>808</v>
      </c>
      <c r="AB1218" t="s">
        <v>1446</v>
      </c>
      <c r="AD1218" t="s">
        <v>3087</v>
      </c>
      <c r="AE1218">
        <v>32.940199999999997</v>
      </c>
      <c r="AF1218">
        <v>75129</v>
      </c>
    </row>
    <row r="1219" spans="18:32" x14ac:dyDescent="0.25">
      <c r="R1219">
        <v>75129</v>
      </c>
      <c r="S1219" t="s">
        <v>1197</v>
      </c>
      <c r="T1219" t="s">
        <v>809</v>
      </c>
      <c r="U1219" t="str">
        <f t="shared" si="107"/>
        <v>PCOR132</v>
      </c>
      <c r="W1219" t="str">
        <f t="shared" si="108"/>
        <v>PCOR132T4</v>
      </c>
      <c r="X1219">
        <v>29.625599999999999</v>
      </c>
      <c r="Z1219" t="s">
        <v>1197</v>
      </c>
      <c r="AA1219" t="s">
        <v>809</v>
      </c>
      <c r="AB1219" t="s">
        <v>1446</v>
      </c>
      <c r="AD1219" t="s">
        <v>3088</v>
      </c>
      <c r="AE1219">
        <v>29.625599999999999</v>
      </c>
      <c r="AF1219">
        <v>75129</v>
      </c>
    </row>
    <row r="1220" spans="18:32" x14ac:dyDescent="0.25">
      <c r="R1220">
        <v>75208</v>
      </c>
      <c r="S1220" t="s">
        <v>1201</v>
      </c>
      <c r="T1220" t="s">
        <v>1202</v>
      </c>
      <c r="U1220" t="str">
        <f t="shared" ref="U1220:U1239" si="109">LEFT(S1220,7)</f>
        <v>PGAU275</v>
      </c>
      <c r="W1220" t="str">
        <f t="shared" ref="W1220:W1239" si="110">U1220&amp;T1220</f>
        <v>PGAU275N1</v>
      </c>
      <c r="X1220">
        <v>0</v>
      </c>
      <c r="Z1220" t="s">
        <v>1201</v>
      </c>
      <c r="AA1220" t="s">
        <v>1202</v>
      </c>
      <c r="AB1220" t="s">
        <v>3089</v>
      </c>
      <c r="AD1220" t="s">
        <v>3090</v>
      </c>
      <c r="AE1220">
        <v>0</v>
      </c>
      <c r="AF1220">
        <v>75208</v>
      </c>
    </row>
    <row r="1221" spans="18:32" x14ac:dyDescent="0.25">
      <c r="R1221">
        <v>75208</v>
      </c>
      <c r="S1221" t="s">
        <v>1201</v>
      </c>
      <c r="T1221" t="s">
        <v>1203</v>
      </c>
      <c r="U1221" t="str">
        <f t="shared" si="109"/>
        <v>PGAU275</v>
      </c>
      <c r="W1221" t="str">
        <f t="shared" si="110"/>
        <v>PGAU275N2</v>
      </c>
      <c r="X1221">
        <v>0</v>
      </c>
      <c r="Z1221" t="s">
        <v>1201</v>
      </c>
      <c r="AA1221" t="s">
        <v>1203</v>
      </c>
      <c r="AB1221" t="s">
        <v>3089</v>
      </c>
      <c r="AD1221" t="s">
        <v>3091</v>
      </c>
      <c r="AE1221">
        <v>0</v>
      </c>
      <c r="AF1221">
        <v>75208</v>
      </c>
    </row>
    <row r="1222" spans="18:32" x14ac:dyDescent="0.25">
      <c r="R1222">
        <v>75114</v>
      </c>
      <c r="S1222" t="s">
        <v>1237</v>
      </c>
      <c r="T1222" t="s">
        <v>804</v>
      </c>
      <c r="U1222" t="str">
        <f t="shared" si="109"/>
        <v>PPTH132</v>
      </c>
      <c r="W1222" t="str">
        <f t="shared" si="110"/>
        <v>PPTH132T1</v>
      </c>
      <c r="X1222">
        <v>19.610299999999999</v>
      </c>
      <c r="Z1222" t="s">
        <v>1237</v>
      </c>
      <c r="AA1222" t="s">
        <v>804</v>
      </c>
      <c r="AB1222" t="s">
        <v>1551</v>
      </c>
      <c r="AD1222" t="s">
        <v>3092</v>
      </c>
      <c r="AE1222">
        <v>19.610299999999999</v>
      </c>
      <c r="AF1222">
        <v>75114</v>
      </c>
    </row>
    <row r="1223" spans="18:32" x14ac:dyDescent="0.25">
      <c r="R1223">
        <v>75114</v>
      </c>
      <c r="S1223" t="s">
        <v>1237</v>
      </c>
      <c r="T1223" t="s">
        <v>807</v>
      </c>
      <c r="U1223" t="str">
        <f t="shared" si="109"/>
        <v>PPTH132</v>
      </c>
      <c r="W1223" t="str">
        <f t="shared" si="110"/>
        <v>PPTH132T2</v>
      </c>
      <c r="X1223">
        <v>19.122599999999998</v>
      </c>
      <c r="Z1223" t="s">
        <v>1237</v>
      </c>
      <c r="AA1223" t="s">
        <v>807</v>
      </c>
      <c r="AB1223" t="s">
        <v>1551</v>
      </c>
      <c r="AD1223" t="s">
        <v>3093</v>
      </c>
      <c r="AE1223">
        <v>19.122599999999998</v>
      </c>
      <c r="AF1223">
        <v>75114</v>
      </c>
    </row>
    <row r="1224" spans="18:32" x14ac:dyDescent="0.25">
      <c r="R1224">
        <v>75134</v>
      </c>
      <c r="S1224" t="s">
        <v>1260</v>
      </c>
      <c r="T1224" t="s">
        <v>804</v>
      </c>
      <c r="U1224" t="str">
        <f t="shared" si="109"/>
        <v>RPJG132</v>
      </c>
      <c r="W1224" t="str">
        <f t="shared" si="110"/>
        <v>RPJG132T1</v>
      </c>
      <c r="X1224">
        <v>6.3258999999999999</v>
      </c>
      <c r="Z1224" t="s">
        <v>1260</v>
      </c>
      <c r="AA1224" t="s">
        <v>804</v>
      </c>
      <c r="AB1224" t="s">
        <v>3094</v>
      </c>
      <c r="AD1224" t="s">
        <v>3095</v>
      </c>
      <c r="AE1224">
        <v>6.3258999999999999</v>
      </c>
      <c r="AF1224">
        <v>75134</v>
      </c>
    </row>
    <row r="1225" spans="18:32" x14ac:dyDescent="0.25">
      <c r="R1225">
        <v>75134</v>
      </c>
      <c r="S1225" t="s">
        <v>1260</v>
      </c>
      <c r="T1225" t="s">
        <v>807</v>
      </c>
      <c r="U1225" t="str">
        <f t="shared" si="109"/>
        <v>RPJG132</v>
      </c>
      <c r="W1225" t="str">
        <f t="shared" si="110"/>
        <v>RPJG132T2</v>
      </c>
      <c r="X1225">
        <v>6.1818999999999997</v>
      </c>
      <c r="Z1225" t="s">
        <v>1260</v>
      </c>
      <c r="AA1225" t="s">
        <v>807</v>
      </c>
      <c r="AB1225" t="s">
        <v>3094</v>
      </c>
      <c r="AD1225" t="s">
        <v>3096</v>
      </c>
      <c r="AE1225">
        <v>6.1818999999999997</v>
      </c>
      <c r="AF1225">
        <v>75134</v>
      </c>
    </row>
    <row r="1226" spans="18:32" x14ac:dyDescent="0.25">
      <c r="R1226">
        <v>75106</v>
      </c>
      <c r="S1226" t="s">
        <v>1298</v>
      </c>
      <c r="T1226" t="s">
        <v>804</v>
      </c>
      <c r="U1226" t="str">
        <f t="shared" si="109"/>
        <v>SJTH132</v>
      </c>
      <c r="W1226" t="str">
        <f t="shared" si="110"/>
        <v>SJTH132T1</v>
      </c>
      <c r="X1226">
        <v>21.3261</v>
      </c>
      <c r="Z1226" t="s">
        <v>1298</v>
      </c>
      <c r="AA1226" t="s">
        <v>804</v>
      </c>
      <c r="AB1226" t="s">
        <v>1552</v>
      </c>
      <c r="AD1226" t="s">
        <v>3097</v>
      </c>
      <c r="AE1226">
        <v>21.3261</v>
      </c>
      <c r="AF1226">
        <v>75106</v>
      </c>
    </row>
    <row r="1227" spans="18:32" x14ac:dyDescent="0.25">
      <c r="R1227">
        <v>75106</v>
      </c>
      <c r="S1227" t="s">
        <v>1298</v>
      </c>
      <c r="T1227" t="s">
        <v>807</v>
      </c>
      <c r="U1227" t="str">
        <f t="shared" si="109"/>
        <v>SJTH132</v>
      </c>
      <c r="W1227" t="str">
        <f t="shared" si="110"/>
        <v>SJTH132T2</v>
      </c>
      <c r="X1227">
        <v>21.5291</v>
      </c>
      <c r="Z1227" t="s">
        <v>1298</v>
      </c>
      <c r="AA1227" t="s">
        <v>807</v>
      </c>
      <c r="AB1227" t="s">
        <v>1552</v>
      </c>
      <c r="AD1227" t="s">
        <v>3098</v>
      </c>
      <c r="AE1227">
        <v>21.5291</v>
      </c>
      <c r="AF1227">
        <v>75106</v>
      </c>
    </row>
    <row r="1228" spans="18:32" x14ac:dyDescent="0.25">
      <c r="R1228">
        <v>75106</v>
      </c>
      <c r="S1228" t="s">
        <v>1298</v>
      </c>
      <c r="T1228" t="s">
        <v>810</v>
      </c>
      <c r="U1228" t="str">
        <f t="shared" si="109"/>
        <v>SJTH132</v>
      </c>
      <c r="W1228" t="str">
        <f t="shared" si="110"/>
        <v>SJTH132T5</v>
      </c>
      <c r="X1228">
        <v>14.891500000000001</v>
      </c>
      <c r="Z1228" t="s">
        <v>1298</v>
      </c>
      <c r="AA1228" t="s">
        <v>810</v>
      </c>
      <c r="AB1228" t="s">
        <v>1552</v>
      </c>
      <c r="AD1228" t="s">
        <v>3099</v>
      </c>
      <c r="AE1228">
        <v>14.891500000000001</v>
      </c>
      <c r="AF1228">
        <v>75106</v>
      </c>
    </row>
    <row r="1229" spans="18:32" x14ac:dyDescent="0.25">
      <c r="R1229">
        <v>75127</v>
      </c>
      <c r="S1229" t="s">
        <v>1364</v>
      </c>
      <c r="T1229" t="s">
        <v>804</v>
      </c>
      <c r="U1229" t="str">
        <f t="shared" si="109"/>
        <v>TJUG132</v>
      </c>
      <c r="W1229" t="str">
        <f t="shared" si="110"/>
        <v>TJUG132T1</v>
      </c>
      <c r="X1229">
        <v>26.621600000000001</v>
      </c>
      <c r="Z1229" t="s">
        <v>1364</v>
      </c>
      <c r="AA1229" t="s">
        <v>804</v>
      </c>
      <c r="AB1229" t="s">
        <v>1451</v>
      </c>
      <c r="AD1229" t="s">
        <v>3100</v>
      </c>
      <c r="AE1229">
        <v>26.621600000000001</v>
      </c>
      <c r="AF1229">
        <v>75127</v>
      </c>
    </row>
    <row r="1230" spans="18:32" x14ac:dyDescent="0.25">
      <c r="R1230">
        <v>75127</v>
      </c>
      <c r="S1230" t="s">
        <v>1364</v>
      </c>
      <c r="T1230" t="s">
        <v>807</v>
      </c>
      <c r="U1230" t="str">
        <f t="shared" si="109"/>
        <v>TJUG132</v>
      </c>
      <c r="W1230" t="str">
        <f t="shared" si="110"/>
        <v>TJUG132T2</v>
      </c>
      <c r="X1230">
        <v>30.404299999999999</v>
      </c>
      <c r="Z1230" t="s">
        <v>1364</v>
      </c>
      <c r="AA1230" t="s">
        <v>807</v>
      </c>
      <c r="AB1230" t="s">
        <v>1451</v>
      </c>
      <c r="AD1230" t="s">
        <v>3101</v>
      </c>
      <c r="AE1230">
        <v>30.404299999999999</v>
      </c>
      <c r="AF1230">
        <v>75127</v>
      </c>
    </row>
    <row r="1231" spans="18:32" x14ac:dyDescent="0.25">
      <c r="R1231">
        <v>75101</v>
      </c>
      <c r="S1231" t="s">
        <v>1380</v>
      </c>
      <c r="T1231" t="s">
        <v>804</v>
      </c>
      <c r="U1231" t="str">
        <f t="shared" si="109"/>
        <v>TMRH132</v>
      </c>
      <c r="W1231" t="str">
        <f t="shared" si="110"/>
        <v>TMRH132T1</v>
      </c>
      <c r="X1231">
        <v>0</v>
      </c>
      <c r="Z1231" t="s">
        <v>1380</v>
      </c>
      <c r="AA1231" t="s">
        <v>804</v>
      </c>
      <c r="AB1231" t="s">
        <v>3102</v>
      </c>
      <c r="AD1231" t="s">
        <v>3103</v>
      </c>
      <c r="AE1231">
        <v>0</v>
      </c>
      <c r="AF1231">
        <v>75101</v>
      </c>
    </row>
    <row r="1232" spans="18:32" x14ac:dyDescent="0.25">
      <c r="R1232">
        <v>75101</v>
      </c>
      <c r="S1232" t="s">
        <v>1380</v>
      </c>
      <c r="T1232" t="s">
        <v>807</v>
      </c>
      <c r="U1232" t="str">
        <f t="shared" si="109"/>
        <v>TMRH132</v>
      </c>
      <c r="W1232" t="str">
        <f t="shared" si="110"/>
        <v>TMRH132T2</v>
      </c>
      <c r="X1232">
        <v>33.808999999999997</v>
      </c>
      <c r="Z1232" t="s">
        <v>1380</v>
      </c>
      <c r="AA1232" t="s">
        <v>807</v>
      </c>
      <c r="AB1232" t="s">
        <v>3102</v>
      </c>
      <c r="AD1232" t="s">
        <v>3104</v>
      </c>
      <c r="AE1232">
        <v>33.808999999999997</v>
      </c>
      <c r="AF1232">
        <v>75101</v>
      </c>
    </row>
    <row r="1233" spans="18:32" x14ac:dyDescent="0.25">
      <c r="R1233">
        <v>75101</v>
      </c>
      <c r="S1233" t="s">
        <v>1380</v>
      </c>
      <c r="T1233" t="s">
        <v>808</v>
      </c>
      <c r="U1233" t="str">
        <f t="shared" si="109"/>
        <v>TMRH132</v>
      </c>
      <c r="W1233" t="str">
        <f t="shared" si="110"/>
        <v>TMRH132T3</v>
      </c>
      <c r="X1233">
        <v>34.047199999999997</v>
      </c>
      <c r="Z1233" t="s">
        <v>1380</v>
      </c>
      <c r="AA1233" t="s">
        <v>808</v>
      </c>
      <c r="AB1233" t="s">
        <v>3102</v>
      </c>
      <c r="AD1233" t="s">
        <v>3105</v>
      </c>
      <c r="AE1233">
        <v>34.047199999999997</v>
      </c>
      <c r="AF1233">
        <v>75101</v>
      </c>
    </row>
    <row r="1234" spans="18:32" x14ac:dyDescent="0.25">
      <c r="R1234">
        <v>61103</v>
      </c>
      <c r="S1234" t="s">
        <v>1350</v>
      </c>
      <c r="T1234" t="s">
        <v>804</v>
      </c>
      <c r="U1234" t="str">
        <f t="shared" si="109"/>
        <v>TEWA132</v>
      </c>
      <c r="W1234" t="str">
        <f t="shared" si="110"/>
        <v>TEWA132T1</v>
      </c>
      <c r="X1234">
        <v>0</v>
      </c>
      <c r="Z1234" t="s">
        <v>1350</v>
      </c>
      <c r="AA1234" t="s">
        <v>804</v>
      </c>
      <c r="AB1234" t="s">
        <v>1584</v>
      </c>
      <c r="AD1234" t="s">
        <v>3106</v>
      </c>
      <c r="AE1234">
        <v>0</v>
      </c>
      <c r="AF1234">
        <v>61103</v>
      </c>
    </row>
    <row r="1235" spans="18:32" x14ac:dyDescent="0.25">
      <c r="R1235">
        <v>61103</v>
      </c>
      <c r="S1235" t="s">
        <v>1350</v>
      </c>
      <c r="T1235" t="s">
        <v>807</v>
      </c>
      <c r="U1235" t="str">
        <f t="shared" si="109"/>
        <v>TEWA132</v>
      </c>
      <c r="W1235" t="str">
        <f t="shared" si="110"/>
        <v>TEWA132T2</v>
      </c>
      <c r="X1235">
        <v>33.288200000000003</v>
      </c>
      <c r="Z1235" t="s">
        <v>1350</v>
      </c>
      <c r="AA1235" t="s">
        <v>807</v>
      </c>
      <c r="AB1235" t="s">
        <v>1584</v>
      </c>
      <c r="AD1235" t="s">
        <v>3107</v>
      </c>
      <c r="AE1235">
        <v>33.288200000000003</v>
      </c>
      <c r="AF1235">
        <v>61103</v>
      </c>
    </row>
    <row r="1236" spans="18:32" x14ac:dyDescent="0.25">
      <c r="R1236">
        <v>61125</v>
      </c>
      <c r="S1236" t="s">
        <v>1399</v>
      </c>
      <c r="T1236" t="s">
        <v>804</v>
      </c>
      <c r="U1236" t="str">
        <f t="shared" si="109"/>
        <v>UMKA132</v>
      </c>
      <c r="W1236" t="str">
        <f t="shared" si="110"/>
        <v>UMKA132T1</v>
      </c>
      <c r="X1236">
        <v>3.7267999999999999</v>
      </c>
      <c r="Z1236" t="s">
        <v>1399</v>
      </c>
      <c r="AA1236" t="s">
        <v>804</v>
      </c>
      <c r="AB1236" t="s">
        <v>1585</v>
      </c>
      <c r="AD1236" t="s">
        <v>3108</v>
      </c>
      <c r="AE1236">
        <v>3.7267999999999999</v>
      </c>
      <c r="AF1236">
        <v>61125</v>
      </c>
    </row>
    <row r="1237" spans="18:32" x14ac:dyDescent="0.25">
      <c r="R1237">
        <v>61125</v>
      </c>
      <c r="S1237" t="s">
        <v>1399</v>
      </c>
      <c r="T1237" t="s">
        <v>807</v>
      </c>
      <c r="U1237" t="str">
        <f t="shared" si="109"/>
        <v>UMKA132</v>
      </c>
      <c r="W1237" t="str">
        <f t="shared" si="110"/>
        <v>UMKA132T2</v>
      </c>
      <c r="X1237">
        <v>3.7237</v>
      </c>
      <c r="Z1237" t="s">
        <v>1399</v>
      </c>
      <c r="AA1237" t="s">
        <v>807</v>
      </c>
      <c r="AB1237" t="s">
        <v>1585</v>
      </c>
      <c r="AD1237" t="s">
        <v>3109</v>
      </c>
      <c r="AE1237">
        <v>3.7237</v>
      </c>
      <c r="AF1237">
        <v>61125</v>
      </c>
    </row>
    <row r="1238" spans="18:32" x14ac:dyDescent="0.25">
      <c r="R1238">
        <v>61125</v>
      </c>
      <c r="S1238" t="s">
        <v>1399</v>
      </c>
      <c r="T1238" t="s">
        <v>808</v>
      </c>
      <c r="U1238" t="str">
        <f t="shared" si="109"/>
        <v>UMKA132</v>
      </c>
      <c r="W1238" t="str">
        <f t="shared" si="110"/>
        <v>UMKA132T3</v>
      </c>
      <c r="X1238">
        <v>17.298999999999999</v>
      </c>
      <c r="Z1238" t="s">
        <v>1399</v>
      </c>
      <c r="AA1238" t="s">
        <v>808</v>
      </c>
      <c r="AB1238" t="s">
        <v>1585</v>
      </c>
      <c r="AD1238" t="s">
        <v>3110</v>
      </c>
      <c r="AE1238">
        <v>17.298999999999999</v>
      </c>
      <c r="AF1238">
        <v>61125</v>
      </c>
    </row>
    <row r="1239" spans="18:32" x14ac:dyDescent="0.25">
      <c r="R1239">
        <v>61125</v>
      </c>
      <c r="S1239" t="s">
        <v>1399</v>
      </c>
      <c r="T1239" t="s">
        <v>809</v>
      </c>
      <c r="U1239" t="str">
        <f t="shared" si="109"/>
        <v>UMKA132</v>
      </c>
      <c r="W1239" t="str">
        <f t="shared" si="110"/>
        <v>UMKA132T4</v>
      </c>
      <c r="X1239">
        <v>17.1541</v>
      </c>
      <c r="Z1239" t="s">
        <v>1399</v>
      </c>
      <c r="AA1239" t="s">
        <v>809</v>
      </c>
      <c r="AB1239" t="s">
        <v>1585</v>
      </c>
      <c r="AD1239" t="s">
        <v>3111</v>
      </c>
      <c r="AE1239">
        <v>17.1541</v>
      </c>
      <c r="AF1239">
        <v>61125</v>
      </c>
    </row>
    <row r="1240" spans="18:32" x14ac:dyDescent="0.25">
      <c r="R1240">
        <v>96141</v>
      </c>
      <c r="S1240" t="s">
        <v>1289</v>
      </c>
      <c r="T1240" t="s">
        <v>823</v>
      </c>
      <c r="U1240" t="str">
        <f t="shared" ref="U1240:U1241" si="111">LEFT(S1240,7)</f>
        <v>SHEL132</v>
      </c>
      <c r="W1240" t="str">
        <f t="shared" ref="W1240:W1241" si="112">U1240&amp;T1240</f>
        <v>SHEL132F1</v>
      </c>
      <c r="X1240">
        <v>18.1541</v>
      </c>
      <c r="Z1240" t="s">
        <v>1289</v>
      </c>
      <c r="AA1240" t="s">
        <v>823</v>
      </c>
      <c r="AB1240" t="s">
        <v>1442</v>
      </c>
      <c r="AD1240" t="s">
        <v>3112</v>
      </c>
      <c r="AE1240">
        <v>18.1541</v>
      </c>
      <c r="AF1240">
        <v>96141</v>
      </c>
    </row>
    <row r="1241" spans="18:32" x14ac:dyDescent="0.25">
      <c r="R1241">
        <v>96141</v>
      </c>
      <c r="S1241" t="s">
        <v>1289</v>
      </c>
      <c r="T1241" t="s">
        <v>826</v>
      </c>
      <c r="U1241" t="str">
        <f t="shared" si="111"/>
        <v>SHEL132</v>
      </c>
      <c r="W1241" t="str">
        <f t="shared" si="112"/>
        <v>SHEL132F2</v>
      </c>
      <c r="X1241">
        <v>19.1541</v>
      </c>
      <c r="Z1241" t="s">
        <v>1289</v>
      </c>
      <c r="AA1241" t="s">
        <v>826</v>
      </c>
      <c r="AB1241" t="s">
        <v>1442</v>
      </c>
      <c r="AD1241" t="s">
        <v>3113</v>
      </c>
      <c r="AE1241">
        <v>19.1541</v>
      </c>
      <c r="AF1241">
        <v>96141</v>
      </c>
    </row>
    <row r="1242" spans="18:32" x14ac:dyDescent="0.25">
      <c r="R1242">
        <v>96193</v>
      </c>
      <c r="S1242" t="s">
        <v>1333</v>
      </c>
      <c r="T1242" t="s">
        <v>808</v>
      </c>
      <c r="U1242" t="str">
        <f t="shared" ref="U1242:U1246" si="113">LEFT(S1242,7)</f>
        <v>SSUN132</v>
      </c>
      <c r="W1242" t="str">
        <f t="shared" ref="W1242:W1246" si="114">U1242&amp;T1242</f>
        <v>SSUN132T3</v>
      </c>
      <c r="X1242">
        <v>0</v>
      </c>
      <c r="Z1242" t="s">
        <v>1333</v>
      </c>
      <c r="AA1242" t="s">
        <v>808</v>
      </c>
      <c r="AB1242" t="s">
        <v>1486</v>
      </c>
      <c r="AD1242" t="s">
        <v>3114</v>
      </c>
      <c r="AE1242">
        <v>0</v>
      </c>
      <c r="AF1242">
        <v>96193</v>
      </c>
    </row>
    <row r="1243" spans="18:32" x14ac:dyDescent="0.25">
      <c r="R1243">
        <v>96193</v>
      </c>
      <c r="S1243" t="s">
        <v>1333</v>
      </c>
      <c r="T1243" t="s">
        <v>809</v>
      </c>
      <c r="U1243" t="str">
        <f t="shared" si="113"/>
        <v>SSUN132</v>
      </c>
      <c r="W1243" t="str">
        <f t="shared" si="114"/>
        <v>SSUN132T4</v>
      </c>
      <c r="X1243">
        <v>0</v>
      </c>
      <c r="Z1243" t="s">
        <v>1333</v>
      </c>
      <c r="AA1243" t="s">
        <v>809</v>
      </c>
      <c r="AB1243" t="s">
        <v>1486</v>
      </c>
      <c r="AD1243" t="s">
        <v>3115</v>
      </c>
      <c r="AE1243">
        <v>0</v>
      </c>
      <c r="AF1243">
        <v>96193</v>
      </c>
    </row>
    <row r="1244" spans="18:32" x14ac:dyDescent="0.25">
      <c r="R1244">
        <v>96193</v>
      </c>
      <c r="S1244" t="s">
        <v>1333</v>
      </c>
      <c r="T1244" t="s">
        <v>810</v>
      </c>
      <c r="U1244" t="str">
        <f t="shared" si="113"/>
        <v>SSUN132</v>
      </c>
      <c r="W1244" t="str">
        <f t="shared" si="114"/>
        <v>SSUN132T5</v>
      </c>
      <c r="X1244">
        <v>0</v>
      </c>
      <c r="Z1244" t="s">
        <v>1333</v>
      </c>
      <c r="AA1244" t="s">
        <v>810</v>
      </c>
      <c r="AB1244" t="s">
        <v>1486</v>
      </c>
      <c r="AD1244" t="s">
        <v>3116</v>
      </c>
      <c r="AE1244">
        <v>0</v>
      </c>
      <c r="AF1244">
        <v>96193</v>
      </c>
    </row>
    <row r="1245" spans="18:32" x14ac:dyDescent="0.25">
      <c r="R1245">
        <v>596193</v>
      </c>
      <c r="S1245" t="s">
        <v>1334</v>
      </c>
      <c r="T1245" t="s">
        <v>804</v>
      </c>
      <c r="U1245" t="str">
        <f t="shared" si="113"/>
        <v>SSUN132</v>
      </c>
      <c r="W1245" t="str">
        <f t="shared" si="114"/>
        <v>SSUN132T1</v>
      </c>
      <c r="X1245">
        <v>18.528199999999998</v>
      </c>
      <c r="Z1245" t="s">
        <v>1334</v>
      </c>
      <c r="AA1245" t="s">
        <v>804</v>
      </c>
      <c r="AB1245" t="s">
        <v>1486</v>
      </c>
      <c r="AD1245" t="s">
        <v>3117</v>
      </c>
      <c r="AE1245">
        <v>18.528199999999998</v>
      </c>
      <c r="AF1245">
        <v>596193</v>
      </c>
    </row>
    <row r="1246" spans="18:32" x14ac:dyDescent="0.25">
      <c r="R1246">
        <v>596193</v>
      </c>
      <c r="S1246" t="s">
        <v>1334</v>
      </c>
      <c r="T1246" t="s">
        <v>807</v>
      </c>
      <c r="U1246" t="str">
        <f t="shared" si="113"/>
        <v>SSUN132</v>
      </c>
      <c r="W1246" t="str">
        <f t="shared" si="114"/>
        <v>SSUN132T2</v>
      </c>
      <c r="X1246">
        <v>19.271699999999999</v>
      </c>
      <c r="Z1246" t="s">
        <v>1334</v>
      </c>
      <c r="AA1246" t="s">
        <v>807</v>
      </c>
      <c r="AB1246" t="s">
        <v>1486</v>
      </c>
      <c r="AD1246" t="s">
        <v>3118</v>
      </c>
      <c r="AE1246">
        <v>19.271699999999999</v>
      </c>
      <c r="AF1246">
        <v>596193</v>
      </c>
    </row>
    <row r="1247" spans="18:32" x14ac:dyDescent="0.25">
      <c r="R1247">
        <v>96151</v>
      </c>
      <c r="S1247" t="s">
        <v>1177</v>
      </c>
      <c r="T1247" t="s">
        <v>804</v>
      </c>
      <c r="U1247" t="str">
        <f t="shared" ref="U1247:U1248" si="115">LEFT(S1247,7)</f>
        <v>NSCI132</v>
      </c>
      <c r="W1247" t="str">
        <f t="shared" ref="W1247:W1248" si="116">U1247&amp;T1247</f>
        <v>NSCI132T1</v>
      </c>
      <c r="X1247">
        <v>12.6745</v>
      </c>
      <c r="Z1247" t="s">
        <v>1177</v>
      </c>
      <c r="AA1247" t="s">
        <v>804</v>
      </c>
      <c r="AB1247" t="s">
        <v>1511</v>
      </c>
      <c r="AD1247" t="s">
        <v>3119</v>
      </c>
      <c r="AE1247">
        <v>12.6745</v>
      </c>
      <c r="AF1247">
        <v>96151</v>
      </c>
    </row>
    <row r="1248" spans="18:32" x14ac:dyDescent="0.25">
      <c r="R1248">
        <v>96151</v>
      </c>
      <c r="S1248" t="s">
        <v>1177</v>
      </c>
      <c r="T1248" t="s">
        <v>807</v>
      </c>
      <c r="U1248" t="str">
        <f t="shared" si="115"/>
        <v>NSCI132</v>
      </c>
      <c r="W1248" t="str">
        <f t="shared" si="116"/>
        <v>NSCI132T2</v>
      </c>
      <c r="X1248">
        <v>13.5692</v>
      </c>
      <c r="Z1248" t="s">
        <v>1177</v>
      </c>
      <c r="AA1248" t="s">
        <v>807</v>
      </c>
      <c r="AB1248" t="s">
        <v>1511</v>
      </c>
      <c r="AD1248" t="s">
        <v>3120</v>
      </c>
      <c r="AE1248">
        <v>13.5692</v>
      </c>
      <c r="AF1248">
        <v>96151</v>
      </c>
    </row>
    <row r="1249" spans="18:32" x14ac:dyDescent="0.25">
      <c r="R1249">
        <v>96124</v>
      </c>
      <c r="S1249" t="s">
        <v>1411</v>
      </c>
      <c r="T1249" t="s">
        <v>823</v>
      </c>
      <c r="U1249" t="str">
        <f t="shared" ref="U1249:U1250" si="117">LEFT(S1249,7)</f>
        <v>XNYI132</v>
      </c>
      <c r="W1249" t="str">
        <f t="shared" ref="W1249:W1250" si="118">U1249&amp;T1249</f>
        <v>XNYI132F1</v>
      </c>
      <c r="X1249">
        <v>9.9733999999999998</v>
      </c>
      <c r="Z1249" t="s">
        <v>1411</v>
      </c>
      <c r="AA1249" t="s">
        <v>823</v>
      </c>
      <c r="AB1249" t="s">
        <v>1502</v>
      </c>
      <c r="AD1249" t="s">
        <v>3121</v>
      </c>
      <c r="AE1249">
        <v>9.9733999999999998</v>
      </c>
      <c r="AF1249">
        <v>96124</v>
      </c>
    </row>
    <row r="1250" spans="18:32" x14ac:dyDescent="0.25">
      <c r="R1250">
        <v>96124</v>
      </c>
      <c r="S1250" t="s">
        <v>1411</v>
      </c>
      <c r="T1250" t="s">
        <v>826</v>
      </c>
      <c r="U1250" t="str">
        <f t="shared" si="117"/>
        <v>XNYI132</v>
      </c>
      <c r="W1250" t="str">
        <f t="shared" si="118"/>
        <v>XNYI132F2</v>
      </c>
      <c r="X1250">
        <v>27.8171</v>
      </c>
      <c r="Z1250" t="s">
        <v>1411</v>
      </c>
      <c r="AA1250" t="s">
        <v>826</v>
      </c>
      <c r="AB1250" t="s">
        <v>1502</v>
      </c>
      <c r="AD1250" t="s">
        <v>3122</v>
      </c>
      <c r="AE1250">
        <v>27.8171</v>
      </c>
      <c r="AF1250">
        <v>96124</v>
      </c>
    </row>
    <row r="1251" spans="18:32" x14ac:dyDescent="0.25">
      <c r="R1251">
        <v>74147</v>
      </c>
      <c r="S1251" t="s">
        <v>1154</v>
      </c>
      <c r="T1251" t="s">
        <v>823</v>
      </c>
      <c r="U1251" t="str">
        <f t="shared" ref="U1251" si="119">LEFT(S1251,7)</f>
        <v>MNID132</v>
      </c>
      <c r="W1251" t="str">
        <f t="shared" ref="W1251" si="120">U1251&amp;T1251</f>
        <v>MNID132F1</v>
      </c>
      <c r="X1251">
        <v>0.32100000000000001</v>
      </c>
      <c r="Z1251" t="s">
        <v>1154</v>
      </c>
      <c r="AA1251" t="s">
        <v>823</v>
      </c>
      <c r="AB1251" t="str">
        <f t="shared" ref="AB1251:AB1254" si="121">LEFT(Z1251,7)</f>
        <v>MNID132</v>
      </c>
      <c r="AD1251" t="str">
        <f t="shared" ref="AD1251:AD1254" si="122">AB1251&amp;AA1251</f>
        <v>MNID132F1</v>
      </c>
      <c r="AE1251">
        <v>0.32100000000000001</v>
      </c>
      <c r="AF1251">
        <v>74147</v>
      </c>
    </row>
    <row r="1252" spans="18:32" x14ac:dyDescent="0.25">
      <c r="R1252">
        <v>96181</v>
      </c>
      <c r="S1252" t="s">
        <v>1319</v>
      </c>
      <c r="T1252" t="s">
        <v>823</v>
      </c>
      <c r="U1252" t="str">
        <f t="shared" ref="U1252:U1254" si="123">LEFT(S1252,7)</f>
        <v>SPWR132</v>
      </c>
      <c r="W1252" t="str">
        <f t="shared" ref="W1252:W1254" si="124">U1252&amp;T1252</f>
        <v>SPWR132F1</v>
      </c>
      <c r="X1252">
        <v>1.321</v>
      </c>
      <c r="Z1252" t="s">
        <v>1319</v>
      </c>
      <c r="AA1252" t="s">
        <v>823</v>
      </c>
      <c r="AB1252" t="str">
        <f t="shared" si="121"/>
        <v>SPWR132</v>
      </c>
      <c r="AD1252" t="str">
        <f t="shared" si="122"/>
        <v>SPWR132F1</v>
      </c>
      <c r="AE1252">
        <v>1.321</v>
      </c>
      <c r="AF1252">
        <v>96181</v>
      </c>
    </row>
    <row r="1253" spans="18:32" x14ac:dyDescent="0.25">
      <c r="R1253">
        <v>96181</v>
      </c>
      <c r="S1253" t="s">
        <v>1319</v>
      </c>
      <c r="T1253" t="s">
        <v>826</v>
      </c>
      <c r="U1253" t="str">
        <f t="shared" si="123"/>
        <v>SPWR132</v>
      </c>
      <c r="W1253" t="str">
        <f t="shared" si="124"/>
        <v>SPWR132F2</v>
      </c>
      <c r="X1253">
        <v>2.3210000000000002</v>
      </c>
      <c r="Z1253" t="s">
        <v>1319</v>
      </c>
      <c r="AA1253" t="s">
        <v>826</v>
      </c>
      <c r="AB1253" t="str">
        <f t="shared" si="121"/>
        <v>SPWR132</v>
      </c>
      <c r="AD1253" t="str">
        <f t="shared" si="122"/>
        <v>SPWR132F2</v>
      </c>
      <c r="AE1253">
        <v>2.3210000000000002</v>
      </c>
      <c r="AF1253">
        <v>96181</v>
      </c>
    </row>
    <row r="1254" spans="18:32" x14ac:dyDescent="0.25">
      <c r="R1254">
        <v>96181</v>
      </c>
      <c r="S1254" t="s">
        <v>1319</v>
      </c>
      <c r="T1254" t="s">
        <v>827</v>
      </c>
      <c r="U1254" t="str">
        <f t="shared" si="123"/>
        <v>SPWR132</v>
      </c>
      <c r="W1254" t="str">
        <f t="shared" si="124"/>
        <v>SPWR132F3</v>
      </c>
      <c r="X1254">
        <v>3.3210000000000002</v>
      </c>
      <c r="Z1254" t="s">
        <v>1319</v>
      </c>
      <c r="AA1254" t="s">
        <v>827</v>
      </c>
      <c r="AB1254" t="str">
        <f t="shared" si="121"/>
        <v>SPWR132</v>
      </c>
      <c r="AD1254" t="str">
        <f t="shared" si="122"/>
        <v>SPWR132F3</v>
      </c>
      <c r="AE1254">
        <v>3.3210000000000002</v>
      </c>
      <c r="AF1254">
        <v>96181</v>
      </c>
    </row>
    <row r="1255" spans="18:32" x14ac:dyDescent="0.25">
      <c r="R1255">
        <v>96197</v>
      </c>
      <c r="S1255" t="s">
        <v>1236</v>
      </c>
      <c r="T1255" t="s">
        <v>823</v>
      </c>
      <c r="U1255" t="str">
        <f t="shared" ref="U1255:U1256" si="125">LEFT(S1255,7)</f>
        <v>PPSR132</v>
      </c>
      <c r="W1255" t="str">
        <f t="shared" ref="W1255:W1256" si="126">U1255&amp;T1255</f>
        <v>PPSR132F1</v>
      </c>
      <c r="X1255">
        <v>2.7441</v>
      </c>
      <c r="Z1255" t="s">
        <v>1236</v>
      </c>
      <c r="AA1255" t="s">
        <v>823</v>
      </c>
      <c r="AB1255" t="str">
        <f t="shared" ref="AB1255:AB1256" si="127">LEFT(Z1255,7)</f>
        <v>PPSR132</v>
      </c>
      <c r="AD1255" t="str">
        <f t="shared" ref="AD1255:AD1256" si="128">AB1255&amp;AA1255</f>
        <v>PPSR132F1</v>
      </c>
      <c r="AE1255">
        <v>3.3210000000000002</v>
      </c>
      <c r="AF1255">
        <v>96197</v>
      </c>
    </row>
    <row r="1256" spans="18:32" x14ac:dyDescent="0.25">
      <c r="R1256">
        <v>96197</v>
      </c>
      <c r="S1256" t="s">
        <v>1236</v>
      </c>
      <c r="T1256" t="s">
        <v>826</v>
      </c>
      <c r="U1256" t="str">
        <f t="shared" si="125"/>
        <v>PPSR132</v>
      </c>
      <c r="W1256" t="str">
        <f t="shared" si="126"/>
        <v>PPSR132F2</v>
      </c>
      <c r="X1256">
        <v>0.12429999999999999</v>
      </c>
      <c r="Z1256" t="s">
        <v>1236</v>
      </c>
      <c r="AA1256" t="s">
        <v>826</v>
      </c>
      <c r="AB1256" t="str">
        <f t="shared" si="127"/>
        <v>PPSR132</v>
      </c>
      <c r="AD1256" t="str">
        <f t="shared" si="128"/>
        <v>PPSR132F2</v>
      </c>
      <c r="AE1256">
        <v>3.3210000000000002</v>
      </c>
      <c r="AF1256">
        <v>96197</v>
      </c>
    </row>
    <row r="1257" spans="18:32" x14ac:dyDescent="0.25">
      <c r="R1257">
        <v>96196</v>
      </c>
      <c r="S1257" t="s">
        <v>989</v>
      </c>
      <c r="T1257" t="s">
        <v>823</v>
      </c>
      <c r="U1257" t="str">
        <f t="shared" ref="U1257" si="129">LEFT(S1257,7)</f>
        <v>HLNM132</v>
      </c>
      <c r="W1257" t="str">
        <f t="shared" ref="W1257" si="130">U1257&amp;T1257</f>
        <v>HLNM132F1</v>
      </c>
      <c r="X1257">
        <v>9.5389999999999997</v>
      </c>
      <c r="Z1257" t="s">
        <v>989</v>
      </c>
      <c r="AA1257" t="s">
        <v>823</v>
      </c>
      <c r="AB1257" t="str">
        <f t="shared" ref="AB1257" si="131">LEFT(Z1257,7)</f>
        <v>HLNM132</v>
      </c>
      <c r="AD1257" t="str">
        <f t="shared" ref="AD1257" si="132">AB1257&amp;AA1257</f>
        <v>HLNM132F1</v>
      </c>
      <c r="AE1257">
        <v>9.5389999999999997</v>
      </c>
      <c r="AF1257">
        <v>96196</v>
      </c>
    </row>
    <row r="1258" spans="18:32" x14ac:dyDescent="0.25">
      <c r="R1258">
        <v>97159</v>
      </c>
      <c r="S1258" t="s">
        <v>1401</v>
      </c>
      <c r="T1258" t="s">
        <v>823</v>
      </c>
      <c r="U1258" t="str">
        <f t="shared" ref="U1258" si="133">LEFT(S1258,7)</f>
        <v>UTMJ132</v>
      </c>
      <c r="W1258" t="str">
        <f t="shared" ref="W1258:W1259" si="134">U1258&amp;T1258</f>
        <v>UTMJ132F1</v>
      </c>
      <c r="X1258">
        <v>4.0799000000000003</v>
      </c>
      <c r="Z1258" t="s">
        <v>1401</v>
      </c>
      <c r="AA1258" t="s">
        <v>823</v>
      </c>
      <c r="AB1258" t="str">
        <f t="shared" ref="AB1258" si="135">LEFT(Z1258,7)</f>
        <v>UTMJ132</v>
      </c>
      <c r="AD1258" t="str">
        <f t="shared" ref="AD1258:AD1267" si="136">AB1258&amp;AA1258</f>
        <v>UTMJ132F1</v>
      </c>
      <c r="AE1258">
        <v>4.0799000000000003</v>
      </c>
      <c r="AF1258">
        <v>97159</v>
      </c>
    </row>
    <row r="1259" spans="18:32" x14ac:dyDescent="0.25">
      <c r="R1259">
        <v>597159</v>
      </c>
      <c r="S1259" t="s">
        <v>1402</v>
      </c>
      <c r="T1259" t="s">
        <v>826</v>
      </c>
      <c r="U1259" t="str">
        <f>LEFT(S1259,8)</f>
        <v>UTMJ132R</v>
      </c>
      <c r="W1259" t="str">
        <f t="shared" si="134"/>
        <v>UTMJ132RF2</v>
      </c>
      <c r="X1259">
        <v>1.3565</v>
      </c>
      <c r="Z1259" t="s">
        <v>1402</v>
      </c>
      <c r="AA1259" t="s">
        <v>826</v>
      </c>
      <c r="AB1259" t="str">
        <f>LEFT(Z1259,8)</f>
        <v>UTMJ132R</v>
      </c>
      <c r="AD1259" t="str">
        <f t="shared" si="136"/>
        <v>UTMJ132RF2</v>
      </c>
      <c r="AE1259">
        <v>1.3565</v>
      </c>
      <c r="AF1259">
        <v>597159</v>
      </c>
    </row>
    <row r="1260" spans="18:32" x14ac:dyDescent="0.25">
      <c r="R1260">
        <v>62126</v>
      </c>
      <c r="S1260" t="s">
        <v>1018</v>
      </c>
      <c r="T1260" t="s">
        <v>823</v>
      </c>
      <c r="U1260" t="str">
        <f>LEFT(S1260,7)</f>
        <v>JNKO132</v>
      </c>
      <c r="W1260" t="str">
        <f t="shared" ref="W1260:W1267" si="137">U1260&amp;T1260</f>
        <v>JNKO132F1</v>
      </c>
      <c r="X1260">
        <v>0.33339999999999997</v>
      </c>
      <c r="Z1260" t="s">
        <v>1018</v>
      </c>
      <c r="AA1260" t="s">
        <v>823</v>
      </c>
      <c r="AB1260" t="str">
        <f>LEFT(Z1260,7)</f>
        <v>JNKO132</v>
      </c>
      <c r="AD1260" t="str">
        <f t="shared" si="136"/>
        <v>JNKO132F1</v>
      </c>
      <c r="AE1260">
        <v>0.33339999999999997</v>
      </c>
      <c r="AF1260">
        <v>62126</v>
      </c>
    </row>
    <row r="1261" spans="18:32" x14ac:dyDescent="0.25">
      <c r="R1261">
        <v>62126</v>
      </c>
      <c r="S1261" t="s">
        <v>1018</v>
      </c>
      <c r="T1261" t="s">
        <v>826</v>
      </c>
      <c r="U1261" t="str">
        <f t="shared" ref="U1261:U1266" si="138">LEFT(S1261,7)</f>
        <v>JNKO132</v>
      </c>
      <c r="W1261" t="str">
        <f t="shared" si="137"/>
        <v>JNKO132F2</v>
      </c>
      <c r="X1261">
        <v>3.32E-2</v>
      </c>
      <c r="Z1261" t="s">
        <v>1018</v>
      </c>
      <c r="AA1261" t="s">
        <v>826</v>
      </c>
      <c r="AB1261" t="str">
        <f t="shared" ref="AB1261:AB1266" si="139">LEFT(Z1261,7)</f>
        <v>JNKO132</v>
      </c>
      <c r="AD1261" t="str">
        <f t="shared" si="136"/>
        <v>JNKO132F2</v>
      </c>
      <c r="AE1261">
        <v>3.32E-2</v>
      </c>
      <c r="AF1261">
        <v>62126</v>
      </c>
    </row>
    <row r="1262" spans="18:32" x14ac:dyDescent="0.25">
      <c r="R1262">
        <v>96194</v>
      </c>
      <c r="S1262" t="s">
        <v>990</v>
      </c>
      <c r="T1262" t="s">
        <v>823</v>
      </c>
      <c r="U1262" t="str">
        <f t="shared" si="138"/>
        <v>HLNN132</v>
      </c>
      <c r="W1262" t="str">
        <f t="shared" si="137"/>
        <v>HLNN132F1</v>
      </c>
      <c r="X1262">
        <v>0.1118</v>
      </c>
      <c r="Z1262" t="s">
        <v>990</v>
      </c>
      <c r="AA1262" t="s">
        <v>823</v>
      </c>
      <c r="AB1262" t="str">
        <f t="shared" si="139"/>
        <v>HLNN132</v>
      </c>
      <c r="AD1262" t="str">
        <f t="shared" si="136"/>
        <v>HLNN132F1</v>
      </c>
      <c r="AE1262">
        <v>0.1118</v>
      </c>
      <c r="AF1262">
        <v>96194</v>
      </c>
    </row>
    <row r="1263" spans="18:32" x14ac:dyDescent="0.25">
      <c r="R1263">
        <v>96194</v>
      </c>
      <c r="S1263" t="s">
        <v>990</v>
      </c>
      <c r="T1263" t="s">
        <v>826</v>
      </c>
      <c r="U1263" t="str">
        <f t="shared" si="138"/>
        <v>HLNN132</v>
      </c>
      <c r="W1263" t="str">
        <f t="shared" si="137"/>
        <v>HLNN132F2</v>
      </c>
      <c r="X1263">
        <v>10.7143</v>
      </c>
      <c r="Z1263" t="s">
        <v>990</v>
      </c>
      <c r="AA1263" t="s">
        <v>826</v>
      </c>
      <c r="AB1263" t="str">
        <f t="shared" si="139"/>
        <v>HLNN132</v>
      </c>
      <c r="AD1263" t="str">
        <f t="shared" si="136"/>
        <v>HLNN132F2</v>
      </c>
      <c r="AE1263">
        <v>10.7143</v>
      </c>
      <c r="AF1263">
        <v>96194</v>
      </c>
    </row>
    <row r="1264" spans="18:32" x14ac:dyDescent="0.25">
      <c r="R1264">
        <v>96194</v>
      </c>
      <c r="S1264" t="s">
        <v>990</v>
      </c>
      <c r="T1264" t="s">
        <v>827</v>
      </c>
      <c r="U1264" t="str">
        <f t="shared" si="138"/>
        <v>HLNN132</v>
      </c>
      <c r="W1264" t="str">
        <f t="shared" si="137"/>
        <v>HLNN132F3</v>
      </c>
      <c r="X1264">
        <v>10.868600000000001</v>
      </c>
      <c r="Z1264" t="s">
        <v>990</v>
      </c>
      <c r="AA1264" t="s">
        <v>827</v>
      </c>
      <c r="AB1264" t="str">
        <f t="shared" si="139"/>
        <v>HLNN132</v>
      </c>
      <c r="AD1264" t="str">
        <f t="shared" si="136"/>
        <v>HLNN132F3</v>
      </c>
      <c r="AE1264">
        <v>10.868600000000001</v>
      </c>
      <c r="AF1264">
        <v>96194</v>
      </c>
    </row>
    <row r="1265" spans="18:32" x14ac:dyDescent="0.25">
      <c r="R1265">
        <v>96194</v>
      </c>
      <c r="S1265" t="s">
        <v>990</v>
      </c>
      <c r="T1265" t="s">
        <v>971</v>
      </c>
      <c r="U1265" t="str">
        <f t="shared" si="138"/>
        <v>HLNN132</v>
      </c>
      <c r="W1265" t="str">
        <f t="shared" si="137"/>
        <v>HLNN132F4</v>
      </c>
      <c r="X1265">
        <v>0</v>
      </c>
      <c r="Z1265" t="s">
        <v>990</v>
      </c>
      <c r="AA1265" t="s">
        <v>971</v>
      </c>
      <c r="AB1265" t="str">
        <f t="shared" si="139"/>
        <v>HLNN132</v>
      </c>
      <c r="AD1265" t="str">
        <f t="shared" si="136"/>
        <v>HLNN132F4</v>
      </c>
      <c r="AE1265">
        <v>0</v>
      </c>
      <c r="AF1265">
        <v>96194</v>
      </c>
    </row>
    <row r="1266" spans="18:32" x14ac:dyDescent="0.25">
      <c r="R1266">
        <v>61145</v>
      </c>
      <c r="S1266" t="s">
        <v>1029</v>
      </c>
      <c r="T1266" t="s">
        <v>823</v>
      </c>
      <c r="U1266" t="str">
        <f t="shared" si="138"/>
        <v>KCMT132</v>
      </c>
      <c r="W1266" t="str">
        <f t="shared" si="137"/>
        <v>KCMT132F1</v>
      </c>
      <c r="X1266">
        <v>0</v>
      </c>
      <c r="Z1266" t="s">
        <v>1029</v>
      </c>
      <c r="AA1266" t="s">
        <v>823</v>
      </c>
      <c r="AB1266" t="str">
        <f t="shared" si="139"/>
        <v>KCMT132</v>
      </c>
      <c r="AD1266" t="str">
        <f t="shared" si="136"/>
        <v>KCMT132F1</v>
      </c>
      <c r="AE1266">
        <v>0</v>
      </c>
      <c r="AF1266">
        <v>61145</v>
      </c>
    </row>
    <row r="1267" spans="18:32" x14ac:dyDescent="0.25">
      <c r="R1267">
        <v>561145</v>
      </c>
      <c r="S1267" t="s">
        <v>1031</v>
      </c>
      <c r="T1267" t="s">
        <v>826</v>
      </c>
      <c r="U1267" t="str">
        <f t="shared" ref="U1267" si="140">LEFT(S1267,8)</f>
        <v>KCMT132R</v>
      </c>
      <c r="W1267" t="str">
        <f t="shared" si="137"/>
        <v>KCMT132RF2</v>
      </c>
      <c r="X1267">
        <v>26.176400000000001</v>
      </c>
      <c r="Z1267" t="s">
        <v>1031</v>
      </c>
      <c r="AA1267" t="s">
        <v>826</v>
      </c>
      <c r="AB1267" t="str">
        <f>LEFT(Z1267,8)</f>
        <v>KCMT132R</v>
      </c>
      <c r="AD1267" t="str">
        <f t="shared" si="136"/>
        <v>KCMT132RF2</v>
      </c>
      <c r="AE1267">
        <v>26.176400000000001</v>
      </c>
      <c r="AF1267">
        <v>561145</v>
      </c>
    </row>
  </sheetData>
  <autoFilter ref="H2:O507" xr:uid="{2B732CC8-17A9-43AF-A90C-4A843C8AB1AB}">
    <filterColumn colId="0" showButton="0"/>
    <filterColumn colId="1" showButton="0"/>
    <filterColumn colId="2" showButton="0"/>
    <filterColumn colId="3" showButton="0"/>
    <filterColumn colId="4" showButton="0"/>
  </autoFilter>
  <mergeCells count="34">
    <mergeCell ref="C152:C153"/>
    <mergeCell ref="E152:E153"/>
    <mergeCell ref="C171:C172"/>
    <mergeCell ref="E171:E172"/>
    <mergeCell ref="C184:C185"/>
    <mergeCell ref="E184:E185"/>
    <mergeCell ref="C158:C159"/>
    <mergeCell ref="E158:E159"/>
    <mergeCell ref="C163:C164"/>
    <mergeCell ref="E163:E164"/>
    <mergeCell ref="C166:C169"/>
    <mergeCell ref="E166:E169"/>
    <mergeCell ref="C139:C142"/>
    <mergeCell ref="E139:E142"/>
    <mergeCell ref="C143:C144"/>
    <mergeCell ref="E143:E144"/>
    <mergeCell ref="C145:C146"/>
    <mergeCell ref="E145:E146"/>
    <mergeCell ref="C107:C108"/>
    <mergeCell ref="E107:E108"/>
    <mergeCell ref="E130:E131"/>
    <mergeCell ref="C137:C138"/>
    <mergeCell ref="E137:E138"/>
    <mergeCell ref="C80:C81"/>
    <mergeCell ref="E80:E81"/>
    <mergeCell ref="C82:C83"/>
    <mergeCell ref="E82:E83"/>
    <mergeCell ref="C92:C94"/>
    <mergeCell ref="E92:E94"/>
    <mergeCell ref="Z2:AF2"/>
    <mergeCell ref="H2:M2"/>
    <mergeCell ref="R2:X2"/>
    <mergeCell ref="C78:C79"/>
    <mergeCell ref="E78:E7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UFLS (Cat1&amp;Cat2)</vt:lpstr>
      <vt:lpstr>UFLS (Cat3 Deactivate)</vt:lpstr>
      <vt:lpstr>ActiveAll_UFLS&amp;UVLS</vt:lpstr>
      <vt:lpstr>UFLS_review</vt:lpstr>
      <vt:lpstr>TNB Load</vt:lpstr>
      <vt:lpstr>UFLS 2024</vt:lpstr>
      <vt:lpstr>Working tab (ref)</vt:lpstr>
      <vt:lpstr>'UFLS (Cat1&amp;Cat2)'!Print_Titles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Nurhazwani Yusof</cp:lastModifiedBy>
  <cp:lastPrinted>2024-07-29T01:49:06Z</cp:lastPrinted>
  <dcterms:created xsi:type="dcterms:W3CDTF">2024-07-16T07:41:43Z</dcterms:created>
  <dcterms:modified xsi:type="dcterms:W3CDTF">2025-11-11T06:34:51Z</dcterms:modified>
</cp:coreProperties>
</file>